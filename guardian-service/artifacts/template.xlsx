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36F084F2-CBEE-B74A-9C5A-46A5D84E76C4}" xr6:coauthVersionLast="47" xr6:coauthVersionMax="47" xr10:uidLastSave="{00000000-0000-0000-0000-000000000000}"/>
  <bookViews>
    <workbookView xWindow="0" yWindow="760" windowWidth="34560" windowHeight="20180" activeTab="1" xr2:uid="{00000000-000D-0000-FFFF-FFFF00000000}"/>
  </bookViews>
  <sheets>
    <sheet name="README" sheetId="1" r:id="rId1"/>
    <sheet name="Schema name" sheetId="2" r:id="rId2"/>
    <sheet name="Enu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5" i="2"/>
  <c r="G27" i="2"/>
</calcChain>
</file>

<file path=xl/sharedStrings.xml><?xml version="1.0" encoding="utf-8"?>
<sst xmlns="http://schemas.openxmlformats.org/spreadsheetml/2006/main" count="349" uniqueCount="181">
  <si>
    <t xml:space="preserve">  Guardian Schema Template</t>
  </si>
  <si>
    <t xml:space="preserve">  This tab is for reference only — it is fully ignored when the file is uploaded to Guardian.</t>
  </si>
  <si>
    <t/>
  </si>
  <si>
    <t xml:space="preserve">  WORKBOOK STRUCTURE</t>
  </si>
  <si>
    <t>Tab</t>
  </si>
  <si>
    <t>Purpose</t>
  </si>
  <si>
    <t>README</t>
  </si>
  <si>
    <t>This guidance tab — ignored during upload.</t>
  </si>
  <si>
    <t>No</t>
  </si>
  <si>
    <t>&lt;Schema Name&gt;</t>
  </si>
  <si>
    <t>Yes</t>
  </si>
  <si>
    <t>Enums</t>
  </si>
  <si>
    <t>All dropdown options for all fields across all schemas, grouped by field.</t>
  </si>
  <si>
    <t xml:space="preserve">  SCHEMA TAB — HEADER BLOCK  (rows 1–3)</t>
  </si>
  <si>
    <t>Row</t>
  </si>
  <si>
    <t>Field</t>
  </si>
  <si>
    <t>Accepted values</t>
  </si>
  <si>
    <t>Row 1 — Schema</t>
  </si>
  <si>
    <t>The schema name. Used for enum matching — must match the "Schema name" column in the Enums tab exactly.</t>
  </si>
  <si>
    <t>Row 2 — Description</t>
  </si>
  <si>
    <t>A human-readable description of the schema.</t>
  </si>
  <si>
    <t>Row 3 — Schema Type</t>
  </si>
  <si>
    <t>Accepted: "Verifiable Credentials" or "VC" · "Encrypted Verifiable Credential" or "EVC". Anything else → treated as sub-schema type (NONE).</t>
  </si>
  <si>
    <t xml:space="preserve">  SCHEMA TAB — FIELD COLUMNS  (one row per field)</t>
  </si>
  <si>
    <t>Column</t>
  </si>
  <si>
    <t>Meaning</t>
  </si>
  <si>
    <t>Required Field</t>
  </si>
  <si>
    <t>Whether this field must be filled in by the user.</t>
  </si>
  <si>
    <t>Yes/No</t>
  </si>
  <si>
    <t>Field Type</t>
  </si>
  <si>
    <t>Data type of the field. See "Supported Field Types" section below.</t>
  </si>
  <si>
    <t>Required</t>
  </si>
  <si>
    <t>Parameter</t>
  </si>
  <si>
    <t>Type-dependent: unit symbol (Prefix/Postfix), regex (Pattern), math expression (Auto-Calculate), JSON font object (Help Text). Blank for all other types.</t>
  </si>
  <si>
    <t>Conditional</t>
  </si>
  <si>
    <t>Visibility</t>
  </si>
  <si>
    <t>Leave blank = always visible. "Hidden" or "No" = always hidden. Or use an Excel formula — see "Visibility / Conditions" section.</t>
  </si>
  <si>
    <t>Optional</t>
  </si>
  <si>
    <t>Question</t>
  </si>
  <si>
    <t>Human-readable label shown to users filling in the form.</t>
  </si>
  <si>
    <t>Recommended</t>
  </si>
  <si>
    <t>Allow Multiple Answers</t>
  </si>
  <si>
    <t>Whether the field accepts a list of values (array). Enter: Yes / No</t>
  </si>
  <si>
    <t>Answer</t>
  </si>
  <si>
    <t>Example or pre-filled value. For Auto-Calculate, enter an Excel formula (=G6+G7) for preview.</t>
  </si>
  <si>
    <t>Default</t>
  </si>
  <si>
    <t>Default value pre-populated in the form.</t>
  </si>
  <si>
    <t>Suggest</t>
  </si>
  <si>
    <t>Suggested hint value shown in the form.</t>
  </si>
  <si>
    <t>Key</t>
  </si>
  <si>
    <t>Internal field identifier. If blank, auto-derived from the Answer column cell address (e.g. "G6"). Must be unique within the schema and must not contain dots.</t>
  </si>
  <si>
    <t xml:space="preserve">  SUPPORTED FIELD TYPES</t>
  </si>
  <si>
    <t>Type</t>
  </si>
  <si>
    <t>Description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</si>
  <si>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</si>
  <si>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</si>
  <si>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</si>
  <si>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</si>
  <si>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</si>
  <si>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</si>
  <si>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</si>
  <si>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</si>
  <si>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</si>
  <si>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</si>
  <si>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</si>
  <si>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</si>
  <si>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</si>
  <si>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</si>
  <si>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</si>
  <si>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</si>
  <si>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</si>
  <si>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</si>
  <si>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</si>
  <si>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</si>
  <si>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</si>
  <si>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</si>
  <si>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</si>
  <si>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</si>
  <si>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</si>
  <si>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</si>
  <si>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</si>
  <si>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</si>
  <si>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</si>
  <si>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</si>
  <si>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</si>
  <si>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</si>
  <si>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</si>
  <si>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</si>
  <si>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</si>
  <si>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</si>
  <si>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</si>
  <si>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</si>
  <si>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</si>
  <si>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</si>
  <si>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</si>
  <si>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</si>
  <si>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Dropdown list — values defined in the Enums tab. The field's Question must match the "Field name" column and the schema name (row 1) must match "Schema name" — both case-sensitive.</t>
  </si>
  <si>
    <t>Sub-Schema</t>
  </si>
  <si>
    <t>Auto-Calculate</t>
  </si>
  <si>
    <t>Hidden field computed from other field values. Parameter = math expression using Answer-cell addresses (e.g. G6 + G7). Answer cell may hold an Excel formula for preview.</t>
  </si>
  <si>
    <t>Math expression, e.g. G6 + G7</t>
  </si>
  <si>
    <t>Help Text</t>
  </si>
  <si>
    <t>Display-only label rendered in the form — not a data field. Must NOT have Required Field = "Yes".</t>
  </si>
  <si>
    <t>JSON font, e.g. {"bold":true,"color":"#1F3864","size":"14px"}</t>
  </si>
  <si>
    <t xml:space="preserve">  ENUMS TAB</t>
  </si>
  <si>
    <t>→</t>
  </si>
  <si>
    <t>Set Field Type = "Enum" on the schema tab field row.</t>
  </si>
  <si>
    <t>The field's Question value must exactly match the "Field name" column in the Enums tab, and the schema name (row 1) must exactly match the "Schema name" column (both case-sensitive).</t>
  </si>
  <si>
    <t>In the Enums tab, the four columns are: Schema name | Field name | Loaded to IPFS | Value</t>
  </si>
  <si>
    <t>For the first value of each group: fill in Schema name, Field name, and Loaded to IPFS. Leave those three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</si>
  <si>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</si>
  <si>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</si>
  <si>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</si>
  <si>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</si>
  <si>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</si>
  <si>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 xml:space="preserve">  VISIBILITY / CONDITIONS</t>
  </si>
  <si>
    <t>Visibility value</t>
  </si>
  <si>
    <t>Behaviour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</si>
  <si>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</si>
  <si>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</si>
  <si>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</si>
  <si>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</si>
  <si>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Answer-column cell address (e.g. G5). Supported functions: EXACT(), NOT(), OR(), AND().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</si>
  <si>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</si>
  <si>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</si>
  <si>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</si>
  <si>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</si>
  <si>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</si>
  <si>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 xml:space="preserve">  COMMON PITFALLS</t>
  </si>
  <si>
    <t>⚠</t>
  </si>
  <si>
    <t>Do not rename the "Enums" tab — the parser identifies it by exact name.</t>
  </si>
  <si>
    <t>Key values must not contain dots (.) — they are stripped automatically with a warning.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</si>
  <si>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</si>
  <si>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</si>
  <si>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the schema name and Question value must match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</si>
  <si>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</si>
  <si>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</si>
  <si>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Schema name</t>
  </si>
  <si>
    <t>Schema description</t>
  </si>
  <si>
    <t>Schema Type</t>
  </si>
  <si>
    <t>Verifiable Credentials</t>
  </si>
  <si>
    <t>Field description</t>
  </si>
  <si>
    <t>Option 1</t>
  </si>
  <si>
    <t>example</t>
  </si>
  <si>
    <t>String with pattern</t>
  </si>
  <si>
    <t>2000-01-01</t>
  </si>
  <si>
    <t>00:00:00</t>
  </si>
  <si>
    <t>2000-01-01T01:00:00.000Z</t>
  </si>
  <si>
    <t>P1D</t>
  </si>
  <si>
    <t>https://example.com</t>
  </si>
  <si>
    <t>example:uri</t>
  </si>
  <si>
    <t>example@email.com</t>
  </si>
  <si>
    <t>ipfs://05566a658a44c6f747b5f82a2de1e0bf</t>
  </si>
  <si>
    <t>{"color":"#FF0000","size":"42px"}</t>
  </si>
  <si>
    <t>$</t>
  </si>
  <si>
    <t>Prefix ($)</t>
  </si>
  <si>
    <t>kg</t>
  </si>
  <si>
    <t>Postfix (kg)</t>
  </si>
  <si>
    <t>Account</t>
  </si>
  <si>
    <t>0.0.1</t>
  </si>
  <si>
    <t>Example condition 1</t>
  </si>
  <si>
    <t>Example condition 2</t>
  </si>
  <si>
    <t>Hidden field</t>
  </si>
  <si>
    <t>G6 + G7</t>
  </si>
  <si>
    <t>Auto-Calculate field</t>
  </si>
  <si>
    <t>Sub schema</t>
  </si>
  <si>
    <t>Sub-Field 1</t>
  </si>
  <si>
    <t>Example</t>
  </si>
  <si>
    <t>Sub-Field 2</t>
  </si>
  <si>
    <t>Field name</t>
  </si>
  <si>
    <t>Loaded to IPFS</t>
  </si>
  <si>
    <t>Value</t>
  </si>
  <si>
    <t>Option 2</t>
  </si>
  <si>
    <t>Option 3</t>
  </si>
  <si>
    <t>Edit</t>
  </si>
  <si>
    <t>Each top-level schema gets its own tab. Sub-schemas are defined inline as grouped rows within their parent tab.</t>
  </si>
  <si>
    <t>"Verifiable Credentials", "VC", "Encrypted Verifiable Credential", "EVC"</t>
  </si>
  <si>
    <t xml:space="preserve">— </t>
  </si>
  <si>
    <t>Nested group of fields. Child rows are grouped one outline level deeper than their parent Sub-Schema row (Data → Group). No separate tab needed.</t>
  </si>
  <si>
    <t>blank</t>
  </si>
  <si>
    <t>^[0-9]+$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</si>
</sst>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FFFFFF"/>
      <name val="Calibri"/>
      <family val="2"/>
    </font>
    <font>
      <b/>
      <sz val="12"/>
      <color rgb="FFFFFFFF"/>
      <name val="Calibri"/>
      <family val="2"/>
    </font>
    <font>
      <b/>
      <sz val="10"/>
      <color rgb="FF1F3864"/>
      <name val="Calibri"/>
      <family val="2"/>
    </font>
    <font>
      <b/>
      <sz val="10"/>
      <color rgb="FF2F5496"/>
      <name val="Calibri"/>
      <family val="2"/>
    </font>
    <font>
      <sz val="10"/>
      <color rgb="FF1F3864"/>
      <name val="Calibri"/>
      <family val="2"/>
    </font>
    <font>
      <sz val="9"/>
      <color rgb="FF1F3864"/>
      <name val="Courier New"/>
      <family val="1"/>
    </font>
    <font>
      <b/>
      <sz val="10"/>
      <color rgb="FFF4B942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b/>
      <sz val="14"/>
      <name val="Calibri"/>
      <family val="2"/>
    </font>
    <font>
      <b/>
      <sz val="13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FFF2CC"/>
      </patternFill>
    </fill>
    <fill>
      <patternFill patternType="solid">
        <fgColor rgb="FFD8E4BC"/>
      </patternFill>
    </fill>
    <fill>
      <patternFill patternType="solid">
        <fgColor rgb="FFFABF8F"/>
      </patternFill>
    </fill>
    <fill>
      <patternFill patternType="solid">
        <fgColor rgb="FFFDE9D9"/>
      </patternFill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/>
      <right/>
      <top/>
      <bottom style="thin">
        <color rgb="FF9DC3E6"/>
      </bottom>
      <diagonal/>
    </border>
    <border>
      <left style="medium">
        <color rgb="FF5B9BD5"/>
      </left>
      <right/>
      <top/>
      <bottom style="thin">
        <color rgb="FF9DC3E6"/>
      </bottom>
      <diagonal/>
    </border>
    <border>
      <left style="medium">
        <color rgb="FFF4B942"/>
      </left>
      <right/>
      <top/>
      <bottom style="thin">
        <color rgb="FF9DC3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dashed">
        <color rgb="FF888888"/>
      </left>
      <right style="dashed">
        <color rgb="FF888888"/>
      </right>
      <top/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6" borderId="2" xfId="0" applyFont="1" applyFill="1" applyBorder="1" applyAlignment="1">
      <alignment horizontal="left" vertical="center" indent="1"/>
    </xf>
    <xf numFmtId="0" fontId="5" fillId="6" borderId="3" xfId="0" applyFont="1" applyFill="1" applyBorder="1" applyAlignment="1">
      <alignment vertical="top" wrapText="1" indent="1"/>
    </xf>
    <xf numFmtId="0" fontId="6" fillId="7" borderId="4" xfId="0" applyFont="1" applyFill="1" applyBorder="1" applyAlignment="1">
      <alignment vertical="top" wrapText="1" indent="1"/>
    </xf>
    <xf numFmtId="0" fontId="5" fillId="7" borderId="3" xfId="0" applyFont="1" applyFill="1" applyBorder="1" applyAlignment="1">
      <alignment vertical="top" wrapText="1" indent="1"/>
    </xf>
    <xf numFmtId="0" fontId="6" fillId="8" borderId="4" xfId="0" applyFont="1" applyFill="1" applyBorder="1" applyAlignment="1">
      <alignment vertical="top" wrapText="1" indent="1"/>
    </xf>
    <xf numFmtId="0" fontId="5" fillId="7" borderId="3" xfId="0" applyFont="1" applyFill="1" applyBorder="1" applyAlignment="1">
      <alignment vertical="center" indent="1"/>
    </xf>
    <xf numFmtId="0" fontId="8" fillId="9" borderId="3" xfId="0" applyFont="1" applyFill="1" applyBorder="1" applyAlignment="1">
      <alignment vertical="center" indent="1"/>
    </xf>
    <xf numFmtId="0" fontId="9" fillId="10" borderId="8" xfId="0" applyFont="1" applyFill="1" applyBorder="1"/>
    <xf numFmtId="0" fontId="11" fillId="11" borderId="8" xfId="0" applyFont="1" applyFill="1" applyBorder="1"/>
    <xf numFmtId="0" fontId="10" fillId="12" borderId="9" xfId="0" applyFont="1" applyFill="1" applyBorder="1" applyAlignment="1">
      <alignment wrapText="1"/>
    </xf>
    <xf numFmtId="0" fontId="10" fillId="13" borderId="10" xfId="0" applyFont="1" applyFill="1" applyBorder="1" applyAlignment="1">
      <alignment wrapText="1"/>
    </xf>
    <xf numFmtId="0" fontId="12" fillId="0" borderId="8" xfId="0" applyFont="1" applyBorder="1"/>
    <xf numFmtId="0" fontId="10" fillId="0" borderId="11" xfId="0" applyFont="1" applyBorder="1" applyAlignment="1">
      <alignment wrapText="1"/>
    </xf>
    <xf numFmtId="0" fontId="10" fillId="4" borderId="8" xfId="0" applyFont="1" applyFill="1" applyBorder="1" applyAlignment="1">
      <alignment wrapText="1"/>
    </xf>
    <xf numFmtId="0" fontId="9" fillId="10" borderId="12" xfId="0" applyFont="1" applyFill="1" applyBorder="1" applyAlignment="1">
      <alignment horizontal="center"/>
    </xf>
    <xf numFmtId="0" fontId="9" fillId="10" borderId="13" xfId="0" applyFont="1" applyFill="1" applyBorder="1" applyAlignment="1">
      <alignment horizontal="center"/>
    </xf>
    <xf numFmtId="0" fontId="9" fillId="10" borderId="14" xfId="0" applyFont="1" applyFill="1" applyBorder="1" applyAlignment="1">
      <alignment horizontal="center"/>
    </xf>
    <xf numFmtId="0" fontId="6" fillId="9" borderId="7" xfId="0" applyFont="1" applyFill="1" applyBorder="1" applyAlignment="1">
      <alignment vertical="top" wrapText="1" indent="1"/>
    </xf>
    <xf numFmtId="0" fontId="0" fillId="4" borderId="0" xfId="0" applyFill="1"/>
    <xf numFmtId="0" fontId="7" fillId="4" borderId="6" xfId="0" applyFont="1" applyFill="1" applyBorder="1" applyAlignment="1">
      <alignment vertical="top" indent="2"/>
    </xf>
    <xf numFmtId="0" fontId="3" fillId="5" borderId="1" xfId="0" applyFont="1" applyFill="1" applyBorder="1" applyAlignment="1">
      <alignment horizontal="left" vertical="center" indent="1"/>
    </xf>
    <xf numFmtId="0" fontId="4" fillId="6" borderId="2" xfId="0" applyFont="1" applyFill="1" applyBorder="1" applyAlignment="1">
      <alignment horizontal="left" vertical="center" indent="1"/>
    </xf>
    <xf numFmtId="0" fontId="6" fillId="8" borderId="5" xfId="0" applyFont="1" applyFill="1" applyBorder="1" applyAlignment="1">
      <alignment vertical="top" wrapText="1" indent="1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6"/>
  <sheetViews>
    <sheetView topLeftCell="A2" workbookViewId="0">
      <selection activeCell="B12" sqref="B12"/>
    </sheetView>
  </sheetViews>
  <sheetFormatPr baseColWidth="10" defaultColWidth="8.83203125" defaultRowHeight="15" x14ac:dyDescent="0.2"/>
  <cols>
    <col min="1" max="1" width="22" customWidth="1"/>
    <col min="2" max="2" width="62" customWidth="1"/>
    <col min="3" max="3" width="38" customWidth="1"/>
  </cols>
  <sheetData>
    <row r="1" spans="1:3" ht="50.75" customHeight="1" x14ac:dyDescent="0.2">
      <c r="A1" s="24" t="s">
        <v>0</v>
      </c>
      <c r="B1" s="24"/>
      <c r="C1" s="24"/>
    </row>
    <row r="2" spans="1:3" x14ac:dyDescent="0.2">
      <c r="A2" s="25" t="s">
        <v>1</v>
      </c>
      <c r="B2" s="25"/>
      <c r="C2" s="25"/>
    </row>
    <row r="3" spans="1:3" x14ac:dyDescent="0.2">
      <c r="A3" s="19" t="s">
        <v>2</v>
      </c>
      <c r="B3" s="19"/>
      <c r="C3" s="19"/>
    </row>
    <row r="4" spans="1:3" ht="29.25" customHeight="1" x14ac:dyDescent="0.2">
      <c r="A4" s="21" t="s">
        <v>3</v>
      </c>
      <c r="B4" s="21"/>
      <c r="C4" s="21"/>
    </row>
    <row r="5" spans="1:3" ht="24" customHeight="1" x14ac:dyDescent="0.2">
      <c r="A5" s="1" t="s">
        <v>4</v>
      </c>
      <c r="B5" s="1" t="s">
        <v>5</v>
      </c>
      <c r="C5" s="1" t="s">
        <v>174</v>
      </c>
    </row>
    <row r="6" spans="1:3" x14ac:dyDescent="0.2">
      <c r="A6" s="2" t="s">
        <v>6</v>
      </c>
      <c r="B6" s="3" t="s">
        <v>7</v>
      </c>
      <c r="C6" s="3" t="s">
        <v>8</v>
      </c>
    </row>
    <row r="7" spans="1:3" ht="30" x14ac:dyDescent="0.2">
      <c r="A7" s="4" t="s">
        <v>9</v>
      </c>
      <c r="B7" s="5" t="s">
        <v>175</v>
      </c>
      <c r="C7" s="5" t="s">
        <v>10</v>
      </c>
    </row>
    <row r="8" spans="1:3" x14ac:dyDescent="0.2">
      <c r="A8" s="2" t="s">
        <v>11</v>
      </c>
      <c r="B8" s="3" t="s">
        <v>12</v>
      </c>
      <c r="C8" s="3" t="s">
        <v>10</v>
      </c>
    </row>
    <row r="9" spans="1:3" x14ac:dyDescent="0.2">
      <c r="A9" s="19" t="s">
        <v>2</v>
      </c>
      <c r="B9" s="19"/>
      <c r="C9" s="19"/>
    </row>
    <row r="10" spans="1:3" ht="29.25" customHeight="1" x14ac:dyDescent="0.2">
      <c r="A10" s="21" t="s">
        <v>13</v>
      </c>
      <c r="B10" s="21"/>
      <c r="C10" s="21"/>
    </row>
    <row r="11" spans="1:3" ht="27" customHeight="1" x14ac:dyDescent="0.2">
      <c r="A11" s="1" t="s">
        <v>14</v>
      </c>
      <c r="B11" s="1" t="s">
        <v>15</v>
      </c>
      <c r="C11" s="1" t="s">
        <v>16</v>
      </c>
    </row>
    <row r="12" spans="1:3" ht="30" x14ac:dyDescent="0.2">
      <c r="A12" s="2" t="s">
        <v>17</v>
      </c>
      <c r="B12" s="3" t="s">
        <v>18</v>
      </c>
      <c r="C12" s="3" t="s">
        <v>2</v>
      </c>
    </row>
    <row r="13" spans="1:3" x14ac:dyDescent="0.2">
      <c r="A13" s="4" t="s">
        <v>19</v>
      </c>
      <c r="B13" s="5" t="s">
        <v>20</v>
      </c>
      <c r="C13" s="5" t="s">
        <v>2</v>
      </c>
    </row>
    <row r="14" spans="1:3" ht="30" x14ac:dyDescent="0.2">
      <c r="A14" s="2" t="s">
        <v>21</v>
      </c>
      <c r="B14" s="3" t="s">
        <v>22</v>
      </c>
      <c r="C14" s="3" t="s">
        <v>176</v>
      </c>
    </row>
    <row r="15" spans="1:3" x14ac:dyDescent="0.2">
      <c r="A15" s="19" t="s">
        <v>2</v>
      </c>
      <c r="B15" s="19"/>
      <c r="C15" s="19"/>
    </row>
    <row r="16" spans="1:3" ht="29.25" customHeight="1" x14ac:dyDescent="0.2">
      <c r="A16" s="21" t="s">
        <v>23</v>
      </c>
      <c r="B16" s="21"/>
      <c r="C16" s="21"/>
    </row>
    <row r="17" spans="1:3" ht="24" customHeight="1" x14ac:dyDescent="0.2">
      <c r="A17" s="1" t="s">
        <v>24</v>
      </c>
      <c r="B17" s="1" t="s">
        <v>25</v>
      </c>
      <c r="C17" s="1" t="s">
        <v>31</v>
      </c>
    </row>
    <row r="18" spans="1:3" x14ac:dyDescent="0.2">
      <c r="A18" s="2" t="s">
        <v>26</v>
      </c>
      <c r="B18" s="3" t="s">
        <v>27</v>
      </c>
      <c r="C18" s="3" t="s">
        <v>28</v>
      </c>
    </row>
    <row r="19" spans="1:3" x14ac:dyDescent="0.2">
      <c r="A19" s="4" t="s">
        <v>29</v>
      </c>
      <c r="B19" s="5" t="s">
        <v>30</v>
      </c>
      <c r="C19" s="5" t="s">
        <v>31</v>
      </c>
    </row>
    <row r="20" spans="1:3" ht="30" x14ac:dyDescent="0.2">
      <c r="A20" s="2" t="s">
        <v>32</v>
      </c>
      <c r="B20" s="3" t="s">
        <v>33</v>
      </c>
      <c r="C20" s="3" t="s">
        <v>34</v>
      </c>
    </row>
    <row r="21" spans="1:3" ht="30" x14ac:dyDescent="0.2">
      <c r="A21" s="4" t="s">
        <v>35</v>
      </c>
      <c r="B21" s="5" t="s">
        <v>36</v>
      </c>
      <c r="C21" s="5" t="s">
        <v>37</v>
      </c>
    </row>
    <row r="22" spans="1:3" x14ac:dyDescent="0.2">
      <c r="A22" s="2" t="s">
        <v>38</v>
      </c>
      <c r="B22" s="3" t="s">
        <v>39</v>
      </c>
      <c r="C22" s="3" t="s">
        <v>40</v>
      </c>
    </row>
    <row r="23" spans="1:3" x14ac:dyDescent="0.2">
      <c r="A23" s="4" t="s">
        <v>41</v>
      </c>
      <c r="B23" s="5" t="s">
        <v>42</v>
      </c>
      <c r="C23" s="5" t="s">
        <v>28</v>
      </c>
    </row>
    <row r="24" spans="1:3" ht="30" x14ac:dyDescent="0.2">
      <c r="A24" s="2" t="s">
        <v>43</v>
      </c>
      <c r="B24" s="3" t="s">
        <v>44</v>
      </c>
      <c r="C24" s="3" t="s">
        <v>37</v>
      </c>
    </row>
    <row r="25" spans="1:3" x14ac:dyDescent="0.2">
      <c r="A25" s="4" t="s">
        <v>45</v>
      </c>
      <c r="B25" s="5" t="s">
        <v>46</v>
      </c>
      <c r="C25" s="5" t="s">
        <v>37</v>
      </c>
    </row>
    <row r="26" spans="1:3" x14ac:dyDescent="0.2">
      <c r="A26" s="2" t="s">
        <v>47</v>
      </c>
      <c r="B26" s="3" t="s">
        <v>48</v>
      </c>
      <c r="C26" s="3" t="s">
        <v>37</v>
      </c>
    </row>
    <row r="27" spans="1:3" ht="30" x14ac:dyDescent="0.2">
      <c r="A27" s="4" t="s">
        <v>49</v>
      </c>
      <c r="B27" s="5" t="s">
        <v>50</v>
      </c>
      <c r="C27" s="5" t="s">
        <v>40</v>
      </c>
    </row>
    <row r="28" spans="1:3" x14ac:dyDescent="0.2">
      <c r="A28" s="19" t="s">
        <v>2</v>
      </c>
      <c r="B28" s="19"/>
      <c r="C28" s="19"/>
    </row>
    <row r="29" spans="1:3" ht="29.25" customHeight="1" x14ac:dyDescent="0.2">
      <c r="A29" s="21" t="s">
        <v>51</v>
      </c>
      <c r="B29" s="21"/>
      <c r="C29" s="21"/>
    </row>
    <row r="30" spans="1:3" ht="24" customHeight="1" x14ac:dyDescent="0.2">
      <c r="A30" s="1" t="s">
        <v>52</v>
      </c>
      <c r="B30" s="1" t="s">
        <v>53</v>
      </c>
      <c r="C30" s="1" t="s">
        <v>54</v>
      </c>
    </row>
    <row r="31" spans="1:3" x14ac:dyDescent="0.2">
      <c r="A31" s="2" t="s">
        <v>55</v>
      </c>
      <c r="B31" s="3" t="s">
        <v>56</v>
      </c>
      <c r="C31" s="3" t="s">
        <v>57</v>
      </c>
    </row>
    <row r="32" spans="1:3" x14ac:dyDescent="0.2">
      <c r="A32" s="4" t="s">
        <v>58</v>
      </c>
      <c r="B32" s="5" t="s">
        <v>59</v>
      </c>
      <c r="C32" s="5" t="s">
        <v>57</v>
      </c>
    </row>
    <row r="33" spans="1:3" x14ac:dyDescent="0.2">
      <c r="A33" s="2" t="s">
        <v>60</v>
      </c>
      <c r="B33" s="3" t="s">
        <v>61</v>
      </c>
      <c r="C33" s="3" t="s">
        <v>57</v>
      </c>
    </row>
    <row r="34" spans="1:3" x14ac:dyDescent="0.2">
      <c r="A34" s="4" t="s">
        <v>62</v>
      </c>
      <c r="B34" s="5" t="s">
        <v>63</v>
      </c>
      <c r="C34" s="5" t="s">
        <v>57</v>
      </c>
    </row>
    <row r="35" spans="1:3" x14ac:dyDescent="0.2">
      <c r="A35" s="2" t="s">
        <v>64</v>
      </c>
      <c r="B35" s="3" t="s">
        <v>65</v>
      </c>
      <c r="C35" s="3" t="s">
        <v>57</v>
      </c>
    </row>
    <row r="36" spans="1:3" x14ac:dyDescent="0.2">
      <c r="A36" s="4" t="s">
        <v>66</v>
      </c>
      <c r="B36" s="5" t="s">
        <v>67</v>
      </c>
      <c r="C36" s="5" t="s">
        <v>57</v>
      </c>
    </row>
    <row r="37" spans="1:3" x14ac:dyDescent="0.2">
      <c r="A37" s="2" t="s">
        <v>68</v>
      </c>
      <c r="B37" s="3" t="s">
        <v>69</v>
      </c>
      <c r="C37" s="3" t="s">
        <v>57</v>
      </c>
    </row>
    <row r="38" spans="1:3" x14ac:dyDescent="0.2">
      <c r="A38" s="4" t="s">
        <v>70</v>
      </c>
      <c r="B38" s="5" t="s">
        <v>71</v>
      </c>
      <c r="C38" s="5" t="s">
        <v>57</v>
      </c>
    </row>
    <row r="39" spans="1:3" x14ac:dyDescent="0.2">
      <c r="A39" s="2" t="s">
        <v>72</v>
      </c>
      <c r="B39" s="3" t="s">
        <v>73</v>
      </c>
      <c r="C39" s="3" t="s">
        <v>57</v>
      </c>
    </row>
    <row r="40" spans="1:3" x14ac:dyDescent="0.2">
      <c r="A40" s="4" t="s">
        <v>74</v>
      </c>
      <c r="B40" s="5" t="s">
        <v>75</v>
      </c>
      <c r="C40" s="5" t="s">
        <v>57</v>
      </c>
    </row>
    <row r="41" spans="1:3" x14ac:dyDescent="0.2">
      <c r="A41" s="2" t="s">
        <v>76</v>
      </c>
      <c r="B41" s="3" t="s">
        <v>77</v>
      </c>
      <c r="C41" s="3" t="s">
        <v>57</v>
      </c>
    </row>
    <row r="42" spans="1:3" x14ac:dyDescent="0.2">
      <c r="A42" s="4" t="s">
        <v>78</v>
      </c>
      <c r="B42" s="5" t="s">
        <v>79</v>
      </c>
      <c r="C42" s="5" t="s">
        <v>57</v>
      </c>
    </row>
    <row r="43" spans="1:3" x14ac:dyDescent="0.2">
      <c r="A43" s="2" t="s">
        <v>80</v>
      </c>
      <c r="B43" s="3" t="s">
        <v>81</v>
      </c>
      <c r="C43" s="3" t="s">
        <v>57</v>
      </c>
    </row>
    <row r="44" spans="1:3" x14ac:dyDescent="0.2">
      <c r="A44" s="4" t="s">
        <v>82</v>
      </c>
      <c r="B44" s="5" t="s">
        <v>83</v>
      </c>
      <c r="C44" s="5" t="s">
        <v>57</v>
      </c>
    </row>
    <row r="45" spans="1:3" x14ac:dyDescent="0.2">
      <c r="A45" s="2" t="s">
        <v>84</v>
      </c>
      <c r="B45" s="3" t="s">
        <v>85</v>
      </c>
      <c r="C45" s="3" t="s">
        <v>57</v>
      </c>
    </row>
    <row r="46" spans="1:3" x14ac:dyDescent="0.2">
      <c r="A46" s="4" t="s">
        <v>86</v>
      </c>
      <c r="B46" s="5" t="s">
        <v>87</v>
      </c>
      <c r="C46" s="5" t="s">
        <v>88</v>
      </c>
    </row>
    <row r="47" spans="1:3" x14ac:dyDescent="0.2">
      <c r="A47" s="2" t="s">
        <v>89</v>
      </c>
      <c r="B47" s="3" t="s">
        <v>90</v>
      </c>
      <c r="C47" s="3" t="s">
        <v>91</v>
      </c>
    </row>
    <row r="48" spans="1:3" x14ac:dyDescent="0.2">
      <c r="A48" s="4" t="s">
        <v>92</v>
      </c>
      <c r="B48" s="5" t="s">
        <v>93</v>
      </c>
      <c r="C48" s="5" t="s">
        <v>94</v>
      </c>
    </row>
    <row r="49" spans="1:3" ht="45" x14ac:dyDescent="0.2">
      <c r="A49" s="2" t="s">
        <v>95</v>
      </c>
      <c r="B49" s="3" t="s">
        <v>96</v>
      </c>
      <c r="C49" s="3" t="s">
        <v>177</v>
      </c>
    </row>
    <row r="50" spans="1:3" ht="30" x14ac:dyDescent="0.2">
      <c r="A50" s="4" t="s">
        <v>97</v>
      </c>
      <c r="B50" s="5" t="s">
        <v>178</v>
      </c>
      <c r="C50" s="5" t="s">
        <v>57</v>
      </c>
    </row>
    <row r="51" spans="1:3" ht="45" x14ac:dyDescent="0.2">
      <c r="A51" s="2" t="s">
        <v>98</v>
      </c>
      <c r="B51" s="3" t="s">
        <v>99</v>
      </c>
      <c r="C51" s="3" t="s">
        <v>100</v>
      </c>
    </row>
    <row r="52" spans="1:3" ht="30" x14ac:dyDescent="0.2">
      <c r="A52" s="4" t="s">
        <v>101</v>
      </c>
      <c r="B52" s="5" t="s">
        <v>102</v>
      </c>
      <c r="C52" s="5" t="s">
        <v>103</v>
      </c>
    </row>
    <row r="53" spans="1:3" x14ac:dyDescent="0.2">
      <c r="A53" s="19" t="s">
        <v>2</v>
      </c>
      <c r="B53" s="19"/>
      <c r="C53" s="19"/>
    </row>
    <row r="54" spans="1:3" ht="29.25" customHeight="1" x14ac:dyDescent="0.2">
      <c r="A54" s="21" t="s">
        <v>104</v>
      </c>
      <c r="B54" s="21"/>
      <c r="C54" s="21"/>
    </row>
    <row r="55" spans="1:3" x14ac:dyDescent="0.2">
      <c r="A55" s="6" t="s">
        <v>105</v>
      </c>
      <c r="B55" s="23" t="s">
        <v>106</v>
      </c>
      <c r="C55" s="23"/>
    </row>
    <row r="56" spans="1:3" ht="29" customHeight="1" x14ac:dyDescent="0.2">
      <c r="A56" s="6" t="s">
        <v>105</v>
      </c>
      <c r="B56" s="23" t="s">
        <v>107</v>
      </c>
      <c r="C56" s="23"/>
    </row>
    <row r="57" spans="1:3" x14ac:dyDescent="0.2">
      <c r="A57" s="6" t="s">
        <v>105</v>
      </c>
      <c r="B57" s="23" t="s">
        <v>108</v>
      </c>
      <c r="C57" s="23"/>
    </row>
    <row r="58" spans="1:3" ht="30" customHeight="1" x14ac:dyDescent="0.2">
      <c r="A58" s="6" t="s">
        <v>105</v>
      </c>
      <c r="B58" s="23" t="s">
        <v>109</v>
      </c>
      <c r="C58" s="23"/>
    </row>
    <row r="59" spans="1:3" ht="30" customHeight="1" x14ac:dyDescent="0.2">
      <c r="A59" s="6" t="s">
        <v>105</v>
      </c>
      <c r="B59" s="23" t="s">
        <v>110</v>
      </c>
      <c r="C59" s="23"/>
    </row>
    <row r="60" spans="1:3" x14ac:dyDescent="0.2">
      <c r="A60" s="19" t="s">
        <v>2</v>
      </c>
      <c r="B60" s="19"/>
      <c r="C60" s="19"/>
    </row>
    <row r="61" spans="1:3" ht="29.25" customHeight="1" x14ac:dyDescent="0.2">
      <c r="A61" s="21" t="s">
        <v>111</v>
      </c>
      <c r="B61" s="21"/>
      <c r="C61" s="21"/>
    </row>
    <row r="62" spans="1:3" x14ac:dyDescent="0.2">
      <c r="A62" s="6" t="s">
        <v>105</v>
      </c>
      <c r="B62" s="23" t="s">
        <v>112</v>
      </c>
      <c r="C62" s="23"/>
    </row>
    <row r="63" spans="1:3" x14ac:dyDescent="0.2">
      <c r="A63" s="6" t="s">
        <v>105</v>
      </c>
      <c r="B63" s="23" t="s">
        <v>113</v>
      </c>
      <c r="C63" s="23"/>
    </row>
    <row r="64" spans="1:3" x14ac:dyDescent="0.2">
      <c r="A64" s="6" t="s">
        <v>105</v>
      </c>
      <c r="B64" s="23" t="s">
        <v>114</v>
      </c>
      <c r="C64" s="23"/>
    </row>
    <row r="65" spans="1:3" x14ac:dyDescent="0.2">
      <c r="A65" s="19" t="s">
        <v>2</v>
      </c>
      <c r="B65" s="19"/>
      <c r="C65" s="19"/>
    </row>
    <row r="66" spans="1:3" ht="29.25" customHeight="1" x14ac:dyDescent="0.2">
      <c r="A66" s="21" t="s">
        <v>115</v>
      </c>
      <c r="B66" s="21"/>
      <c r="C66" s="21"/>
    </row>
    <row r="67" spans="1:3" ht="24" customHeight="1" x14ac:dyDescent="0.2">
      <c r="A67" s="1" t="s">
        <v>116</v>
      </c>
      <c r="B67" s="1" t="s">
        <v>117</v>
      </c>
      <c r="C67" s="1" t="s">
        <v>2</v>
      </c>
    </row>
    <row r="68" spans="1:3" x14ac:dyDescent="0.2">
      <c r="A68" s="2" t="s">
        <v>179</v>
      </c>
      <c r="B68" s="3" t="s">
        <v>118</v>
      </c>
      <c r="C68" s="3" t="s">
        <v>2</v>
      </c>
    </row>
    <row r="69" spans="1:3" x14ac:dyDescent="0.2">
      <c r="A69" s="4" t="s">
        <v>119</v>
      </c>
      <c r="B69" s="5" t="s">
        <v>120</v>
      </c>
      <c r="C69" s="5" t="s">
        <v>2</v>
      </c>
    </row>
    <row r="70" spans="1:3" ht="45" x14ac:dyDescent="0.2">
      <c r="A70" s="4" t="s">
        <v>121</v>
      </c>
      <c r="B70" s="5" t="s">
        <v>122</v>
      </c>
      <c r="C70" s="5" t="s">
        <v>2</v>
      </c>
    </row>
    <row r="71" spans="1:3" x14ac:dyDescent="0.2">
      <c r="A71" s="19" t="s">
        <v>2</v>
      </c>
      <c r="B71" s="19"/>
      <c r="C71" s="19"/>
    </row>
    <row r="72" spans="1:3" ht="24" customHeight="1" x14ac:dyDescent="0.2">
      <c r="A72" s="1" t="s">
        <v>123</v>
      </c>
      <c r="B72" s="22" t="s">
        <v>2</v>
      </c>
      <c r="C72" s="22"/>
    </row>
    <row r="73" spans="1:3" x14ac:dyDescent="0.2">
      <c r="A73" s="6" t="s">
        <v>2</v>
      </c>
      <c r="B73" s="20" t="s">
        <v>124</v>
      </c>
      <c r="C73" s="20"/>
    </row>
    <row r="74" spans="1:3" x14ac:dyDescent="0.2">
      <c r="A74" s="6" t="s">
        <v>2</v>
      </c>
      <c r="B74" s="20" t="s">
        <v>125</v>
      </c>
      <c r="C74" s="20"/>
    </row>
    <row r="75" spans="1:3" x14ac:dyDescent="0.2">
      <c r="A75" s="6" t="s">
        <v>2</v>
      </c>
      <c r="B75" s="20" t="s">
        <v>126</v>
      </c>
      <c r="C75" s="20"/>
    </row>
    <row r="76" spans="1:3" x14ac:dyDescent="0.2">
      <c r="A76" s="6" t="s">
        <v>2</v>
      </c>
      <c r="B76" s="20" t="s">
        <v>127</v>
      </c>
      <c r="C76" s="20"/>
    </row>
    <row r="77" spans="1:3" x14ac:dyDescent="0.2">
      <c r="A77" s="19" t="s">
        <v>2</v>
      </c>
      <c r="B77" s="19"/>
      <c r="C77" s="19"/>
    </row>
    <row r="78" spans="1:3" ht="29.25" customHeight="1" x14ac:dyDescent="0.2">
      <c r="A78" s="21" t="s">
        <v>128</v>
      </c>
      <c r="B78" s="21"/>
      <c r="C78" s="21"/>
    </row>
    <row r="79" spans="1:3" x14ac:dyDescent="0.2">
      <c r="A79" s="7" t="s">
        <v>129</v>
      </c>
      <c r="B79" s="18" t="s">
        <v>130</v>
      </c>
      <c r="C79" s="18"/>
    </row>
    <row r="80" spans="1:3" x14ac:dyDescent="0.2">
      <c r="A80" s="7" t="s">
        <v>129</v>
      </c>
      <c r="B80" s="18" t="s">
        <v>131</v>
      </c>
      <c r="C80" s="18"/>
    </row>
    <row r="81" spans="1:3" x14ac:dyDescent="0.2">
      <c r="A81" s="7" t="s">
        <v>129</v>
      </c>
      <c r="B81" s="18" t="s">
        <v>132</v>
      </c>
      <c r="C81" s="18"/>
    </row>
    <row r="82" spans="1:3" x14ac:dyDescent="0.2">
      <c r="A82" s="7" t="s">
        <v>129</v>
      </c>
      <c r="B82" s="18" t="s">
        <v>133</v>
      </c>
      <c r="C82" s="18"/>
    </row>
    <row r="83" spans="1:3" x14ac:dyDescent="0.2">
      <c r="A83" s="7" t="s">
        <v>129</v>
      </c>
      <c r="B83" s="18" t="s">
        <v>134</v>
      </c>
      <c r="C83" s="18"/>
    </row>
    <row r="84" spans="1:3" x14ac:dyDescent="0.2">
      <c r="A84" s="7" t="s">
        <v>129</v>
      </c>
      <c r="B84" s="18" t="s">
        <v>135</v>
      </c>
      <c r="C84" s="18"/>
    </row>
    <row r="85" spans="1:3" x14ac:dyDescent="0.2">
      <c r="A85" s="7" t="s">
        <v>129</v>
      </c>
      <c r="B85" s="18" t="s">
        <v>136</v>
      </c>
      <c r="C85" s="18"/>
    </row>
    <row r="86" spans="1:3" x14ac:dyDescent="0.2">
      <c r="A86" s="19" t="s">
        <v>2</v>
      </c>
      <c r="B86" s="19"/>
      <c r="C86" s="19"/>
    </row>
  </sheetData>
  <mergeCells count="40">
    <mergeCell ref="A1:C1"/>
    <mergeCell ref="A2:C2"/>
    <mergeCell ref="A3:C3"/>
    <mergeCell ref="A4:C4"/>
    <mergeCell ref="A9:C9"/>
    <mergeCell ref="A10:C10"/>
    <mergeCell ref="A15:C15"/>
    <mergeCell ref="A16:C16"/>
    <mergeCell ref="A28:C28"/>
    <mergeCell ref="A29:C29"/>
    <mergeCell ref="A53:C53"/>
    <mergeCell ref="A54:C54"/>
    <mergeCell ref="B55:C55"/>
    <mergeCell ref="B56:C56"/>
    <mergeCell ref="B57:C57"/>
    <mergeCell ref="B63:C63"/>
    <mergeCell ref="B64:C64"/>
    <mergeCell ref="A65:C65"/>
    <mergeCell ref="B58:C58"/>
    <mergeCell ref="B59:C59"/>
    <mergeCell ref="A60:C60"/>
    <mergeCell ref="A61:C61"/>
    <mergeCell ref="B62:C62"/>
    <mergeCell ref="A66:C66"/>
    <mergeCell ref="A71:C71"/>
    <mergeCell ref="B72:C72"/>
    <mergeCell ref="B73:C73"/>
    <mergeCell ref="B74:C74"/>
    <mergeCell ref="B75:C75"/>
    <mergeCell ref="B76:C76"/>
    <mergeCell ref="A77:C77"/>
    <mergeCell ref="A78:C78"/>
    <mergeCell ref="B79:C79"/>
    <mergeCell ref="B84:C84"/>
    <mergeCell ref="B85:C85"/>
    <mergeCell ref="A86:C86"/>
    <mergeCell ref="B80:C80"/>
    <mergeCell ref="B81:C81"/>
    <mergeCell ref="B82:C82"/>
    <mergeCell ref="B83:C83"/>
  </mergeCell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"/>
  <sheetViews>
    <sheetView tabSelected="1" zoomScale="84" workbookViewId="0">
      <selection activeCell="E47" sqref="E47"/>
    </sheetView>
  </sheetViews>
  <sheetFormatPr baseColWidth="10" defaultColWidth="8.83203125" defaultRowHeight="15" outlineLevelRow="1" x14ac:dyDescent="0.2"/>
  <cols>
    <col min="1" max="1" width="20" customWidth="1"/>
    <col min="2" max="2" width="40" customWidth="1"/>
    <col min="3" max="4" width="20" customWidth="1"/>
    <col min="5" max="5" width="70" customWidth="1"/>
    <col min="6" max="6" width="30" customWidth="1"/>
    <col min="7" max="7" width="50" customWidth="1"/>
    <col min="8" max="8" width="8.6640625" bestFit="1" customWidth="1"/>
    <col min="9" max="9" width="9.1640625" bestFit="1" customWidth="1"/>
    <col min="10" max="10" width="14.6640625" customWidth="1"/>
  </cols>
  <sheetData>
    <row r="1" spans="1:10" ht="16" x14ac:dyDescent="0.2">
      <c r="A1" s="15" t="s">
        <v>137</v>
      </c>
      <c r="B1" s="16"/>
      <c r="C1" s="16"/>
      <c r="D1" s="16"/>
      <c r="E1" s="16"/>
      <c r="F1" s="16"/>
      <c r="G1" s="16"/>
      <c r="H1" s="16"/>
      <c r="I1" s="16"/>
      <c r="J1" s="17"/>
    </row>
    <row r="2" spans="1:10" ht="16" x14ac:dyDescent="0.2">
      <c r="A2" s="8" t="s">
        <v>53</v>
      </c>
      <c r="B2" s="14" t="s">
        <v>138</v>
      </c>
      <c r="C2" s="14"/>
      <c r="D2" s="14"/>
      <c r="E2" s="14"/>
      <c r="F2" s="14"/>
      <c r="G2" s="14"/>
      <c r="H2" s="14"/>
      <c r="I2" s="14"/>
      <c r="J2" s="14"/>
    </row>
    <row r="3" spans="1:10" ht="16" x14ac:dyDescent="0.2">
      <c r="A3" s="8" t="s">
        <v>139</v>
      </c>
      <c r="B3" s="14" t="s">
        <v>140</v>
      </c>
      <c r="C3" s="14"/>
      <c r="D3" s="14"/>
      <c r="E3" s="14"/>
      <c r="F3" s="14"/>
      <c r="G3" s="14"/>
      <c r="H3" s="14"/>
      <c r="I3" s="14"/>
      <c r="J3" s="14"/>
    </row>
    <row r="4" spans="1:10" ht="19" x14ac:dyDescent="0.25">
      <c r="A4" s="9" t="s">
        <v>26</v>
      </c>
      <c r="B4" s="9" t="s">
        <v>29</v>
      </c>
      <c r="C4" s="9" t="s">
        <v>32</v>
      </c>
      <c r="D4" s="9" t="s">
        <v>35</v>
      </c>
      <c r="E4" s="9" t="s">
        <v>38</v>
      </c>
      <c r="F4" s="9" t="s">
        <v>41</v>
      </c>
      <c r="G4" s="9" t="s">
        <v>43</v>
      </c>
      <c r="H4" s="9" t="s">
        <v>45</v>
      </c>
      <c r="I4" s="9" t="s">
        <v>47</v>
      </c>
      <c r="J4" s="9" t="s">
        <v>49</v>
      </c>
    </row>
    <row r="5" spans="1:10" ht="16" x14ac:dyDescent="0.2">
      <c r="A5" s="10" t="s">
        <v>8</v>
      </c>
      <c r="B5" s="10" t="s">
        <v>95</v>
      </c>
      <c r="C5" s="10" t="s">
        <v>141</v>
      </c>
      <c r="D5" s="10"/>
      <c r="E5" s="10" t="s">
        <v>141</v>
      </c>
      <c r="F5" s="10" t="s">
        <v>8</v>
      </c>
      <c r="G5" s="10" t="s">
        <v>142</v>
      </c>
      <c r="H5" s="10"/>
      <c r="I5" s="10"/>
      <c r="J5" s="10"/>
    </row>
    <row r="6" spans="1:10" ht="16" x14ac:dyDescent="0.2">
      <c r="A6" s="10" t="s">
        <v>10</v>
      </c>
      <c r="B6" s="10" t="s">
        <v>55</v>
      </c>
      <c r="C6" s="10"/>
      <c r="D6" s="10"/>
      <c r="E6" s="10" t="s">
        <v>55</v>
      </c>
      <c r="F6" s="10" t="s">
        <v>10</v>
      </c>
      <c r="G6" s="10">
        <v>1</v>
      </c>
      <c r="H6" s="10"/>
      <c r="I6" s="10"/>
      <c r="J6" s="10"/>
    </row>
    <row r="7" spans="1:10" ht="16" x14ac:dyDescent="0.2">
      <c r="A7" s="10" t="s">
        <v>8</v>
      </c>
      <c r="B7" s="10" t="s">
        <v>58</v>
      </c>
      <c r="C7" s="10"/>
      <c r="D7" s="10"/>
      <c r="E7" s="10" t="s">
        <v>58</v>
      </c>
      <c r="F7" s="10" t="s">
        <v>8</v>
      </c>
      <c r="G7" s="10">
        <v>1</v>
      </c>
      <c r="H7" s="10"/>
      <c r="I7" s="10"/>
      <c r="J7" s="10"/>
    </row>
    <row r="8" spans="1:10" ht="16" x14ac:dyDescent="0.2">
      <c r="A8" s="10" t="s">
        <v>8</v>
      </c>
      <c r="B8" s="10" t="s">
        <v>60</v>
      </c>
      <c r="C8" s="10"/>
      <c r="D8" s="10"/>
      <c r="E8" s="10" t="s">
        <v>60</v>
      </c>
      <c r="F8" s="10" t="s">
        <v>8</v>
      </c>
      <c r="G8" s="10" t="s">
        <v>143</v>
      </c>
      <c r="H8" s="10"/>
      <c r="I8" s="10"/>
      <c r="J8" s="10"/>
    </row>
    <row r="9" spans="1:10" ht="16" x14ac:dyDescent="0.2">
      <c r="A9" s="10" t="s">
        <v>8</v>
      </c>
      <c r="B9" s="10" t="s">
        <v>86</v>
      </c>
      <c r="C9" s="10" t="s">
        <v>180</v>
      </c>
      <c r="D9" s="10"/>
      <c r="E9" s="10" t="s">
        <v>144</v>
      </c>
      <c r="F9" s="10" t="s">
        <v>8</v>
      </c>
      <c r="G9" s="10">
        <v>12345</v>
      </c>
      <c r="H9" s="10"/>
      <c r="I9" s="10"/>
      <c r="J9" s="10"/>
    </row>
    <row r="10" spans="1:10" ht="16" x14ac:dyDescent="0.2">
      <c r="A10" s="10" t="s">
        <v>8</v>
      </c>
      <c r="B10" s="10" t="s">
        <v>62</v>
      </c>
      <c r="C10" s="10"/>
      <c r="D10" s="10"/>
      <c r="E10" s="10" t="s">
        <v>62</v>
      </c>
      <c r="F10" s="10" t="s">
        <v>8</v>
      </c>
      <c r="G10" s="10" t="b">
        <v>1</v>
      </c>
      <c r="H10" s="10"/>
      <c r="I10" s="10"/>
      <c r="J10" s="10"/>
    </row>
    <row r="11" spans="1:10" ht="16" x14ac:dyDescent="0.2">
      <c r="A11" s="10" t="s">
        <v>8</v>
      </c>
      <c r="B11" s="10" t="s">
        <v>64</v>
      </c>
      <c r="C11" s="10"/>
      <c r="D11" s="10"/>
      <c r="E11" s="10" t="s">
        <v>64</v>
      </c>
      <c r="F11" s="10" t="s">
        <v>8</v>
      </c>
      <c r="G11" s="10" t="s">
        <v>145</v>
      </c>
      <c r="H11" s="10"/>
      <c r="I11" s="10"/>
      <c r="J11" s="10"/>
    </row>
    <row r="12" spans="1:10" ht="16" x14ac:dyDescent="0.2">
      <c r="A12" s="10" t="s">
        <v>8</v>
      </c>
      <c r="B12" s="10" t="s">
        <v>66</v>
      </c>
      <c r="C12" s="10"/>
      <c r="D12" s="10"/>
      <c r="E12" s="10" t="s">
        <v>66</v>
      </c>
      <c r="F12" s="10" t="s">
        <v>8</v>
      </c>
      <c r="G12" s="10" t="s">
        <v>146</v>
      </c>
      <c r="H12" s="10"/>
      <c r="I12" s="10"/>
      <c r="J12" s="10"/>
    </row>
    <row r="13" spans="1:10" ht="16" x14ac:dyDescent="0.2">
      <c r="A13" s="10" t="s">
        <v>8</v>
      </c>
      <c r="B13" s="10" t="s">
        <v>68</v>
      </c>
      <c r="C13" s="10"/>
      <c r="D13" s="10"/>
      <c r="E13" s="10" t="s">
        <v>68</v>
      </c>
      <c r="F13" s="10" t="s">
        <v>8</v>
      </c>
      <c r="G13" s="10" t="s">
        <v>147</v>
      </c>
      <c r="H13" s="10"/>
      <c r="I13" s="10"/>
      <c r="J13" s="10"/>
    </row>
    <row r="14" spans="1:10" ht="16" x14ac:dyDescent="0.2">
      <c r="A14" s="10" t="s">
        <v>8</v>
      </c>
      <c r="B14" s="10" t="s">
        <v>70</v>
      </c>
      <c r="C14" s="10"/>
      <c r="D14" s="10"/>
      <c r="E14" s="10" t="s">
        <v>70</v>
      </c>
      <c r="F14" s="10" t="s">
        <v>8</v>
      </c>
      <c r="G14" s="10" t="s">
        <v>148</v>
      </c>
      <c r="H14" s="10"/>
      <c r="I14" s="10"/>
      <c r="J14" s="10"/>
    </row>
    <row r="15" spans="1:10" ht="16" x14ac:dyDescent="0.2">
      <c r="A15" s="10" t="s">
        <v>8</v>
      </c>
      <c r="B15" s="10" t="s">
        <v>72</v>
      </c>
      <c r="C15" s="10"/>
      <c r="D15" s="10"/>
      <c r="E15" s="10" t="s">
        <v>72</v>
      </c>
      <c r="F15" s="10" t="s">
        <v>8</v>
      </c>
      <c r="G15" s="10" t="s">
        <v>149</v>
      </c>
      <c r="H15" s="10"/>
      <c r="I15" s="10"/>
      <c r="J15" s="10"/>
    </row>
    <row r="16" spans="1:10" ht="16" x14ac:dyDescent="0.2">
      <c r="A16" s="10" t="s">
        <v>8</v>
      </c>
      <c r="B16" s="10" t="s">
        <v>74</v>
      </c>
      <c r="C16" s="10"/>
      <c r="D16" s="10"/>
      <c r="E16" s="10" t="s">
        <v>74</v>
      </c>
      <c r="F16" s="10" t="s">
        <v>8</v>
      </c>
      <c r="G16" s="10" t="s">
        <v>150</v>
      </c>
      <c r="H16" s="10"/>
      <c r="I16" s="10"/>
      <c r="J16" s="10"/>
    </row>
    <row r="17" spans="1:10" ht="16" x14ac:dyDescent="0.2">
      <c r="A17" s="10" t="s">
        <v>8</v>
      </c>
      <c r="B17" s="10" t="s">
        <v>76</v>
      </c>
      <c r="C17" s="10"/>
      <c r="D17" s="10"/>
      <c r="E17" s="10" t="s">
        <v>76</v>
      </c>
      <c r="F17" s="10" t="s">
        <v>8</v>
      </c>
      <c r="G17" s="10" t="s">
        <v>151</v>
      </c>
      <c r="H17" s="10"/>
      <c r="I17" s="10"/>
      <c r="J17" s="10"/>
    </row>
    <row r="18" spans="1:10" ht="16" x14ac:dyDescent="0.2">
      <c r="A18" s="10" t="s">
        <v>8</v>
      </c>
      <c r="B18" s="10" t="s">
        <v>78</v>
      </c>
      <c r="C18" s="10"/>
      <c r="D18" s="10"/>
      <c r="E18" s="10" t="s">
        <v>78</v>
      </c>
      <c r="F18" s="10" t="s">
        <v>8</v>
      </c>
      <c r="G18" s="10" t="s">
        <v>152</v>
      </c>
      <c r="H18" s="10"/>
      <c r="I18" s="10"/>
      <c r="J18" s="10"/>
    </row>
    <row r="19" spans="1:10" ht="32" x14ac:dyDescent="0.2">
      <c r="A19" s="10" t="s">
        <v>8</v>
      </c>
      <c r="B19" s="10" t="s">
        <v>101</v>
      </c>
      <c r="C19" s="10" t="s">
        <v>153</v>
      </c>
      <c r="D19" s="10"/>
      <c r="E19" s="10" t="s">
        <v>101</v>
      </c>
      <c r="F19" s="10" t="s">
        <v>8</v>
      </c>
      <c r="G19" s="10"/>
      <c r="H19" s="10"/>
      <c r="I19" s="10"/>
      <c r="J19" s="10"/>
    </row>
    <row r="20" spans="1:10" ht="16" x14ac:dyDescent="0.2">
      <c r="A20" s="10" t="s">
        <v>8</v>
      </c>
      <c r="B20" s="10" t="s">
        <v>82</v>
      </c>
      <c r="C20" s="10"/>
      <c r="D20" s="10"/>
      <c r="E20" s="10" t="s">
        <v>82</v>
      </c>
      <c r="F20" s="10" t="s">
        <v>8</v>
      </c>
      <c r="G20" s="10"/>
      <c r="H20" s="10"/>
      <c r="I20" s="10"/>
      <c r="J20" s="10"/>
    </row>
    <row r="21" spans="1:10" ht="16" x14ac:dyDescent="0.2">
      <c r="A21" s="10" t="s">
        <v>8</v>
      </c>
      <c r="B21" s="10" t="s">
        <v>89</v>
      </c>
      <c r="C21" s="10" t="s">
        <v>154</v>
      </c>
      <c r="D21" s="10"/>
      <c r="E21" s="10" t="s">
        <v>155</v>
      </c>
      <c r="F21" s="10" t="s">
        <v>8</v>
      </c>
      <c r="G21" s="10">
        <v>1</v>
      </c>
      <c r="H21" s="10"/>
      <c r="I21" s="10"/>
      <c r="J21" s="10"/>
    </row>
    <row r="22" spans="1:10" ht="16" x14ac:dyDescent="0.2">
      <c r="A22" s="10" t="s">
        <v>8</v>
      </c>
      <c r="B22" s="10" t="s">
        <v>92</v>
      </c>
      <c r="C22" s="10" t="s">
        <v>156</v>
      </c>
      <c r="D22" s="10"/>
      <c r="E22" s="10" t="s">
        <v>157</v>
      </c>
      <c r="F22" s="10" t="s">
        <v>8</v>
      </c>
      <c r="G22" s="10">
        <v>1</v>
      </c>
      <c r="H22" s="10"/>
      <c r="I22" s="10"/>
      <c r="J22" s="10"/>
    </row>
    <row r="23" spans="1:10" ht="16" x14ac:dyDescent="0.2">
      <c r="A23" s="10" t="s">
        <v>8</v>
      </c>
      <c r="B23" s="10" t="s">
        <v>84</v>
      </c>
      <c r="C23" s="10"/>
      <c r="D23" s="10"/>
      <c r="E23" s="10" t="s">
        <v>158</v>
      </c>
      <c r="F23" s="10" t="s">
        <v>8</v>
      </c>
      <c r="G23" s="10" t="s">
        <v>159</v>
      </c>
      <c r="H23" s="10"/>
      <c r="I23" s="10"/>
      <c r="J23" s="10"/>
    </row>
    <row r="24" spans="1:10" ht="16" x14ac:dyDescent="0.2">
      <c r="A24" s="10" t="s">
        <v>8</v>
      </c>
      <c r="B24" s="10" t="s">
        <v>60</v>
      </c>
      <c r="C24" s="10"/>
      <c r="D24" s="10" t="b">
        <f>EXACT(G5,"Option 1")</f>
        <v>1</v>
      </c>
      <c r="E24" s="10" t="s">
        <v>160</v>
      </c>
      <c r="F24" s="10" t="s">
        <v>8</v>
      </c>
      <c r="G24" s="10" t="s">
        <v>143</v>
      </c>
      <c r="H24" s="10"/>
      <c r="I24" s="10"/>
      <c r="J24" s="10"/>
    </row>
    <row r="25" spans="1:10" ht="16" x14ac:dyDescent="0.2">
      <c r="A25" s="10" t="s">
        <v>8</v>
      </c>
      <c r="B25" s="10" t="s">
        <v>60</v>
      </c>
      <c r="C25" s="10"/>
      <c r="D25" s="10" t="b">
        <f>NOT(EXACT(G5,"Option 1"))</f>
        <v>0</v>
      </c>
      <c r="E25" s="10" t="s">
        <v>161</v>
      </c>
      <c r="F25" s="10" t="s">
        <v>8</v>
      </c>
      <c r="G25" s="10" t="s">
        <v>143</v>
      </c>
      <c r="H25" s="10"/>
      <c r="I25" s="10"/>
      <c r="J25" s="10"/>
    </row>
    <row r="26" spans="1:10" ht="16" x14ac:dyDescent="0.2">
      <c r="A26" s="10" t="s">
        <v>8</v>
      </c>
      <c r="B26" s="10" t="s">
        <v>60</v>
      </c>
      <c r="C26" s="10"/>
      <c r="D26" s="10" t="s">
        <v>8</v>
      </c>
      <c r="E26" s="10" t="s">
        <v>162</v>
      </c>
      <c r="F26" s="10" t="s">
        <v>8</v>
      </c>
      <c r="G26" s="10" t="s">
        <v>143</v>
      </c>
      <c r="H26" s="10"/>
      <c r="I26" s="10"/>
      <c r="J26" s="10"/>
    </row>
    <row r="27" spans="1:10" ht="16" x14ac:dyDescent="0.2">
      <c r="A27" s="10" t="s">
        <v>8</v>
      </c>
      <c r="B27" s="10" t="s">
        <v>98</v>
      </c>
      <c r="C27" s="10" t="s">
        <v>163</v>
      </c>
      <c r="D27" s="10"/>
      <c r="E27" s="10" t="s">
        <v>164</v>
      </c>
      <c r="F27" s="10" t="s">
        <v>8</v>
      </c>
      <c r="G27" s="10">
        <f>G6+G7</f>
        <v>2</v>
      </c>
      <c r="H27" s="10"/>
      <c r="I27" s="10"/>
      <c r="J27" s="10"/>
    </row>
    <row r="28" spans="1:10" ht="16" x14ac:dyDescent="0.2">
      <c r="A28" s="10" t="s">
        <v>8</v>
      </c>
      <c r="B28" s="10" t="s">
        <v>97</v>
      </c>
      <c r="C28" s="10"/>
      <c r="D28" s="10"/>
      <c r="E28" s="10" t="s">
        <v>165</v>
      </c>
      <c r="F28" s="10" t="s">
        <v>8</v>
      </c>
      <c r="G28" s="10"/>
      <c r="H28" s="10"/>
      <c r="I28" s="10"/>
      <c r="J28" s="10"/>
    </row>
    <row r="29" spans="1:10" ht="16" outlineLevel="1" collapsed="1" x14ac:dyDescent="0.2">
      <c r="A29" s="11" t="s">
        <v>8</v>
      </c>
      <c r="B29" s="11" t="s">
        <v>60</v>
      </c>
      <c r="C29" s="11"/>
      <c r="D29" s="11"/>
      <c r="E29" s="11" t="s">
        <v>166</v>
      </c>
      <c r="F29" s="11" t="s">
        <v>8</v>
      </c>
      <c r="G29" s="11" t="s">
        <v>167</v>
      </c>
      <c r="H29" s="11"/>
      <c r="I29" s="11"/>
      <c r="J29" s="11"/>
    </row>
    <row r="30" spans="1:10" ht="16" outlineLevel="1" collapsed="1" x14ac:dyDescent="0.2">
      <c r="A30" s="11" t="s">
        <v>10</v>
      </c>
      <c r="B30" s="11" t="s">
        <v>55</v>
      </c>
      <c r="C30" s="11"/>
      <c r="D30" s="11"/>
      <c r="E30" s="11" t="s">
        <v>168</v>
      </c>
      <c r="F30" s="11" t="s">
        <v>10</v>
      </c>
      <c r="G30" s="11">
        <v>1</v>
      </c>
      <c r="H30" s="11"/>
      <c r="I30" s="11"/>
      <c r="J30" s="11"/>
    </row>
  </sheetData>
  <mergeCells count="3">
    <mergeCell ref="B2:J2"/>
    <mergeCell ref="B3:J3"/>
    <mergeCell ref="A1:J1"/>
  </mergeCell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>
      <selection activeCell="F42" sqref="F42"/>
    </sheetView>
  </sheetViews>
  <sheetFormatPr baseColWidth="10" defaultColWidth="8.83203125" defaultRowHeight="15" x14ac:dyDescent="0.2"/>
  <cols>
    <col min="1" max="2" width="28" customWidth="1"/>
    <col min="3" max="3" width="18" customWidth="1"/>
    <col min="4" max="4" width="28" customWidth="1"/>
  </cols>
  <sheetData>
    <row r="1" spans="1:4" ht="17" x14ac:dyDescent="0.2">
      <c r="A1" s="12" t="s">
        <v>137</v>
      </c>
      <c r="B1" s="12" t="s">
        <v>169</v>
      </c>
      <c r="C1" s="12" t="s">
        <v>170</v>
      </c>
      <c r="D1" s="12" t="s">
        <v>171</v>
      </c>
    </row>
    <row r="2" spans="1:4" ht="16" x14ac:dyDescent="0.2">
      <c r="A2" s="13" t="s">
        <v>137</v>
      </c>
      <c r="B2" s="13" t="s">
        <v>141</v>
      </c>
      <c r="C2" s="13" t="s">
        <v>8</v>
      </c>
      <c r="D2" s="13" t="s">
        <v>142</v>
      </c>
    </row>
    <row r="3" spans="1:4" ht="16" x14ac:dyDescent="0.2">
      <c r="A3" s="13"/>
      <c r="B3" s="13"/>
      <c r="C3" s="13"/>
      <c r="D3" s="13" t="s">
        <v>172</v>
      </c>
    </row>
    <row r="4" spans="1:4" ht="16" x14ac:dyDescent="0.2">
      <c r="A4" s="13"/>
      <c r="B4" s="13"/>
      <c r="C4" s="13"/>
      <c r="D4" s="13" t="s">
        <v>173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Schema name</vt:lpstr>
      <vt:lpstr>Enums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2026-05-27T22:40:36Z</dcterms:created>
  <dcterms:modified xsi:type="dcterms:W3CDTF">2026-06-02T23:37:17Z</dcterms:modified>
  <cp:category/>
</cp:coreProperties>
</file>