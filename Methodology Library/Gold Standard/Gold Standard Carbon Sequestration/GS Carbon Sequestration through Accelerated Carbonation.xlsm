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20.xml" ContentType="application/vnd.ms-excel.controlproperties+xml"/>
  <Override PartName="/xl/drawings/drawing5.xml" ContentType="application/vnd.openxmlformats-officedocument.drawing+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drawings/drawing7.xml" ContentType="application/vnd.openxmlformats-officedocument.drawing+xml"/>
  <Override PartName="/xl/ctrlProps/ctrlProp23.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8.xml" ContentType="application/vnd.openxmlformats-officedocument.drawing+xml"/>
  <Override PartName="/xl/ctrlProps/ctrlProp24.xml" ContentType="application/vnd.ms-excel.controlproperties+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4.xml" ContentType="application/vnd.openxmlformats-officedocument.spreadsheetml.comments+xml"/>
  <Override PartName="/xl/threadedComments/threadedComment4.xml" ContentType="application/vnd.ms-excel.threadedcomments+xml"/>
  <Override PartName="/xl/drawings/drawing10.xml" ContentType="application/vnd.openxmlformats-officedocument.drawing+xml"/>
  <Override PartName="/xl/ctrlProps/ctrlProp32.xml" ContentType="application/vnd.ms-excel.controlproperties+xml"/>
  <Override PartName="/xl/comments5.xml" ContentType="application/vnd.openxmlformats-officedocument.spreadsheetml.comments+xml"/>
  <Override PartName="/xl/threadedComments/threadedComment5.xml" ContentType="application/vnd.ms-excel.threadedcomments+xml"/>
  <Override PartName="/xl/drawings/drawing11.xml" ContentType="application/vnd.openxmlformats-officedocument.drawing+xml"/>
  <Override PartName="/xl/ctrlProps/ctrlProp33.xml" ContentType="application/vnd.ms-excel.controlproperties+xml"/>
  <Override PartName="/xl/comments6.xml" ContentType="application/vnd.openxmlformats-officedocument.spreadsheetml.comments+xml"/>
  <Override PartName="/xl/threadedComments/threadedComment6.xml" ContentType="application/vnd.ms-excel.threadedcomments+xml"/>
  <Override PartName="/xl/drawings/drawing12.xml" ContentType="application/vnd.openxmlformats-officedocument.drawing+xml"/>
  <Override PartName="/xl/ctrlProps/ctrlProp34.xml" ContentType="application/vnd.ms-excel.controlproperties+xml"/>
  <Override PartName="/xl/comments7.xml" ContentType="application/vnd.openxmlformats-officedocument.spreadsheetml.comments+xml"/>
  <Override PartName="/xl/threadedComments/threadedComment7.xml" ContentType="application/vnd.ms-excel.threadedcomments+xml"/>
  <Override PartName="/xl/drawings/drawing13.xml" ContentType="application/vnd.openxmlformats-officedocument.drawing+xml"/>
  <Override PartName="/xl/ctrlProps/ctrlProp35.xml" ContentType="application/vnd.ms-excel.controlproperties+xml"/>
  <Override PartName="/xl/comments8.xml" ContentType="application/vnd.openxmlformats-officedocument.spreadsheetml.comments+xml"/>
  <Override PartName="/xl/threadedComments/threadedComment8.xml" ContentType="application/vnd.ms-excel.threadedcomments+xml"/>
  <Override PartName="/xl/drawings/drawing14.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omments9.xml" ContentType="application/vnd.openxmlformats-officedocument.spreadsheetml.comments+xml"/>
  <Override PartName="/xl/threadedComments/threadedComment9.xml" ContentType="application/vnd.ms-excel.threadedcomments+xml"/>
  <Override PartName="/xl/drawings/drawing1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D:\Desktop\Guardian Docs\Gold Standard Biochar\"/>
    </mc:Choice>
  </mc:AlternateContent>
  <xr:revisionPtr revIDLastSave="0" documentId="8_{3BC768EC-DD63-48B2-80B1-A95D00DD4B92}" xr6:coauthVersionLast="47" xr6:coauthVersionMax="47" xr10:uidLastSave="{00000000-0000-0000-0000-000000000000}"/>
  <bookViews>
    <workbookView xWindow="-120" yWindow="-120" windowWidth="29040" windowHeight="15840" activeTab="1" xr2:uid="{F8C3D033-E839-47B7-9531-4CDC3009DE76}"/>
  </bookViews>
  <sheets>
    <sheet name="Instructions" sheetId="17" r:id="rId1"/>
    <sheet name="Project Details" sheetId="1" r:id="rId2"/>
    <sheet name="Baseline-Project Sinks" sheetId="2" r:id="rId3"/>
    <sheet name="Ex-ante Project Sinks" sheetId="3" r:id="rId4"/>
    <sheet name="Ex-Post Direct Project Sinks" sheetId="6" r:id="rId5"/>
    <sheet name="Ex-Post Indirect Project Sinks" sheetId="7" r:id="rId6"/>
    <sheet name="Project Emissions" sheetId="8" r:id="rId7"/>
    <sheet name="PE from Fuel Consumption" sheetId="10" r:id="rId8"/>
    <sheet name="Leakage" sheetId="11" r:id="rId9"/>
    <sheet name="LE from Fuel Consumption" sheetId="12" r:id="rId10"/>
    <sheet name="Leakage Category E" sheetId="13" r:id="rId11"/>
    <sheet name="Leakage Category F.1" sheetId="14" r:id="rId12"/>
    <sheet name="Leakage Category F.2" sheetId="16" r:id="rId13"/>
    <sheet name="Emission Reductions" sheetId="18" r:id="rId14"/>
    <sheet name="Tool 02" sheetId="19" r:id="rId1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7" i="13" l="1"/>
  <c r="H26" i="13"/>
  <c r="E123" i="2"/>
  <c r="C220" i="11"/>
  <c r="C183" i="11"/>
  <c r="C153" i="11"/>
  <c r="C123" i="11"/>
  <c r="C93" i="11"/>
  <c r="C63" i="11"/>
  <c r="C248" i="11"/>
  <c r="C55" i="2"/>
  <c r="C130" i="2"/>
  <c r="C79" i="2"/>
  <c r="C27" i="2"/>
  <c r="E155" i="11"/>
  <c r="E65" i="11"/>
  <c r="E250" i="11"/>
  <c r="E64" i="8"/>
  <c r="D49" i="8"/>
  <c r="E62" i="8"/>
  <c r="D45" i="8"/>
  <c r="H28" i="13"/>
  <c r="H29" i="13"/>
  <c r="H30" i="13"/>
  <c r="H31" i="13"/>
  <c r="H32" i="13"/>
  <c r="H33" i="13"/>
  <c r="H34" i="13"/>
  <c r="H35" i="13"/>
  <c r="H36" i="13"/>
  <c r="H37" i="13"/>
  <c r="H38" i="13"/>
  <c r="H39" i="13"/>
  <c r="H40" i="13"/>
  <c r="H41" i="13"/>
  <c r="H42" i="13"/>
  <c r="H43" i="13"/>
  <c r="H44" i="13"/>
  <c r="H45" i="13"/>
  <c r="H46" i="13"/>
  <c r="H47" i="13"/>
  <c r="H48" i="13"/>
  <c r="H49" i="13"/>
  <c r="H50" i="13"/>
  <c r="H51" i="13"/>
  <c r="H52" i="13"/>
  <c r="H53" i="13"/>
  <c r="H54" i="13"/>
  <c r="H55" i="13"/>
  <c r="H56" i="13"/>
  <c r="H57" i="13"/>
  <c r="H58" i="13"/>
  <c r="H59" i="13"/>
  <c r="H60" i="13"/>
  <c r="H61" i="13"/>
  <c r="H62" i="13"/>
  <c r="H63" i="13"/>
  <c r="H64" i="13"/>
  <c r="H65" i="13"/>
  <c r="H66" i="13"/>
  <c r="H67" i="13"/>
  <c r="H68" i="13"/>
  <c r="H69" i="13"/>
  <c r="H70" i="13"/>
  <c r="H71" i="13"/>
  <c r="H72" i="13"/>
  <c r="H73" i="13"/>
  <c r="H74" i="13"/>
  <c r="H75" i="13"/>
  <c r="H76" i="13"/>
  <c r="H77" i="13"/>
  <c r="H78" i="13"/>
  <c r="H79" i="13"/>
  <c r="H80" i="13"/>
  <c r="H81" i="13"/>
  <c r="H82" i="13"/>
  <c r="H83" i="13"/>
  <c r="H84" i="13"/>
  <c r="H85" i="13"/>
  <c r="H86" i="13"/>
  <c r="H25" i="13"/>
  <c r="H25" i="16"/>
  <c r="H86" i="16"/>
  <c r="H85" i="16"/>
  <c r="H84" i="16"/>
  <c r="H83" i="16"/>
  <c r="H82" i="16"/>
  <c r="H81" i="16"/>
  <c r="H80" i="16"/>
  <c r="H79" i="16"/>
  <c r="H78" i="16"/>
  <c r="H77" i="16"/>
  <c r="H76" i="16"/>
  <c r="H75" i="16"/>
  <c r="H74" i="16"/>
  <c r="H73" i="16"/>
  <c r="H72" i="16"/>
  <c r="H71" i="16"/>
  <c r="H70" i="16"/>
  <c r="H69" i="16"/>
  <c r="H68" i="16"/>
  <c r="H67" i="16"/>
  <c r="H66" i="16"/>
  <c r="H65" i="16"/>
  <c r="H64" i="16"/>
  <c r="H63" i="16"/>
  <c r="H62" i="16"/>
  <c r="H61" i="16"/>
  <c r="H60" i="16"/>
  <c r="H59" i="16"/>
  <c r="H58" i="16"/>
  <c r="H57" i="16"/>
  <c r="H56" i="16"/>
  <c r="H55" i="16"/>
  <c r="H54" i="16"/>
  <c r="H53" i="16"/>
  <c r="H52" i="16"/>
  <c r="H51" i="16"/>
  <c r="H50" i="16"/>
  <c r="H49" i="16"/>
  <c r="H48" i="16"/>
  <c r="H47" i="16"/>
  <c r="H46" i="16"/>
  <c r="H45" i="16"/>
  <c r="H44" i="16"/>
  <c r="H43" i="16"/>
  <c r="H42" i="16"/>
  <c r="H41" i="16"/>
  <c r="H40" i="16"/>
  <c r="H39" i="16"/>
  <c r="H38" i="16"/>
  <c r="H37" i="16"/>
  <c r="H36" i="16"/>
  <c r="H35" i="16"/>
  <c r="H34" i="16"/>
  <c r="H33" i="16"/>
  <c r="H32" i="16"/>
  <c r="H31" i="16"/>
  <c r="H30" i="16"/>
  <c r="H29" i="16"/>
  <c r="H28" i="16"/>
  <c r="H27" i="16"/>
  <c r="H26" i="16"/>
  <c r="H26" i="14"/>
  <c r="H27" i="14"/>
  <c r="F17" i="14" s="1"/>
  <c r="E222" i="11" s="1"/>
  <c r="H28" i="14"/>
  <c r="H29" i="14"/>
  <c r="H30" i="14"/>
  <c r="H31" i="14"/>
  <c r="H32" i="14"/>
  <c r="H33" i="14"/>
  <c r="H34" i="14"/>
  <c r="H35" i="14"/>
  <c r="H36" i="14"/>
  <c r="H37" i="14"/>
  <c r="H38" i="14"/>
  <c r="H39" i="14"/>
  <c r="H40" i="14"/>
  <c r="H41" i="14"/>
  <c r="H42" i="14"/>
  <c r="H43" i="14"/>
  <c r="H44" i="14"/>
  <c r="H45" i="14"/>
  <c r="H46" i="14"/>
  <c r="H47" i="14"/>
  <c r="H48" i="14"/>
  <c r="H49" i="14"/>
  <c r="H50" i="14"/>
  <c r="H51" i="14"/>
  <c r="H52" i="14"/>
  <c r="H53" i="14"/>
  <c r="H54" i="14"/>
  <c r="H55" i="14"/>
  <c r="H56" i="14"/>
  <c r="H57" i="14"/>
  <c r="H58" i="14"/>
  <c r="H59" i="14"/>
  <c r="H60" i="14"/>
  <c r="H61" i="14"/>
  <c r="H62" i="14"/>
  <c r="H63" i="14"/>
  <c r="H64" i="14"/>
  <c r="H65" i="14"/>
  <c r="H66" i="14"/>
  <c r="H67" i="14"/>
  <c r="H68" i="14"/>
  <c r="H69" i="14"/>
  <c r="H70" i="14"/>
  <c r="H71" i="14"/>
  <c r="H72" i="14"/>
  <c r="H73" i="14"/>
  <c r="H74" i="14"/>
  <c r="H75" i="14"/>
  <c r="H76" i="14"/>
  <c r="H77" i="14"/>
  <c r="H78" i="14"/>
  <c r="H79" i="14"/>
  <c r="H80" i="14"/>
  <c r="H81" i="14"/>
  <c r="H82" i="14"/>
  <c r="H83" i="14"/>
  <c r="H84" i="14"/>
  <c r="H85" i="14"/>
  <c r="H86" i="14"/>
  <c r="H25" i="14"/>
  <c r="N30" i="12"/>
  <c r="N31" i="12"/>
  <c r="N32" i="12"/>
  <c r="N3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29" i="12"/>
  <c r="F20" i="12" s="1"/>
  <c r="M30" i="12"/>
  <c r="M31" i="12"/>
  <c r="M32" i="12"/>
  <c r="M33" i="12"/>
  <c r="M34" i="12"/>
  <c r="M35" i="12"/>
  <c r="M36" i="12"/>
  <c r="M37" i="12"/>
  <c r="M38" i="12"/>
  <c r="M39" i="12"/>
  <c r="M40" i="12"/>
  <c r="M41" i="12"/>
  <c r="M42" i="12"/>
  <c r="M43" i="12"/>
  <c r="M44" i="12"/>
  <c r="M45" i="12"/>
  <c r="M46" i="12"/>
  <c r="M47" i="12"/>
  <c r="M48" i="12"/>
  <c r="M49" i="12"/>
  <c r="M50" i="12"/>
  <c r="M51" i="12"/>
  <c r="M52" i="12"/>
  <c r="M53" i="12"/>
  <c r="M54" i="12"/>
  <c r="M55" i="12"/>
  <c r="M56" i="12"/>
  <c r="M57" i="12"/>
  <c r="M58" i="12"/>
  <c r="M59" i="12"/>
  <c r="M60" i="12"/>
  <c r="M61" i="12"/>
  <c r="M62" i="12"/>
  <c r="M63" i="12"/>
  <c r="M64" i="12"/>
  <c r="M65" i="12"/>
  <c r="M66" i="12"/>
  <c r="M67" i="12"/>
  <c r="M68" i="12"/>
  <c r="M69" i="12"/>
  <c r="M70" i="12"/>
  <c r="M71" i="12"/>
  <c r="M72" i="12"/>
  <c r="M73" i="12"/>
  <c r="M74" i="12"/>
  <c r="M75" i="12"/>
  <c r="M76" i="12"/>
  <c r="M77" i="12"/>
  <c r="M78" i="12"/>
  <c r="M79" i="12"/>
  <c r="M80" i="12"/>
  <c r="M81" i="12"/>
  <c r="M82" i="12"/>
  <c r="M83" i="12"/>
  <c r="M84" i="12"/>
  <c r="M85" i="12"/>
  <c r="M86" i="12"/>
  <c r="M87" i="12"/>
  <c r="M88" i="12"/>
  <c r="M89" i="12"/>
  <c r="M90" i="12"/>
  <c r="M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29" i="12"/>
  <c r="K90" i="12"/>
  <c r="K89" i="12"/>
  <c r="K88" i="12"/>
  <c r="K87" i="12"/>
  <c r="K86" i="12"/>
  <c r="K85" i="12"/>
  <c r="K84" i="12"/>
  <c r="K83" i="12"/>
  <c r="K82" i="12"/>
  <c r="K81" i="12"/>
  <c r="K80" i="12"/>
  <c r="K79" i="12"/>
  <c r="K78" i="12"/>
  <c r="K77" i="12"/>
  <c r="K76" i="12"/>
  <c r="K75" i="12"/>
  <c r="K74" i="12"/>
  <c r="K73" i="12"/>
  <c r="K72" i="12"/>
  <c r="K71" i="12"/>
  <c r="K70" i="12"/>
  <c r="K69" i="12"/>
  <c r="K68" i="12"/>
  <c r="K67" i="12"/>
  <c r="K66" i="12"/>
  <c r="K65" i="12"/>
  <c r="K64" i="12"/>
  <c r="K63" i="12"/>
  <c r="K62" i="12"/>
  <c r="K61" i="12"/>
  <c r="K60" i="12"/>
  <c r="K59" i="12"/>
  <c r="K58" i="12"/>
  <c r="K57" i="12"/>
  <c r="K56" i="12"/>
  <c r="K55" i="12"/>
  <c r="K54" i="12"/>
  <c r="K53" i="12"/>
  <c r="K52" i="12"/>
  <c r="K51" i="12"/>
  <c r="K50" i="12"/>
  <c r="K49" i="12"/>
  <c r="K48" i="12"/>
  <c r="K47" i="12"/>
  <c r="K46" i="12"/>
  <c r="K45" i="12"/>
  <c r="K44" i="12"/>
  <c r="K43" i="12"/>
  <c r="K42" i="12"/>
  <c r="K41" i="12"/>
  <c r="K40" i="12"/>
  <c r="K39" i="12"/>
  <c r="K38" i="12"/>
  <c r="K37" i="12"/>
  <c r="K36" i="12"/>
  <c r="K35" i="12"/>
  <c r="K34" i="12"/>
  <c r="K33" i="12"/>
  <c r="K32" i="12"/>
  <c r="K31" i="12"/>
  <c r="K30" i="12"/>
  <c r="K29" i="12"/>
  <c r="F14" i="12" s="1"/>
  <c r="F14" i="10"/>
  <c r="E60" i="8" s="1"/>
  <c r="I70"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1" i="10"/>
  <c r="I72" i="10"/>
  <c r="I73" i="10"/>
  <c r="I74" i="10"/>
  <c r="I75" i="10"/>
  <c r="I76" i="10"/>
  <c r="I77" i="10"/>
  <c r="I78" i="10"/>
  <c r="I79" i="10"/>
  <c r="I80" i="10"/>
  <c r="I81" i="10"/>
  <c r="I82" i="10"/>
  <c r="I83" i="10"/>
  <c r="I84" i="10"/>
  <c r="I85" i="10"/>
  <c r="I86" i="10"/>
  <c r="I25" i="10"/>
  <c r="E12" i="7"/>
  <c r="E155" i="2" s="1"/>
  <c r="F19" i="7"/>
  <c r="I19" i="7" s="1"/>
  <c r="F20" i="7"/>
  <c r="I20" i="7" s="1"/>
  <c r="F21" i="7"/>
  <c r="F22" i="7"/>
  <c r="F23" i="7"/>
  <c r="I23" i="7" s="1"/>
  <c r="F24" i="7"/>
  <c r="I24" i="7" s="1"/>
  <c r="F25" i="7"/>
  <c r="F26" i="7"/>
  <c r="I26" i="7" s="1"/>
  <c r="F27" i="7"/>
  <c r="F28" i="7"/>
  <c r="F29" i="7"/>
  <c r="I29" i="7" s="1"/>
  <c r="F30" i="7"/>
  <c r="I30" i="7" s="1"/>
  <c r="F31" i="7"/>
  <c r="F32" i="7"/>
  <c r="I32" i="7" s="1"/>
  <c r="F33" i="7"/>
  <c r="F34" i="7"/>
  <c r="F35" i="7"/>
  <c r="I35" i="7" s="1"/>
  <c r="F36" i="7"/>
  <c r="I36" i="7" s="1"/>
  <c r="F37" i="7"/>
  <c r="F38" i="7"/>
  <c r="I38" i="7" s="1"/>
  <c r="F39" i="7"/>
  <c r="F40" i="7"/>
  <c r="F41" i="7"/>
  <c r="I41" i="7" s="1"/>
  <c r="F42" i="7"/>
  <c r="I42" i="7" s="1"/>
  <c r="F43" i="7"/>
  <c r="F44" i="7"/>
  <c r="I44" i="7" s="1"/>
  <c r="F45" i="7"/>
  <c r="F46" i="7"/>
  <c r="F47" i="7"/>
  <c r="I47" i="7" s="1"/>
  <c r="F48" i="7"/>
  <c r="I48" i="7" s="1"/>
  <c r="F49" i="7"/>
  <c r="F50" i="7"/>
  <c r="I50" i="7" s="1"/>
  <c r="F51" i="7"/>
  <c r="F52" i="7"/>
  <c r="F53" i="7"/>
  <c r="I53" i="7" s="1"/>
  <c r="F54" i="7"/>
  <c r="I54" i="7" s="1"/>
  <c r="F55" i="7"/>
  <c r="F56" i="7"/>
  <c r="I56" i="7" s="1"/>
  <c r="F57" i="7"/>
  <c r="F58" i="7"/>
  <c r="F59" i="7"/>
  <c r="I59" i="7" s="1"/>
  <c r="F60" i="7"/>
  <c r="I60" i="7" s="1"/>
  <c r="F61" i="7"/>
  <c r="F62" i="7"/>
  <c r="I62" i="7" s="1"/>
  <c r="F63" i="7"/>
  <c r="F64" i="7"/>
  <c r="F65" i="7"/>
  <c r="I65" i="7" s="1"/>
  <c r="F66" i="7"/>
  <c r="I66" i="7" s="1"/>
  <c r="F67" i="7"/>
  <c r="F68" i="7"/>
  <c r="I68" i="7" s="1"/>
  <c r="F69" i="7"/>
  <c r="F70" i="7"/>
  <c r="F71" i="7"/>
  <c r="I71" i="7" s="1"/>
  <c r="F72" i="7"/>
  <c r="I72" i="7" s="1"/>
  <c r="F73" i="7"/>
  <c r="F74" i="7"/>
  <c r="I74" i="7" s="1"/>
  <c r="F75" i="7"/>
  <c r="F76" i="7"/>
  <c r="F77" i="7"/>
  <c r="I77" i="7" s="1"/>
  <c r="F78" i="7"/>
  <c r="I78" i="7" s="1"/>
  <c r="F79" i="7"/>
  <c r="F80" i="7"/>
  <c r="I80" i="7" s="1"/>
  <c r="I21" i="7"/>
  <c r="I22" i="7"/>
  <c r="I25" i="7"/>
  <c r="I27" i="7"/>
  <c r="I28" i="7"/>
  <c r="I31" i="7"/>
  <c r="I33" i="7"/>
  <c r="I34" i="7"/>
  <c r="I37" i="7"/>
  <c r="I39" i="7"/>
  <c r="I40" i="7"/>
  <c r="I43" i="7"/>
  <c r="I45" i="7"/>
  <c r="I46" i="7"/>
  <c r="I49" i="7"/>
  <c r="I51" i="7"/>
  <c r="I52" i="7"/>
  <c r="I55" i="7"/>
  <c r="I57" i="7"/>
  <c r="I58" i="7"/>
  <c r="I61" i="7"/>
  <c r="I63" i="7"/>
  <c r="I64" i="7"/>
  <c r="I67" i="7"/>
  <c r="I69" i="7"/>
  <c r="I70" i="7"/>
  <c r="I73" i="7"/>
  <c r="I75" i="7"/>
  <c r="I76" i="7"/>
  <c r="I79" i="7"/>
  <c r="N21" i="6"/>
  <c r="F21" i="6" s="1"/>
  <c r="H21" i="6" s="1"/>
  <c r="N22" i="6"/>
  <c r="F22" i="6" s="1"/>
  <c r="H22" i="6" s="1"/>
  <c r="N23" i="6"/>
  <c r="F23" i="6" s="1"/>
  <c r="H23" i="6" s="1"/>
  <c r="N24" i="6"/>
  <c r="F24" i="6" s="1"/>
  <c r="H24" i="6" s="1"/>
  <c r="E12" i="6" s="1"/>
  <c r="N25" i="6"/>
  <c r="F25" i="6" s="1"/>
  <c r="H25" i="6" s="1"/>
  <c r="N26" i="6"/>
  <c r="F26" i="6" s="1"/>
  <c r="H26" i="6" s="1"/>
  <c r="N27" i="6"/>
  <c r="F27" i="6" s="1"/>
  <c r="H27" i="6" s="1"/>
  <c r="N28" i="6"/>
  <c r="F28" i="6" s="1"/>
  <c r="H28" i="6" s="1"/>
  <c r="N29" i="6"/>
  <c r="F29" i="6" s="1"/>
  <c r="H29" i="6" s="1"/>
  <c r="N30" i="6"/>
  <c r="F30" i="6" s="1"/>
  <c r="H30" i="6" s="1"/>
  <c r="N31" i="6"/>
  <c r="F31" i="6" s="1"/>
  <c r="H31" i="6" s="1"/>
  <c r="N32" i="6"/>
  <c r="F32" i="6" s="1"/>
  <c r="H32" i="6" s="1"/>
  <c r="N33" i="6"/>
  <c r="F33" i="6" s="1"/>
  <c r="H33" i="6" s="1"/>
  <c r="N34" i="6"/>
  <c r="F34" i="6" s="1"/>
  <c r="H34" i="6" s="1"/>
  <c r="N35" i="6"/>
  <c r="F35" i="6" s="1"/>
  <c r="H35" i="6" s="1"/>
  <c r="N36" i="6"/>
  <c r="F36" i="6" s="1"/>
  <c r="H36" i="6" s="1"/>
  <c r="N37" i="6"/>
  <c r="F37" i="6" s="1"/>
  <c r="H37" i="6" s="1"/>
  <c r="N38" i="6"/>
  <c r="F38" i="6" s="1"/>
  <c r="H38" i="6" s="1"/>
  <c r="N39" i="6"/>
  <c r="F39" i="6" s="1"/>
  <c r="H39" i="6" s="1"/>
  <c r="N40" i="6"/>
  <c r="F40" i="6" s="1"/>
  <c r="H40" i="6" s="1"/>
  <c r="N41" i="6"/>
  <c r="F41" i="6" s="1"/>
  <c r="H41" i="6" s="1"/>
  <c r="N42" i="6"/>
  <c r="F42" i="6" s="1"/>
  <c r="H42" i="6" s="1"/>
  <c r="N43" i="6"/>
  <c r="F43" i="6" s="1"/>
  <c r="H43" i="6" s="1"/>
  <c r="N44" i="6"/>
  <c r="F44" i="6" s="1"/>
  <c r="H44" i="6" s="1"/>
  <c r="N45" i="6"/>
  <c r="F45" i="6" s="1"/>
  <c r="H45" i="6" s="1"/>
  <c r="N46" i="6"/>
  <c r="F46" i="6" s="1"/>
  <c r="H46" i="6" s="1"/>
  <c r="N47" i="6"/>
  <c r="F47" i="6" s="1"/>
  <c r="H47" i="6" s="1"/>
  <c r="N48" i="6"/>
  <c r="F48" i="6" s="1"/>
  <c r="H48" i="6" s="1"/>
  <c r="N49" i="6"/>
  <c r="F49" i="6" s="1"/>
  <c r="H49" i="6" s="1"/>
  <c r="N50" i="6"/>
  <c r="F50" i="6" s="1"/>
  <c r="H50" i="6" s="1"/>
  <c r="N51" i="6"/>
  <c r="F51" i="6" s="1"/>
  <c r="H51" i="6" s="1"/>
  <c r="N52" i="6"/>
  <c r="F52" i="6" s="1"/>
  <c r="H52" i="6" s="1"/>
  <c r="N53" i="6"/>
  <c r="F53" i="6" s="1"/>
  <c r="H53" i="6" s="1"/>
  <c r="N54" i="6"/>
  <c r="F54" i="6" s="1"/>
  <c r="H54" i="6" s="1"/>
  <c r="N55" i="6"/>
  <c r="F55" i="6" s="1"/>
  <c r="H55" i="6" s="1"/>
  <c r="N56" i="6"/>
  <c r="F56" i="6" s="1"/>
  <c r="H56" i="6" s="1"/>
  <c r="N57" i="6"/>
  <c r="F57" i="6" s="1"/>
  <c r="H57" i="6" s="1"/>
  <c r="N58" i="6"/>
  <c r="F58" i="6" s="1"/>
  <c r="H58" i="6" s="1"/>
  <c r="N59" i="6"/>
  <c r="F59" i="6" s="1"/>
  <c r="H59" i="6" s="1"/>
  <c r="N60" i="6"/>
  <c r="F60" i="6" s="1"/>
  <c r="H60" i="6" s="1"/>
  <c r="N61" i="6"/>
  <c r="F61" i="6" s="1"/>
  <c r="H61" i="6" s="1"/>
  <c r="N62" i="6"/>
  <c r="F62" i="6" s="1"/>
  <c r="H62" i="6" s="1"/>
  <c r="N63" i="6"/>
  <c r="F63" i="6" s="1"/>
  <c r="H63" i="6" s="1"/>
  <c r="N64" i="6"/>
  <c r="N65" i="6"/>
  <c r="F65" i="6" s="1"/>
  <c r="H65" i="6" s="1"/>
  <c r="N66" i="6"/>
  <c r="F66" i="6" s="1"/>
  <c r="H66" i="6" s="1"/>
  <c r="N67" i="6"/>
  <c r="F67" i="6" s="1"/>
  <c r="H67" i="6" s="1"/>
  <c r="N68" i="6"/>
  <c r="F68" i="6" s="1"/>
  <c r="H68" i="6" s="1"/>
  <c r="N69" i="6"/>
  <c r="F69" i="6" s="1"/>
  <c r="H69" i="6" s="1"/>
  <c r="N70" i="6"/>
  <c r="F70" i="6" s="1"/>
  <c r="H70" i="6" s="1"/>
  <c r="N71" i="6"/>
  <c r="F71" i="6" s="1"/>
  <c r="H71" i="6" s="1"/>
  <c r="N72" i="6"/>
  <c r="F72" i="6" s="1"/>
  <c r="H72" i="6" s="1"/>
  <c r="N73" i="6"/>
  <c r="F73" i="6" s="1"/>
  <c r="H73" i="6" s="1"/>
  <c r="N74" i="6"/>
  <c r="F74" i="6" s="1"/>
  <c r="H74" i="6" s="1"/>
  <c r="N75" i="6"/>
  <c r="F75" i="6" s="1"/>
  <c r="H75" i="6" s="1"/>
  <c r="N76" i="6"/>
  <c r="F76" i="6" s="1"/>
  <c r="H76" i="6" s="1"/>
  <c r="N77" i="6"/>
  <c r="F77" i="6" s="1"/>
  <c r="H77" i="6" s="1"/>
  <c r="N78" i="6"/>
  <c r="F78" i="6" s="1"/>
  <c r="H78" i="6" s="1"/>
  <c r="N79" i="6"/>
  <c r="F79" i="6" s="1"/>
  <c r="H79" i="6" s="1"/>
  <c r="N80" i="6"/>
  <c r="F80" i="6" s="1"/>
  <c r="H80" i="6" s="1"/>
  <c r="N81" i="6"/>
  <c r="F81" i="6" s="1"/>
  <c r="H81" i="6" s="1"/>
  <c r="N20" i="6"/>
  <c r="F20" i="6" s="1"/>
  <c r="H20" i="6" s="1"/>
  <c r="F64" i="6"/>
  <c r="H64" i="6" s="1"/>
  <c r="F17" i="16" l="1"/>
  <c r="F17" i="13"/>
  <c r="E185" i="11" s="1"/>
  <c r="F18" i="12"/>
  <c r="E125" i="11" s="1"/>
  <c r="F16" i="12"/>
  <c r="E95" i="11" s="1"/>
  <c r="E62" i="2"/>
  <c r="E58" i="8"/>
  <c r="E17" i="18" s="1"/>
  <c r="F16" i="10"/>
  <c r="G56" i="3"/>
  <c r="H56" i="3" s="1"/>
  <c r="G20" i="3"/>
  <c r="H20" i="3" s="1"/>
  <c r="G21" i="3"/>
  <c r="H21" i="3" s="1"/>
  <c r="E12" i="3" s="1"/>
  <c r="E47" i="2" s="1"/>
  <c r="G22" i="3"/>
  <c r="H22" i="3" s="1"/>
  <c r="G23" i="3"/>
  <c r="H23" i="3" s="1"/>
  <c r="G24" i="3"/>
  <c r="H24" i="3" s="1"/>
  <c r="G25" i="3"/>
  <c r="H25" i="3" s="1"/>
  <c r="G26" i="3"/>
  <c r="H26" i="3" s="1"/>
  <c r="G27" i="3"/>
  <c r="H27" i="3" s="1"/>
  <c r="G28" i="3"/>
  <c r="H28" i="3" s="1"/>
  <c r="G29" i="3"/>
  <c r="H29" i="3" s="1"/>
  <c r="G30" i="3"/>
  <c r="H30" i="3" s="1"/>
  <c r="G31" i="3"/>
  <c r="H31" i="3" s="1"/>
  <c r="G32" i="3"/>
  <c r="H32" i="3" s="1"/>
  <c r="G33" i="3"/>
  <c r="H33" i="3" s="1"/>
  <c r="G34" i="3"/>
  <c r="H34" i="3" s="1"/>
  <c r="G35" i="3"/>
  <c r="H35" i="3" s="1"/>
  <c r="G36" i="3"/>
  <c r="H36" i="3" s="1"/>
  <c r="G37" i="3"/>
  <c r="H37" i="3" s="1"/>
  <c r="G38" i="3"/>
  <c r="H38" i="3" s="1"/>
  <c r="G39" i="3"/>
  <c r="H39" i="3" s="1"/>
  <c r="G40" i="3"/>
  <c r="H40" i="3" s="1"/>
  <c r="G41" i="3"/>
  <c r="H41" i="3" s="1"/>
  <c r="G42" i="3"/>
  <c r="H42" i="3" s="1"/>
  <c r="G43" i="3"/>
  <c r="H43" i="3" s="1"/>
  <c r="G44" i="3"/>
  <c r="H44" i="3" s="1"/>
  <c r="G45" i="3"/>
  <c r="H45" i="3" s="1"/>
  <c r="G46" i="3"/>
  <c r="H46" i="3" s="1"/>
  <c r="G47" i="3"/>
  <c r="H47" i="3" s="1"/>
  <c r="G48" i="3"/>
  <c r="H48" i="3" s="1"/>
  <c r="G49" i="3"/>
  <c r="H49" i="3" s="1"/>
  <c r="G50" i="3"/>
  <c r="H50" i="3" s="1"/>
  <c r="G51" i="3"/>
  <c r="H51" i="3" s="1"/>
  <c r="G52" i="3"/>
  <c r="H52" i="3" s="1"/>
  <c r="G53" i="3"/>
  <c r="H53" i="3" s="1"/>
  <c r="G54" i="3"/>
  <c r="H54" i="3" s="1"/>
  <c r="G55" i="3"/>
  <c r="H55" i="3" s="1"/>
  <c r="G57" i="3"/>
  <c r="H57" i="3" s="1"/>
  <c r="G58" i="3"/>
  <c r="H58" i="3" s="1"/>
  <c r="G59" i="3"/>
  <c r="H59" i="3" s="1"/>
  <c r="G60" i="3"/>
  <c r="H60" i="3" s="1"/>
  <c r="G61" i="3"/>
  <c r="H61" i="3" s="1"/>
  <c r="G62" i="3"/>
  <c r="H62" i="3" s="1"/>
  <c r="G63" i="3"/>
  <c r="H63" i="3" s="1"/>
  <c r="G64" i="3"/>
  <c r="H64" i="3" s="1"/>
  <c r="G65" i="3"/>
  <c r="H65" i="3" s="1"/>
  <c r="G66" i="3"/>
  <c r="H66" i="3" s="1"/>
  <c r="G67" i="3"/>
  <c r="H67" i="3" s="1"/>
  <c r="G68" i="3"/>
  <c r="H68" i="3" s="1"/>
  <c r="G69" i="3"/>
  <c r="H69" i="3" s="1"/>
  <c r="G70" i="3"/>
  <c r="H70" i="3" s="1"/>
  <c r="G71" i="3"/>
  <c r="H71" i="3" s="1"/>
  <c r="G72" i="3"/>
  <c r="H72" i="3" s="1"/>
  <c r="G73" i="3"/>
  <c r="H73" i="3" s="1"/>
  <c r="G74" i="3"/>
  <c r="H74" i="3" s="1"/>
  <c r="G75" i="3"/>
  <c r="H75" i="3" s="1"/>
  <c r="G76" i="3"/>
  <c r="H76" i="3" s="1"/>
  <c r="G77" i="3"/>
  <c r="H77" i="3" s="1"/>
  <c r="G78" i="3"/>
  <c r="H78" i="3" s="1"/>
  <c r="G79" i="3"/>
  <c r="H79" i="3" s="1"/>
  <c r="G80" i="3"/>
  <c r="H80" i="3" s="1"/>
  <c r="G19" i="3"/>
  <c r="H19" i="3" s="1"/>
  <c r="E51" i="11" l="1"/>
  <c r="E19" i="18" s="1"/>
  <c r="E20" i="2"/>
  <c r="E15" i="18" s="1"/>
  <c r="E24"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tc={AD1C9E75-53B0-4C83-87B0-3A5ADE01A1E8}</author>
    <author>tc={8BE7EA6D-3868-4146-89A9-BC2DEA0556B6}</author>
    <author>tc={6EEFCF56-6508-470A-B3A3-0B21984D861A}</author>
    <author>tc={F0EB1006-F7D2-4990-9111-D5C8368E4DDB}</author>
    <author>tc={1EE897E1-4744-4FE8-B385-852014B6670A}</author>
    <author>tc={B296AE45-F9D0-4A5E-A73E-F5358857B8A4}</author>
    <author>tc={A9AE7799-200D-4297-9BBF-EBB111A87DD3}</author>
    <author>tc={AA32574C-B7B9-4568-828D-BB6F43B7430C}</author>
  </authors>
  <commentList>
    <comment ref="D20" authorId="0" shapeId="0" xr:uid="{AD1C9E75-53B0-4C83-87B0-3A5ADE01A1E8}">
      <text>
        <t>[Threaded comment]
Your version of Excel allows you to read this threaded comment; however, any edits to it will get removed if the file is opened in a newer version of Excel. Learn more: https://go.microsoft.com/fwlink/?linkid=870924
Comment:
    Equation 1 or Equation 2</t>
      </text>
    </comment>
    <comment ref="D47" authorId="1" shapeId="0" xr:uid="{8BE7EA6D-3868-4146-89A9-BC2DEA0556B6}">
      <text>
        <t>[Threaded comment]
Your version of Excel allows you to read this threaded comment; however, any edits to it will get removed if the file is opened in a newer version of Excel. Learn more: https://go.microsoft.com/fwlink/?linkid=870924
Comment:
    Equation 1</t>
      </text>
    </comment>
    <comment ref="D62" authorId="2" shapeId="0" xr:uid="{6EEFCF56-6508-470A-B3A3-0B21984D861A}">
      <text>
        <t>[Threaded comment]
Your version of Excel allows you to read this threaded comment; however, any edits to it will get removed if the file is opened in a newer version of Excel. Learn more: https://go.microsoft.com/fwlink/?linkid=870924
Comment:
    Equation 2</t>
      </text>
    </comment>
    <comment ref="D110" authorId="3" shapeId="0" xr:uid="{F0EB1006-F7D2-4990-9111-D5C8368E4DDB}">
      <text>
        <t>[Threaded comment]
Your version of Excel allows you to read this threaded comment; however, any edits to it will get removed if the file is opened in a newer version of Excel. Learn more: https://go.microsoft.com/fwlink/?linkid=870924
Comment:
    Equation 5</t>
      </text>
    </comment>
    <comment ref="D112" authorId="4" shapeId="0" xr:uid="{1EE897E1-4744-4FE8-B385-852014B6670A}">
      <text>
        <t>[Threaded comment]
Your version of Excel allows you to read this threaded comment; however, any edits to it will get removed if the file is opened in a newer version of Excel. Learn more: https://go.microsoft.com/fwlink/?linkid=870924
Comment:
    Equation 3</t>
      </text>
    </comment>
    <comment ref="D123" authorId="5" shapeId="0" xr:uid="{B296AE45-F9D0-4A5E-A73E-F5358857B8A4}">
      <text>
        <t>[Threaded comment]
Your version of Excel allows you to read this threaded comment; however, any edits to it will get removed if the file is opened in a newer version of Excel. Learn more: https://go.microsoft.com/fwlink/?linkid=870924
Comment:
    Equation 2</t>
      </text>
    </comment>
    <comment ref="D145" authorId="6" shapeId="0" xr:uid="{A9AE7799-200D-4297-9BBF-EBB111A87DD3}">
      <text>
        <t>[Threaded comment]
Your version of Excel allows you to read this threaded comment; however, any edits to it will get removed if the file is opened in a newer version of Excel. Learn more: https://go.microsoft.com/fwlink/?linkid=870924
Comment:
    Equation 5</t>
      </text>
    </comment>
    <comment ref="D155" authorId="7" shapeId="0" xr:uid="{AA32574C-B7B9-4568-828D-BB6F43B7430C}">
      <text>
        <t>[Threaded comment]
Your version of Excel allows you to read this threaded comment; however, any edits to it will get removed if the file is opened in a newer version of Excel. Learn more: https://go.microsoft.com/fwlink/?linkid=870924
Comment:
    Equation 2</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tc={F1CD6E12-ECB9-4785-A52E-4E35EF05132D}</author>
    <author>tc={E38A7D64-FB6B-4BE3-B798-2F9544E45CE1}</author>
    <author>tc={4889830D-D138-4D4E-B522-61B88E250744}</author>
    <author>tc={06FF7492-7333-43A8-A7BA-71D3BE4DE5AE}</author>
  </authors>
  <commentList>
    <comment ref="D58" authorId="0" shapeId="0" xr:uid="{F1CD6E12-ECB9-4785-A52E-4E35EF05132D}">
      <text>
        <t>[Threaded comment]
Your version of Excel allows you to read this threaded comment; however, any edits to it will get removed if the file is opened in a newer version of Excel. Learn more: https://go.microsoft.com/fwlink/?linkid=870924
Comment:
    Equation 6</t>
      </text>
    </comment>
    <comment ref="D60" authorId="1" shapeId="0" xr:uid="{E38A7D64-FB6B-4BE3-B798-2F9544E45CE1}">
      <text>
        <t>[Threaded comment]
Your version of Excel allows you to read this threaded comment; however, any edits to it will get removed if the file is opened in a newer version of Excel. Learn more: https://go.microsoft.com/fwlink/?linkid=870924
Comment:
    Equation 7</t>
      </text>
    </comment>
    <comment ref="D62" authorId="2" shapeId="0" xr:uid="{4889830D-D138-4D4E-B522-61B88E250744}">
      <text>
        <t>[Threaded comment]
Your version of Excel allows you to read this threaded comment; however, any edits to it will get removed if the file is opened in a newer version of Excel. Learn more: https://go.microsoft.com/fwlink/?linkid=870924
Comment:
    Equation 8</t>
      </text>
    </comment>
    <comment ref="D64" authorId="3" shapeId="0" xr:uid="{06FF7492-7333-43A8-A7BA-71D3BE4DE5AE}">
      <text>
        <t>[Threaded comment]
Your version of Excel allows you to read this threaded comment; however, any edits to it will get removed if the file is opened in a newer version of Excel. Learn more: https://go.microsoft.com/fwlink/?linkid=870924
Comment:
    Equation 9</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tc={488C2ABA-426F-45C2-A404-FC7AB92F210D}</author>
    <author>tc={636DFBE5-751B-4A26-8C94-D810145BDF8D}</author>
  </authors>
  <commentList>
    <comment ref="D14" authorId="0" shapeId="0" xr:uid="{488C2ABA-426F-45C2-A404-FC7AB92F210D}">
      <text>
        <t>[Threaded comment]
Your version of Excel allows you to read this threaded comment; however, any edits to it will get removed if the file is opened in a newer version of Excel. Learn more: https://go.microsoft.com/fwlink/?linkid=870924
Comment:
    Partial Equation 7</t>
      </text>
    </comment>
    <comment ref="D16" authorId="1" shapeId="0" xr:uid="{636DFBE5-751B-4A26-8C94-D810145BDF8D}">
      <text>
        <t>[Threaded comment]
Your version of Excel allows you to read this threaded comment; however, any edits to it will get removed if the file is opened in a newer version of Excel. Learn more: https://go.microsoft.com/fwlink/?linkid=870924
Comment:
    Partial Equation 8</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tc={38472B7F-6D29-4BDA-9708-A35B856C5EA3}</author>
    <author>tc={907354D2-489F-48DD-8F00-C66D695B406C}</author>
    <author>tc={E5427C35-DE3D-4CD5-ABB4-5EA8D4ABBFE5}</author>
    <author>tc={A98EA112-956B-4FFB-AD16-F45354E1F784}</author>
    <author>tc={FD882CBD-72F7-4021-9E24-762DAEB9F7EB}</author>
    <author>tc={B0A8BED5-ABDA-410B-ADE4-4D415DB8B9EF}</author>
    <author>tc={580F2E08-FC8B-4520-91C2-C64C19B813BD}</author>
    <author>tc={2E874CFC-EE49-43F2-84E6-DA5487691118}</author>
  </authors>
  <commentList>
    <comment ref="D51" authorId="0" shapeId="0" xr:uid="{38472B7F-6D29-4BDA-9708-A35B856C5EA3}">
      <text>
        <t>[Threaded comment]
Your version of Excel allows you to read this threaded comment; however, any edits to it will get removed if the file is opened in a newer version of Excel. Learn more: https://go.microsoft.com/fwlink/?linkid=870924
Comment:
    Equation 10</t>
      </text>
    </comment>
    <comment ref="D65" authorId="1" shapeId="0" xr:uid="{907354D2-489F-48DD-8F00-C66D695B406C}">
      <text>
        <t>[Threaded comment]
Your version of Excel allows you to read this threaded comment; however, any edits to it will get removed if the file is opened in a newer version of Excel. Learn more: https://go.microsoft.com/fwlink/?linkid=870924
Comment:
    Equation 11</t>
      </text>
    </comment>
    <comment ref="D95" authorId="2" shapeId="0" xr:uid="{E5427C35-DE3D-4CD5-ABB4-5EA8D4ABBFE5}">
      <text>
        <t>[Threaded comment]
Your version of Excel allows you to read this threaded comment; however, any edits to it will get removed if the file is opened in a newer version of Excel. Learn more: https://go.microsoft.com/fwlink/?linkid=870924
Comment:
    Equation 12</t>
      </text>
    </comment>
    <comment ref="D125" authorId="3" shapeId="0" xr:uid="{A98EA112-956B-4FFB-AD16-F45354E1F784}">
      <text>
        <t>[Threaded comment]
Your version of Excel allows you to read this threaded comment; however, any edits to it will get removed if the file is opened in a newer version of Excel. Learn more: https://go.microsoft.com/fwlink/?linkid=870924
Comment:
    Equation 13</t>
      </text>
    </comment>
    <comment ref="D155" authorId="4" shapeId="0" xr:uid="{FD882CBD-72F7-4021-9E24-762DAEB9F7EB}">
      <text>
        <t>[Threaded comment]
Your version of Excel allows you to read this threaded comment; however, any edits to it will get removed if the file is opened in a newer version of Excel. Learn more: https://go.microsoft.com/fwlink/?linkid=870924
Comment:
    Equation 14</t>
      </text>
    </comment>
    <comment ref="D185" authorId="5" shapeId="0" xr:uid="{B0A8BED5-ABDA-410B-ADE4-4D415DB8B9EF}">
      <text>
        <t>[Threaded comment]
Your version of Excel allows you to read this threaded comment; however, any edits to it will get removed if the file is opened in a newer version of Excel. Learn more: https://go.microsoft.com/fwlink/?linkid=870924
Comment:
    Equation 15</t>
      </text>
    </comment>
    <comment ref="D222" authorId="6" shapeId="0" xr:uid="{580F2E08-FC8B-4520-91C2-C64C19B813BD}">
      <text>
        <t>[Threaded comment]
Your version of Excel allows you to read this threaded comment; however, any edits to it will get removed if the file is opened in a newer version of Excel. Learn more: https://go.microsoft.com/fwlink/?linkid=870924
Comment:
    Equation 16
Reply:
    If D45 is "Yes" then this parameter = 0</t>
      </text>
    </comment>
    <comment ref="D250" authorId="7" shapeId="0" xr:uid="{2E874CFC-EE49-43F2-84E6-DA5487691118}">
      <text>
        <t>[Threaded comment]
Your version of Excel allows you to read this threaded comment; however, any edits to it will get removed if the file is opened in a newer version of Excel. Learn more: https://go.microsoft.com/fwlink/?linkid=870924
Comment:
    Equation 17</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tc={A608D61C-0DB1-43A5-B31F-68CD0AA9CF44}</author>
    <author>tc={1A82786A-E363-451C-9800-5C81E74513E1}</author>
    <author>tc={58EFFDCD-31AF-43FB-B9C3-AC0A68B17436}</author>
    <author>tc={9667FAFA-E775-4287-9C73-92E56BCD7298}</author>
  </authors>
  <commentList>
    <comment ref="D14" authorId="0" shapeId="0" xr:uid="{A608D61C-0DB1-43A5-B31F-68CD0AA9CF44}">
      <text>
        <t>[Threaded comment]
Your version of Excel allows you to read this threaded comment; however, any edits to it will get removed if the file is opened in a newer version of Excel. Learn more: https://go.microsoft.com/fwlink/?linkid=870924
Comment:
    Partial Equation 11</t>
      </text>
    </comment>
    <comment ref="D16" authorId="1" shapeId="0" xr:uid="{1A82786A-E363-451C-9800-5C81E74513E1}">
      <text>
        <t>[Threaded comment]
Your version of Excel allows you to read this threaded comment; however, any edits to it will get removed if the file is opened in a newer version of Excel. Learn more: https://go.microsoft.com/fwlink/?linkid=870924
Comment:
    Partial Equation 12</t>
      </text>
    </comment>
    <comment ref="D18" authorId="2" shapeId="0" xr:uid="{58EFFDCD-31AF-43FB-B9C3-AC0A68B17436}">
      <text>
        <t>[Threaded comment]
Your version of Excel allows you to read this threaded comment; however, any edits to it will get removed if the file is opened in a newer version of Excel. Learn more: https://go.microsoft.com/fwlink/?linkid=870924
Comment:
    Partial Equation 13</t>
      </text>
    </comment>
    <comment ref="D20" authorId="3" shapeId="0" xr:uid="{9667FAFA-E775-4287-9C73-92E56BCD7298}">
      <text>
        <t>[Threaded comment]
Your version of Excel allows you to read this threaded comment; however, any edits to it will get removed if the file is opened in a newer version of Excel. Learn more: https://go.microsoft.com/fwlink/?linkid=870924
Comment:
    Partial Equation 14</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tc={1162D3B2-D0C6-4B06-A2A3-5EF2976AB0A4}</author>
  </authors>
  <commentList>
    <comment ref="D17" authorId="0" shapeId="0" xr:uid="{1162D3B2-D0C6-4B06-A2A3-5EF2976AB0A4}">
      <text>
        <t>[Threaded comment]
Your version of Excel allows you to read this threaded comment; however, any edits to it will get removed if the file is opened in a newer version of Excel. Learn more: https://go.microsoft.com/fwlink/?linkid=870924
Comment:
    Equation 15</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tc={0C722CE3-4BC7-4F68-B719-73A032429191}</author>
  </authors>
  <commentList>
    <comment ref="D17" authorId="0" shapeId="0" xr:uid="{0C722CE3-4BC7-4F68-B719-73A032429191}">
      <text>
        <t>[Threaded comment]
Your version of Excel allows you to read this threaded comment; however, any edits to it will get removed if the file is opened in a newer version of Excel. Learn more: https://go.microsoft.com/fwlink/?linkid=870924
Comment:
    Equation 16</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tc={D3B80DAE-1C09-438C-B0FC-8F206BFA72E5}</author>
  </authors>
  <commentList>
    <comment ref="D17" authorId="0" shapeId="0" xr:uid="{D3B80DAE-1C09-438C-B0FC-8F206BFA72E5}">
      <text>
        <t>[Threaded comment]
Your version of Excel allows you to read this threaded comment; however, any edits to it will get removed if the file is opened in a newer version of Excel. Learn more: https://go.microsoft.com/fwlink/?linkid=870924
Comment:
    Equation 17</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tc={EB37B988-E124-4309-94DE-7C762649E513}</author>
    <author>tc={A4A72285-445E-484B-B015-00D3C7A3BFDE}</author>
    <author>tc={CC8AD4B8-0D52-40F5-A69C-F4052F871579}</author>
    <author>tc={ABB4F612-6683-4876-B5DC-DF14B08827A4}</author>
  </authors>
  <commentList>
    <comment ref="D15" authorId="0" shapeId="0" xr:uid="{EB37B988-E124-4309-94DE-7C762649E513}">
      <text>
        <t>[Threaded comment]
Your version of Excel allows you to read this threaded comment; however, any edits to it will get removed if the file is opened in a newer version of Excel. Learn more: https://go.microsoft.com/fwlink/?linkid=870924
Comment:
    Equation 1 or Equation 2</t>
      </text>
    </comment>
    <comment ref="D17" authorId="1" shapeId="0" xr:uid="{A4A72285-445E-484B-B015-00D3C7A3BFDE}">
      <text>
        <t>[Threaded comment]
Your version of Excel allows you to read this threaded comment; however, any edits to it will get removed if the file is opened in a newer version of Excel. Learn more: https://go.microsoft.com/fwlink/?linkid=870924
Comment:
    Equation 6</t>
      </text>
    </comment>
    <comment ref="D19" authorId="2" shapeId="0" xr:uid="{CC8AD4B8-0D52-40F5-A69C-F4052F871579}">
      <text>
        <t>[Threaded comment]
Your version of Excel allows you to read this threaded comment; however, any edits to it will get removed if the file is opened in a newer version of Excel. Learn more: https://go.microsoft.com/fwlink/?linkid=870924
Comment:
    Equation 10</t>
      </text>
    </comment>
    <comment ref="D24" authorId="3" shapeId="0" xr:uid="{ABB4F612-6683-4876-B5DC-DF14B08827A4}">
      <text>
        <t>[Threaded comment]
Your version of Excel allows you to read this threaded comment; however, any edits to it will get removed if the file is opened in a newer version of Excel. Learn more: https://go.microsoft.com/fwlink/?linkid=870924
Comment:
    Equation 18</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tc={85D371F9-7343-4386-B09E-01FCF4365A69}</author>
    <author>tc={6EF8BF2C-4C60-4B88-9165-886F203E0309}</author>
    <author>tc={D39B02C0-C139-41A4-8D39-46A9BA516459}</author>
  </authors>
  <commentList>
    <comment ref="H23" authorId="0" shapeId="0" xr:uid="{85D371F9-7343-4386-B09E-01FCF4365A69}">
      <text>
        <t>[Threaded comment]
Your version of Excel allows you to read this threaded comment; however, any edits to it will get removed if the file is opened in a newer version of Excel. Learn more: https://go.microsoft.com/fwlink/?linkid=870924
Comment:
    Possibly need to include Tool 24: Methodological tool: Common practice</t>
      </text>
    </comment>
    <comment ref="H25" authorId="1" shapeId="0" xr:uid="{6EF8BF2C-4C60-4B88-9165-886F203E0309}">
      <text>
        <t>[Threaded comment]
Your version of Excel allows you to read this threaded comment; however, any edits to it will get removed if the file is opened in a newer version of Excel. Learn more: https://go.microsoft.com/fwlink/?linkid=870924
Comment:
    Possibly need to include Tool 24: Methodological tool: Common practice</t>
      </text>
    </comment>
    <comment ref="H81" authorId="2" shapeId="0" xr:uid="{D39B02C0-C139-41A4-8D39-46A9BA516459}">
      <text>
        <t>[Threaded comment]
Your version of Excel allows you to read this threaded comment; however, any edits to it will get removed if the file is opened in a newer version of Excel. Learn more: https://go.microsoft.com/fwlink/?linkid=870924
Comment:
    Possibly need to include Tool 24: Methodological tool: Common practice</t>
      </text>
    </comment>
  </commentList>
</comments>
</file>

<file path=xl/sharedStrings.xml><?xml version="1.0" encoding="utf-8"?>
<sst xmlns="http://schemas.openxmlformats.org/spreadsheetml/2006/main" count="881" uniqueCount="409">
  <si>
    <t>Key Project Information</t>
  </si>
  <si>
    <t>Type of VPA</t>
  </si>
  <si>
    <t>Scale of VPA</t>
  </si>
  <si>
    <t>Title of corresponding real case VPA (if applicable)</t>
  </si>
  <si>
    <t>GSXXXXX VPA-1 CO2 Sequestration at a Concrete Recycler in California</t>
  </si>
  <si>
    <t>GS ID of real case VPA (if applicable)</t>
  </si>
  <si>
    <t>GSXXXXX</t>
  </si>
  <si>
    <t>GS ID of VPA</t>
  </si>
  <si>
    <t>Title of VPA</t>
  </si>
  <si>
    <t>CO2 Sequestration at a Concrete Recycler in California</t>
  </si>
  <si>
    <t>Project Location Latitude:</t>
  </si>
  <si>
    <t>23.4241°N</t>
  </si>
  <si>
    <t>Project Location Longitude:</t>
  </si>
  <si>
    <t>53.8478°E</t>
  </si>
  <si>
    <t>Project Location GeoJSON (GeoJSON supports the following geometry types:</t>
  </si>
  <si>
    <t>[-53.8478, 23.4241]</t>
  </si>
  <si>
    <t>Time of First Submission Date</t>
  </si>
  <si>
    <t>Date of Design Certification</t>
  </si>
  <si>
    <t>Version number of the VPA-DD</t>
  </si>
  <si>
    <t>Completion date of version</t>
  </si>
  <si>
    <t>Coordinating/managing entity</t>
  </si>
  <si>
    <t>Carbon Sequestration Company X</t>
  </si>
  <si>
    <t>VPA Implementer (s)</t>
  </si>
  <si>
    <t>Project Participants and any communities involved</t>
  </si>
  <si>
    <t>Host Country (ies)</t>
  </si>
  <si>
    <t>United States of America</t>
  </si>
  <si>
    <t>GS ID and Title of applicable Design Certified VPA</t>
  </si>
  <si>
    <t>N/A</t>
  </si>
  <si>
    <t>GS ID and Title of applicable Perfomance Certified VPA</t>
  </si>
  <si>
    <t>Activity Requirements applied</t>
  </si>
  <si>
    <t>Other Requirements applied</t>
  </si>
  <si>
    <t>Annual emission reductions &lt;=10,000 tonnes of CO2 eq per year</t>
  </si>
  <si>
    <t>Methodology (ies) applied and version number</t>
  </si>
  <si>
    <t>Carbon Sequestration Through Accelerated Carbonation of Concrete Aggregate (Version 1.0)</t>
  </si>
  <si>
    <t>Product Requirements applied</t>
  </si>
  <si>
    <t>VPA Cycle</t>
  </si>
  <si>
    <t>Sustainable development goals targeted</t>
  </si>
  <si>
    <t>SDG 13, SDG 9, SDG 8</t>
  </si>
  <si>
    <t>Description of Project</t>
  </si>
  <si>
    <t>The purpose of this Gold Standard Voluntary Microscale Project of Activities (VPA) is to fight climate change by reducing the atmospheric CO2 concentration through the permanent storage of biogenic CO2 in demolition concrete.</t>
  </si>
  <si>
    <t>Eligibility for VPA inclusion as per PoA requirements</t>
  </si>
  <si>
    <t>Legal ownership of products generated by the VPA and legal rights to alter use of resources required to service the project</t>
  </si>
  <si>
    <t>Technologies and/or measures</t>
  </si>
  <si>
    <t>Liquification plant at CO2 source, CO2 storage tanks, reboiler to evaporate the CO2, and carbonation vessel.</t>
  </si>
  <si>
    <t>Micro scale, approx, 150-1,000 VER per year</t>
  </si>
  <si>
    <t>Funding sources of VPA</t>
  </si>
  <si>
    <t xml:space="preserve">The project activity does not receive any public funding. </t>
  </si>
  <si>
    <t>Further Information:</t>
  </si>
  <si>
    <t>Determining Baseline Approach</t>
  </si>
  <si>
    <t>User Info:</t>
  </si>
  <si>
    <t>The baseline scenario does not generate any positive or negative emissions while the purpose of the project is to sequester biogenic CO2 in concrete aggregate through mineral carbonation. By doing so, concrete aggregate serves as permanent sink. Therefore, the term “Project Sinks” is applied instead of the term “Baseline Emissions” in subsequent sections.</t>
  </si>
  <si>
    <t>Is the data being used to calculate the ex-ante or ex-post project sinks?</t>
  </si>
  <si>
    <t>Final Calculation of Project Sinks:</t>
  </si>
  <si>
    <r>
      <t>GSC</t>
    </r>
    <r>
      <rPr>
        <vertAlign val="subscript"/>
        <sz val="11"/>
        <color theme="1"/>
        <rFont val="Calibri"/>
        <family val="2"/>
        <scheme val="minor"/>
      </rPr>
      <t>y</t>
    </r>
    <r>
      <rPr>
        <sz val="11"/>
        <color theme="1"/>
        <rFont val="Calibri"/>
        <family val="2"/>
        <scheme val="minor"/>
      </rPr>
      <t>/PS</t>
    </r>
    <r>
      <rPr>
        <vertAlign val="subscript"/>
        <sz val="11"/>
        <color theme="1"/>
        <rFont val="Calibri"/>
        <family val="2"/>
        <scheme val="minor"/>
      </rPr>
      <t>y</t>
    </r>
  </si>
  <si>
    <t xml:space="preserve"> Gross Sink Capacity in the monitoring period y (t CO2) </t>
  </si>
  <si>
    <t>Project Sinks
a. Ex-ante quantification of project sinks</t>
  </si>
  <si>
    <t>Data.</t>
  </si>
  <si>
    <t xml:space="preserve">To determine the ex-ante calculation of Project Sinks, the following data are required for the formula to be applied: </t>
  </si>
  <si>
    <r>
      <t>MG</t>
    </r>
    <r>
      <rPr>
        <vertAlign val="subscript"/>
        <sz val="11"/>
        <color theme="1"/>
        <rFont val="Calibri"/>
        <family val="2"/>
        <scheme val="minor"/>
      </rPr>
      <t>rep,i,d</t>
    </r>
  </si>
  <si>
    <t xml:space="preserve"> Summed mass of sub fractions d and material i (tconcrete aggregate) based on historical data or forecast.</t>
  </si>
  <si>
    <r>
      <t>SF</t>
    </r>
    <r>
      <rPr>
        <vertAlign val="subscript"/>
        <sz val="11"/>
        <color theme="1"/>
        <rFont val="Calibri"/>
        <family val="2"/>
        <scheme val="minor"/>
      </rPr>
      <t>i,d</t>
    </r>
  </si>
  <si>
    <t xml:space="preserve"> Summed sink factor corresponding to the specific amount of CO2 that can be permanently fixed in the material i of grain size d (t CO2/t concrete aggregate).</t>
  </si>
  <si>
    <t xml:space="preserve">The results are: </t>
  </si>
  <si>
    <r>
      <t>GSC</t>
    </r>
    <r>
      <rPr>
        <vertAlign val="subscript"/>
        <sz val="11"/>
        <color theme="1"/>
        <rFont val="Calibri"/>
        <family val="2"/>
        <scheme val="minor"/>
      </rPr>
      <t>y</t>
    </r>
  </si>
  <si>
    <t xml:space="preserve"> Gross Sink Capacity in the monitoring period y of the respective project sink (t CO2)</t>
  </si>
  <si>
    <t>b. Ex-post quantification of project sinks</t>
  </si>
  <si>
    <t xml:space="preserve">To determine the ex-post calculation of Project Sinks, the following data are required for the formula to be applied: </t>
  </si>
  <si>
    <r>
      <t>PS</t>
    </r>
    <r>
      <rPr>
        <vertAlign val="subscript"/>
        <sz val="11"/>
        <color theme="1"/>
        <rFont val="Calibri"/>
        <family val="2"/>
        <scheme val="minor"/>
      </rPr>
      <t>y</t>
    </r>
  </si>
  <si>
    <t xml:space="preserve"> The Project Sink (or Gross Sink Capacity) for the monitoring period y, (t CO2) corresponds to the amount of CO2 fed to the reactor system reduced by   the amount of CO2 leaving the reactor system as a gas.</t>
  </si>
  <si>
    <r>
      <t>The amount of CO2 m</t>
    </r>
    <r>
      <rPr>
        <b/>
        <vertAlign val="subscript"/>
        <sz val="12"/>
        <color theme="1"/>
        <rFont val="Calibri"/>
        <family val="2"/>
        <scheme val="minor"/>
      </rPr>
      <t>CO2,i,d
 lost</t>
    </r>
    <r>
      <rPr>
        <b/>
        <sz val="12"/>
        <color theme="1"/>
        <rFont val="Calibri"/>
        <family val="2"/>
        <scheme val="minor"/>
      </rPr>
      <t xml:space="preserve"> lost may be calculated as follows:</t>
    </r>
  </si>
  <si>
    <t>Select which option applies to your project:</t>
  </si>
  <si>
    <t>a. For Direct Mineral Carbonation:</t>
  </si>
  <si>
    <t xml:space="preserve">To determine amount of CO2 lost, the following data are required for the formula to be applied: </t>
  </si>
  <si>
    <r>
      <t>ρ</t>
    </r>
    <r>
      <rPr>
        <vertAlign val="subscript"/>
        <sz val="11"/>
        <color theme="1"/>
        <rFont val="Calibri"/>
        <family val="2"/>
        <scheme val="minor"/>
      </rPr>
      <t>bulk,i,d</t>
    </r>
  </si>
  <si>
    <t xml:space="preserve"> Corresponds to the bulk density of the material i, grain size d (kg/m3).</t>
  </si>
  <si>
    <r>
      <t>ρ</t>
    </r>
    <r>
      <rPr>
        <vertAlign val="subscript"/>
        <sz val="11"/>
        <color theme="1"/>
        <rFont val="Calibri"/>
        <family val="2"/>
        <scheme val="minor"/>
      </rPr>
      <t>i,d</t>
    </r>
  </si>
  <si>
    <t xml:space="preserve"> Corresponds to the density of the material i, grain size d (kg/m3).</t>
  </si>
  <si>
    <r>
      <t>M</t>
    </r>
    <r>
      <rPr>
        <vertAlign val="subscript"/>
        <sz val="11"/>
        <color theme="1"/>
        <rFont val="Calibri"/>
        <family val="2"/>
        <scheme val="minor"/>
      </rPr>
      <t>CO2</t>
    </r>
    <r>
      <rPr>
        <sz val="11"/>
        <color theme="1"/>
        <rFont val="Calibri"/>
        <family val="2"/>
        <scheme val="minor"/>
      </rPr>
      <t xml:space="preserve"> </t>
    </r>
    <r>
      <rPr>
        <vertAlign val="subscript"/>
        <sz val="11"/>
        <color theme="1"/>
        <rFont val="Calibri"/>
        <family val="2"/>
        <scheme val="minor"/>
      </rPr>
      <t>out</t>
    </r>
  </si>
  <si>
    <t xml:space="preserve"> Amount of CO2 (t CO2) exiting the process in the monitoring period y.</t>
  </si>
  <si>
    <r>
      <t>M</t>
    </r>
    <r>
      <rPr>
        <vertAlign val="subscript"/>
        <sz val="11"/>
        <color theme="1"/>
        <rFont val="Calibri"/>
        <family val="2"/>
        <scheme val="minor"/>
      </rPr>
      <t>CO2</t>
    </r>
  </si>
  <si>
    <t xml:space="preserve"> Molar mass of CO2 in t per mole (kg/mol).</t>
  </si>
  <si>
    <t>p</t>
  </si>
  <si>
    <t xml:space="preserve"> Total pressure in Pascal (Pa).</t>
  </si>
  <si>
    <t>R</t>
  </si>
  <si>
    <t xml:space="preserve"> Ideal gas constant (J/mol*K).</t>
  </si>
  <si>
    <t>T</t>
  </si>
  <si>
    <t xml:space="preserve"> Ambient temperature in Kelvin (K).</t>
  </si>
  <si>
    <r>
      <t>MG</t>
    </r>
    <r>
      <rPr>
        <vertAlign val="subscript"/>
        <sz val="11"/>
        <color theme="1"/>
        <rFont val="Calibri"/>
        <family val="2"/>
        <scheme val="minor"/>
      </rPr>
      <t>y,i,d</t>
    </r>
  </si>
  <si>
    <t xml:space="preserve"> Corresponds to the cumulative mass of sub fractions d and material i processed within the monitoring period y (tonnes concrete aggregate).</t>
  </si>
  <si>
    <r>
      <t>y</t>
    </r>
    <r>
      <rPr>
        <vertAlign val="subscript"/>
        <sz val="11"/>
        <color theme="1"/>
        <rFont val="Calibri"/>
        <family val="2"/>
        <scheme val="minor"/>
      </rPr>
      <t>i,d CO2</t>
    </r>
  </si>
  <si>
    <t xml:space="preserve"> CO2 molar fraction (mole/mole).</t>
  </si>
  <si>
    <r>
      <t>m</t>
    </r>
    <r>
      <rPr>
        <vertAlign val="subscript"/>
        <sz val="11"/>
        <color theme="1"/>
        <rFont val="Calibri"/>
        <family val="2"/>
        <scheme val="minor"/>
      </rPr>
      <t>CO2,i,d</t>
    </r>
    <r>
      <rPr>
        <sz val="11"/>
        <color theme="1"/>
        <rFont val="Calibri"/>
        <family val="2"/>
        <scheme val="minor"/>
      </rPr>
      <t xml:space="preserve"> </t>
    </r>
    <r>
      <rPr>
        <vertAlign val="subscript"/>
        <sz val="11"/>
        <color theme="1"/>
        <rFont val="Calibri"/>
        <family val="2"/>
        <scheme val="minor"/>
      </rPr>
      <t>in</t>
    </r>
  </si>
  <si>
    <t xml:space="preserve"> Mass of CO2 which was fed to the carbonation plant in the monitoring period y (t CO2) to be stored in material i and grain size d.</t>
  </si>
  <si>
    <r>
      <t>m</t>
    </r>
    <r>
      <rPr>
        <vertAlign val="subscript"/>
        <sz val="11"/>
        <color theme="1"/>
        <rFont val="Calibri"/>
        <family val="2"/>
        <scheme val="minor"/>
      </rPr>
      <t>CO2,i,d lost</t>
    </r>
  </si>
  <si>
    <t xml:space="preserve"> Corresponds to the amount of CO2 exiting the process without being stored in the monitoring period y (t CO2).</t>
  </si>
  <si>
    <r>
      <t>ϵ</t>
    </r>
    <r>
      <rPr>
        <vertAlign val="subscript"/>
        <sz val="11"/>
        <color theme="1"/>
        <rFont val="Calibri"/>
        <family val="2"/>
        <scheme val="minor"/>
      </rPr>
      <t>i,d</t>
    </r>
  </si>
  <si>
    <t xml:space="preserve"> Gas void fraction per m3 of reactor volume (m3).</t>
  </si>
  <si>
    <t>b. Indirect Mineral Carbonation:</t>
  </si>
  <si>
    <t xml:space="preserve">To determine amount of CO2 lost, the following data is required for the formula to be applied: </t>
  </si>
  <si>
    <t xml:space="preserve"> Amount of CO2 (t CO2) exiting the process in the monitoring period y. </t>
  </si>
  <si>
    <r>
      <t>m</t>
    </r>
    <r>
      <rPr>
        <vertAlign val="subscript"/>
        <sz val="11"/>
        <color theme="1"/>
        <rFont val="Calibri"/>
        <family val="2"/>
        <scheme val="minor"/>
      </rPr>
      <t>CO2,I,d in</t>
    </r>
  </si>
  <si>
    <t xml:space="preserve"> The Project Sink (or Gross Sink Capacity) for the monitoring period y, (t CO2) corresponds to the amount of CO2 fed to the reactor system reduced by      the amount of CO2 leaving the reactor system as a gas.</t>
  </si>
  <si>
    <t xml:space="preserve">Define the year you'd like to calculate the baseline emissions for: </t>
  </si>
  <si>
    <t xml:space="preserve"> data to be completed by project participant</t>
  </si>
  <si>
    <t>Year</t>
  </si>
  <si>
    <t>Material Type i</t>
  </si>
  <si>
    <r>
      <t>MG</t>
    </r>
    <r>
      <rPr>
        <vertAlign val="subscript"/>
        <sz val="10"/>
        <color rgb="FF000000"/>
        <rFont val="Tahoma"/>
        <family val="2"/>
      </rPr>
      <t>rep,i,d</t>
    </r>
  </si>
  <si>
    <t>Grain Size d</t>
  </si>
  <si>
    <t>SFi</t>
  </si>
  <si>
    <r>
      <t>MG</t>
    </r>
    <r>
      <rPr>
        <vertAlign val="subscript"/>
        <sz val="10"/>
        <color rgb="FF000000"/>
        <rFont val="Tahoma"/>
        <family val="2"/>
      </rPr>
      <t xml:space="preserve">rep,i,d </t>
    </r>
    <r>
      <rPr>
        <sz val="10"/>
        <color indexed="8"/>
        <rFont val="Tahoma"/>
        <family val="2"/>
      </rPr>
      <t>* SF</t>
    </r>
    <r>
      <rPr>
        <vertAlign val="subscript"/>
        <sz val="10"/>
        <color rgb="FF000000"/>
        <rFont val="Tahoma"/>
        <family val="2"/>
      </rPr>
      <t>i</t>
    </r>
  </si>
  <si>
    <t>Source of data</t>
  </si>
  <si>
    <t>Limestone</t>
  </si>
  <si>
    <t>4-8 mm</t>
  </si>
  <si>
    <t>Forecast</t>
  </si>
  <si>
    <t>Gravel</t>
  </si>
  <si>
    <t>&gt;22 mm</t>
  </si>
  <si>
    <t xml:space="preserve"> data to be completed by project particpant</t>
  </si>
  <si>
    <r>
      <t>m</t>
    </r>
    <r>
      <rPr>
        <vertAlign val="subscript"/>
        <sz val="11"/>
        <color rgb="FF000000"/>
        <rFont val="Tahoma"/>
        <family val="2"/>
      </rPr>
      <t>CO2,i,d lost</t>
    </r>
  </si>
  <si>
    <r>
      <t>m</t>
    </r>
    <r>
      <rPr>
        <vertAlign val="subscript"/>
        <sz val="11"/>
        <color rgb="FF000000"/>
        <rFont val="Tahoma"/>
        <family val="2"/>
      </rPr>
      <t>CO2,i,d in</t>
    </r>
  </si>
  <si>
    <r>
      <t>m</t>
    </r>
    <r>
      <rPr>
        <vertAlign val="subscript"/>
        <sz val="11"/>
        <color rgb="FF000000"/>
        <rFont val="Tahoma"/>
        <family val="2"/>
      </rPr>
      <t>CO2,i,d in</t>
    </r>
    <r>
      <rPr>
        <sz val="11"/>
        <color indexed="8"/>
        <rFont val="Tahoma"/>
        <family val="2"/>
      </rPr>
      <t xml:space="preserve"> - m</t>
    </r>
    <r>
      <rPr>
        <vertAlign val="subscript"/>
        <sz val="11"/>
        <color rgb="FF000000"/>
        <rFont val="Tahoma"/>
        <family val="2"/>
      </rPr>
      <t>CO2,i,d lost</t>
    </r>
  </si>
  <si>
    <r>
      <t>m</t>
    </r>
    <r>
      <rPr>
        <vertAlign val="subscript"/>
        <sz val="11"/>
        <color rgb="FF000000"/>
        <rFont val="Tahoma"/>
        <family val="2"/>
      </rPr>
      <t>CO2,i,d out</t>
    </r>
  </si>
  <si>
    <r>
      <t>m</t>
    </r>
    <r>
      <rPr>
        <vertAlign val="subscript"/>
        <sz val="11"/>
        <color rgb="FF000000"/>
        <rFont val="Tahoma"/>
        <family val="2"/>
      </rPr>
      <t>CO2</t>
    </r>
  </si>
  <si>
    <r>
      <t>ϵ</t>
    </r>
    <r>
      <rPr>
        <vertAlign val="subscript"/>
        <sz val="11"/>
        <color rgb="FF000000"/>
        <rFont val="Tahoma"/>
        <family val="2"/>
      </rPr>
      <t>i,d</t>
    </r>
  </si>
  <si>
    <r>
      <t>y</t>
    </r>
    <r>
      <rPr>
        <vertAlign val="subscript"/>
        <sz val="11"/>
        <color rgb="FF000000"/>
        <rFont val="Tahoma"/>
        <family val="2"/>
      </rPr>
      <t>i,d CO2</t>
    </r>
  </si>
  <si>
    <r>
      <t>ρ</t>
    </r>
    <r>
      <rPr>
        <vertAlign val="subscript"/>
        <sz val="11"/>
        <color rgb="FF000000"/>
        <rFont val="Tahoma"/>
        <family val="2"/>
      </rPr>
      <t>bulk,i,d</t>
    </r>
  </si>
  <si>
    <r>
      <t>ρ</t>
    </r>
    <r>
      <rPr>
        <vertAlign val="subscript"/>
        <sz val="11"/>
        <color rgb="FF000000"/>
        <rFont val="Tahoma"/>
        <family val="2"/>
      </rPr>
      <t>i,d</t>
    </r>
  </si>
  <si>
    <r>
      <t>MG</t>
    </r>
    <r>
      <rPr>
        <vertAlign val="subscript"/>
        <sz val="11"/>
        <color rgb="FF000000"/>
        <rFont val="Tahoma"/>
        <family val="2"/>
      </rPr>
      <t>y,i,d</t>
    </r>
  </si>
  <si>
    <t>2-4 mm</t>
  </si>
  <si>
    <t>Historical Production</t>
  </si>
  <si>
    <t>16-22 mm</t>
  </si>
  <si>
    <t>Project Emissions</t>
  </si>
  <si>
    <t>Project emissions are associated with activities related to the operation of carbonation plant for CO2 treatment.</t>
  </si>
  <si>
    <r>
      <t>Is the carbonation plant located at the CO</t>
    </r>
    <r>
      <rPr>
        <b/>
        <vertAlign val="subscript"/>
        <sz val="11"/>
        <color theme="1"/>
        <rFont val="Calibri"/>
        <family val="2"/>
        <scheme val="minor"/>
      </rPr>
      <t>2</t>
    </r>
    <r>
      <rPr>
        <b/>
        <sz val="11"/>
        <color theme="1"/>
        <rFont val="Calibri"/>
        <family val="2"/>
        <scheme val="minor"/>
      </rPr>
      <t xml:space="preserve"> source and the CO</t>
    </r>
    <r>
      <rPr>
        <b/>
        <vertAlign val="subscript"/>
        <sz val="11"/>
        <color theme="1"/>
        <rFont val="Calibri"/>
        <family val="2"/>
        <scheme val="minor"/>
      </rPr>
      <t>2</t>
    </r>
    <r>
      <rPr>
        <b/>
        <sz val="11"/>
        <color theme="1"/>
        <rFont val="Calibri"/>
        <family val="2"/>
        <scheme val="minor"/>
      </rPr>
      <t xml:space="preserve"> for the carbonation directly sourced from the off-gas?</t>
    </r>
  </si>
  <si>
    <t>Yes</t>
  </si>
  <si>
    <t xml:space="preserve">To determine the project emissions calculation, the following data are required for the formula to be applied: </t>
  </si>
  <si>
    <r>
      <t>FC</t>
    </r>
    <r>
      <rPr>
        <vertAlign val="subscript"/>
        <sz val="11"/>
        <color theme="1"/>
        <rFont val="Calibri"/>
        <family val="2"/>
        <scheme val="minor"/>
      </rPr>
      <t>carbonation,i,y</t>
    </r>
  </si>
  <si>
    <t xml:space="preserve"> Consumption of fuel type i in year y used for operation of carbonation reactor (e.g. diesel generation for onsite electricity consumption) (t)</t>
  </si>
  <si>
    <r>
      <t>FC</t>
    </r>
    <r>
      <rPr>
        <vertAlign val="subscript"/>
        <sz val="11"/>
        <color theme="1"/>
        <rFont val="Calibri"/>
        <family val="2"/>
        <scheme val="minor"/>
      </rPr>
      <t>evaporation,i,y</t>
    </r>
  </si>
  <si>
    <t xml:space="preserve"> Consumption of fuel type i in year y used for operation of reboiler (e.g., diesel generation for on-site electricity consumption) (t)</t>
  </si>
  <si>
    <r>
      <t>NCV</t>
    </r>
    <r>
      <rPr>
        <vertAlign val="subscript"/>
        <sz val="11"/>
        <color theme="1"/>
        <rFont val="Calibri"/>
        <family val="2"/>
        <scheme val="minor"/>
      </rPr>
      <t>i</t>
    </r>
  </si>
  <si>
    <t xml:space="preserve"> Net calorific value of fuel type i (MJ/t)</t>
  </si>
  <si>
    <r>
      <t>EF</t>
    </r>
    <r>
      <rPr>
        <vertAlign val="subscript"/>
        <sz val="11"/>
        <color theme="1"/>
        <rFont val="Calibri"/>
        <family val="2"/>
        <scheme val="minor"/>
      </rPr>
      <t>fuel,i</t>
    </r>
  </si>
  <si>
    <t xml:space="preserve"> Emission factor of fuel type i (tCO2-eq./MJ)</t>
  </si>
  <si>
    <r>
      <t>EC</t>
    </r>
    <r>
      <rPr>
        <vertAlign val="subscript"/>
        <sz val="11"/>
        <color theme="1"/>
        <rFont val="Calibri"/>
        <family val="2"/>
        <scheme val="minor"/>
      </rPr>
      <t>carbonation,y</t>
    </r>
  </si>
  <si>
    <r>
      <t>EC</t>
    </r>
    <r>
      <rPr>
        <vertAlign val="subscript"/>
        <sz val="11"/>
        <color theme="1"/>
        <rFont val="Calibri"/>
        <family val="2"/>
        <scheme val="minor"/>
      </rPr>
      <t>evaporation,y</t>
    </r>
  </si>
  <si>
    <t xml:space="preserve"> Electricity Consumption of CO2 reboiler in monitoring period y (MWh)</t>
  </si>
  <si>
    <r>
      <t>EF</t>
    </r>
    <r>
      <rPr>
        <vertAlign val="subscript"/>
        <sz val="11"/>
        <color theme="1"/>
        <rFont val="Calibri"/>
        <family val="2"/>
        <scheme val="minor"/>
      </rPr>
      <t>el</t>
    </r>
  </si>
  <si>
    <t xml:space="preserve"> Emission factor of the consumed electricity (t CO2-eq./MWh)</t>
  </si>
  <si>
    <r>
      <t>SC</t>
    </r>
    <r>
      <rPr>
        <vertAlign val="subscript"/>
        <sz val="11"/>
        <color theme="1"/>
        <rFont val="Calibri"/>
        <family val="2"/>
        <scheme val="minor"/>
      </rPr>
      <t>y</t>
    </r>
  </si>
  <si>
    <t xml:space="preserve"> Solvent Consumption of the indirect mineral carbonation process, (tsolvent)</t>
  </si>
  <si>
    <r>
      <t>EF</t>
    </r>
    <r>
      <rPr>
        <vertAlign val="subscript"/>
        <sz val="11"/>
        <color theme="1"/>
        <rFont val="Calibri"/>
        <family val="2"/>
        <scheme val="minor"/>
      </rPr>
      <t>solvent</t>
    </r>
  </si>
  <si>
    <t xml:space="preserve"> Emission factor of the solvent supply (t CO2-eq./t solvent)</t>
  </si>
  <si>
    <r>
      <t>PE</t>
    </r>
    <r>
      <rPr>
        <vertAlign val="subscript"/>
        <sz val="11"/>
        <color theme="1"/>
        <rFont val="Calibri"/>
        <family val="2"/>
        <scheme val="minor"/>
      </rPr>
      <t>y</t>
    </r>
  </si>
  <si>
    <t xml:space="preserve"> Project emissions in the monitoring period y, (t CO2-eq.)</t>
  </si>
  <si>
    <r>
      <t>PE</t>
    </r>
    <r>
      <rPr>
        <vertAlign val="subscript"/>
        <sz val="11"/>
        <color theme="1"/>
        <rFont val="Calibri"/>
        <family val="2"/>
        <scheme val="minor"/>
      </rPr>
      <t>carbonation,y</t>
    </r>
  </si>
  <si>
    <t xml:space="preserve"> Project emissions due to operation of the carbonation plant in the monitoring period y, (t CO2-eq.)</t>
  </si>
  <si>
    <r>
      <t>PE</t>
    </r>
    <r>
      <rPr>
        <vertAlign val="subscript"/>
        <sz val="11"/>
        <color theme="1"/>
        <rFont val="Calibri"/>
        <family val="2"/>
        <scheme val="minor"/>
      </rPr>
      <t>evaporation,y</t>
    </r>
  </si>
  <si>
    <t xml:space="preserve"> Emissions from consumption of energy, associated with the evaporation of CO2 in the monitoring period y (t CO2-eq.)</t>
  </si>
  <si>
    <r>
      <t>PE</t>
    </r>
    <r>
      <rPr>
        <vertAlign val="subscript"/>
        <sz val="11"/>
        <color theme="1"/>
        <rFont val="Calibri"/>
        <family val="2"/>
        <scheme val="minor"/>
      </rPr>
      <t>solvent,y</t>
    </r>
  </si>
  <si>
    <t xml:space="preserve"> Emissions associated to the supply of solvent (t CO2- eq.). Solvent is required only for the indirect mineral carbonation process.</t>
  </si>
  <si>
    <r>
      <t>∑FC</t>
    </r>
    <r>
      <rPr>
        <vertAlign val="subscript"/>
        <sz val="11"/>
        <color theme="1"/>
        <rFont val="Calibri"/>
        <family val="2"/>
        <scheme val="minor"/>
      </rPr>
      <t xml:space="preserve">carbonation,i,y </t>
    </r>
    <r>
      <rPr>
        <sz val="11"/>
        <color theme="1"/>
        <rFont val="Calibri"/>
        <family val="2"/>
        <scheme val="minor"/>
      </rPr>
      <t>* NCV</t>
    </r>
    <r>
      <rPr>
        <vertAlign val="subscript"/>
        <sz val="11"/>
        <color theme="1"/>
        <rFont val="Calibri"/>
        <family val="2"/>
        <scheme val="minor"/>
      </rPr>
      <t xml:space="preserve">i </t>
    </r>
    <r>
      <rPr>
        <sz val="11"/>
        <color theme="1"/>
        <rFont val="Calibri"/>
        <family val="2"/>
        <scheme val="minor"/>
      </rPr>
      <t>* EF</t>
    </r>
    <r>
      <rPr>
        <vertAlign val="subscript"/>
        <sz val="11"/>
        <color theme="1"/>
        <rFont val="Calibri"/>
        <family val="2"/>
        <scheme val="minor"/>
      </rPr>
      <t>fuel,i</t>
    </r>
  </si>
  <si>
    <r>
      <t>∑FC</t>
    </r>
    <r>
      <rPr>
        <vertAlign val="subscript"/>
        <sz val="11"/>
        <color theme="1"/>
        <rFont val="Calibri"/>
        <family val="2"/>
        <scheme val="minor"/>
      </rPr>
      <t xml:space="preserve">evaporation,i,y </t>
    </r>
    <r>
      <rPr>
        <sz val="11"/>
        <color theme="1"/>
        <rFont val="Calibri"/>
        <family val="2"/>
        <scheme val="minor"/>
      </rPr>
      <t xml:space="preserve"> * NCV</t>
    </r>
    <r>
      <rPr>
        <vertAlign val="subscript"/>
        <sz val="11"/>
        <color theme="1"/>
        <rFont val="Calibri"/>
        <family val="2"/>
        <scheme val="minor"/>
      </rPr>
      <t xml:space="preserve">i </t>
    </r>
    <r>
      <rPr>
        <sz val="11"/>
        <color theme="1"/>
        <rFont val="Calibri"/>
        <family val="2"/>
        <scheme val="minor"/>
      </rPr>
      <t>* EF</t>
    </r>
    <r>
      <rPr>
        <vertAlign val="subscript"/>
        <sz val="11"/>
        <color theme="1"/>
        <rFont val="Calibri"/>
        <family val="2"/>
        <scheme val="minor"/>
      </rPr>
      <t>fuel,i</t>
    </r>
  </si>
  <si>
    <t>Fuel Type i</t>
  </si>
  <si>
    <r>
      <t>FC</t>
    </r>
    <r>
      <rPr>
        <vertAlign val="subscript"/>
        <sz val="10"/>
        <color rgb="FF000000"/>
        <rFont val="Tahoma"/>
        <family val="2"/>
      </rPr>
      <t>carbonation,i,y</t>
    </r>
  </si>
  <si>
    <r>
      <t>FC</t>
    </r>
    <r>
      <rPr>
        <vertAlign val="subscript"/>
        <sz val="11"/>
        <color rgb="FF000000"/>
        <rFont val="Tahoma"/>
        <family val="2"/>
      </rPr>
      <t>evaporation,i,y</t>
    </r>
  </si>
  <si>
    <r>
      <t>NCV</t>
    </r>
    <r>
      <rPr>
        <vertAlign val="subscript"/>
        <sz val="11"/>
        <color rgb="FF000000"/>
        <rFont val="Tahoma"/>
        <family val="2"/>
      </rPr>
      <t>i</t>
    </r>
  </si>
  <si>
    <r>
      <t>EF</t>
    </r>
    <r>
      <rPr>
        <vertAlign val="subscript"/>
        <sz val="11"/>
        <color rgb="FF000000"/>
        <rFont val="Tahoma"/>
        <family val="2"/>
      </rPr>
      <t>fuel,i</t>
    </r>
  </si>
  <si>
    <r>
      <t>FC</t>
    </r>
    <r>
      <rPr>
        <vertAlign val="subscript"/>
        <sz val="11"/>
        <color rgb="FF000000"/>
        <rFont val="Tahoma"/>
        <family val="2"/>
      </rPr>
      <t>carbonation,i,y</t>
    </r>
    <r>
      <rPr>
        <sz val="11"/>
        <color indexed="8"/>
        <rFont val="Tahoma"/>
        <family val="2"/>
      </rPr>
      <t xml:space="preserve"> * NCV</t>
    </r>
    <r>
      <rPr>
        <vertAlign val="subscript"/>
        <sz val="11"/>
        <color rgb="FF000000"/>
        <rFont val="Tahoma"/>
        <family val="2"/>
      </rPr>
      <t>i</t>
    </r>
    <r>
      <rPr>
        <sz val="11"/>
        <color indexed="8"/>
        <rFont val="Tahoma"/>
        <family val="2"/>
      </rPr>
      <t xml:space="preserve"> * EF</t>
    </r>
    <r>
      <rPr>
        <vertAlign val="subscript"/>
        <sz val="11"/>
        <color rgb="FF000000"/>
        <rFont val="Tahoma"/>
        <family val="2"/>
      </rPr>
      <t>fuel,i</t>
    </r>
  </si>
  <si>
    <r>
      <t>FC</t>
    </r>
    <r>
      <rPr>
        <vertAlign val="subscript"/>
        <sz val="11"/>
        <color rgb="FF000000"/>
        <rFont val="Tahoma"/>
        <family val="2"/>
      </rPr>
      <t>evaporation,i,y</t>
    </r>
    <r>
      <rPr>
        <sz val="11"/>
        <color indexed="8"/>
        <rFont val="Tahoma"/>
        <family val="2"/>
      </rPr>
      <t xml:space="preserve"> * NCV</t>
    </r>
    <r>
      <rPr>
        <vertAlign val="subscript"/>
        <sz val="11"/>
        <color rgb="FF000000"/>
        <rFont val="Tahoma"/>
        <family val="2"/>
      </rPr>
      <t>i</t>
    </r>
    <r>
      <rPr>
        <sz val="11"/>
        <color indexed="8"/>
        <rFont val="Tahoma"/>
        <family val="2"/>
      </rPr>
      <t xml:space="preserve"> * EF</t>
    </r>
    <r>
      <rPr>
        <vertAlign val="subscript"/>
        <sz val="11"/>
        <color rgb="FF000000"/>
        <rFont val="Tahoma"/>
        <family val="2"/>
      </rPr>
      <t>fuel,i</t>
    </r>
  </si>
  <si>
    <t>Natural Gas</t>
  </si>
  <si>
    <t>Coal</t>
  </si>
  <si>
    <t>Leakage Emissions</t>
  </si>
  <si>
    <t xml:space="preserve">Leakage emissions consist of: </t>
  </si>
  <si>
    <r>
      <rPr>
        <b/>
        <sz val="11"/>
        <color theme="1"/>
        <rFont val="Tahoma"/>
        <family val="2"/>
      </rPr>
      <t xml:space="preserve">a. </t>
    </r>
    <r>
      <rPr>
        <sz val="11"/>
        <color theme="1"/>
        <rFont val="Tahoma"/>
        <family val="2"/>
      </rPr>
      <t xml:space="preserve">Emissions due to the energy consumption associated with the additional crushing effort to reach higher CO2 uptake efficiencies of the concrete aggregate.
</t>
    </r>
    <r>
      <rPr>
        <b/>
        <sz val="11"/>
        <color theme="1"/>
        <rFont val="Tahoma"/>
        <family val="2"/>
      </rPr>
      <t xml:space="preserve">b. </t>
    </r>
    <r>
      <rPr>
        <sz val="11"/>
        <color theme="1"/>
        <rFont val="Tahoma"/>
        <family val="2"/>
      </rPr>
      <t xml:space="preserve">Emissions due to electricity and heat demand associated with the capture, separation and collection of the CO2.
</t>
    </r>
    <r>
      <rPr>
        <b/>
        <sz val="11"/>
        <color theme="1"/>
        <rFont val="Tahoma"/>
        <family val="2"/>
      </rPr>
      <t xml:space="preserve">c. </t>
    </r>
    <r>
      <rPr>
        <sz val="11"/>
        <color theme="1"/>
        <rFont val="Tahoma"/>
        <family val="2"/>
      </rPr>
      <t xml:space="preserve">Emissions due to the energy consumption of the CO2 tank associated with refrigerating the CO2.
</t>
    </r>
    <r>
      <rPr>
        <b/>
        <sz val="11"/>
        <color theme="1"/>
        <rFont val="Tahoma"/>
        <family val="2"/>
      </rPr>
      <t>d.</t>
    </r>
    <r>
      <rPr>
        <sz val="11"/>
        <color theme="1"/>
        <rFont val="Tahoma"/>
        <family val="2"/>
      </rPr>
      <t xml:space="preserve"> Emissions due to electricity consumption associated with the liquefaction of CO2.
</t>
    </r>
    <r>
      <rPr>
        <b/>
        <sz val="11"/>
        <color theme="1"/>
        <rFont val="Tahoma"/>
        <family val="2"/>
      </rPr>
      <t>e.</t>
    </r>
    <r>
      <rPr>
        <sz val="11"/>
        <color theme="1"/>
        <rFont val="Tahoma"/>
        <family val="2"/>
      </rPr>
      <t xml:space="preserve"> Emissions associated with the transportation of liquefied CO2 to the carbonation plant.
</t>
    </r>
    <r>
      <rPr>
        <b/>
        <sz val="11"/>
        <color theme="1"/>
        <rFont val="Tahoma"/>
        <family val="2"/>
      </rPr>
      <t xml:space="preserve">f. </t>
    </r>
    <r>
      <rPr>
        <sz val="11"/>
        <color theme="1"/>
        <rFont val="Tahoma"/>
        <family val="2"/>
      </rPr>
      <t>Emissions associated with the transportation of concrete aggregate and regenerated sand.</t>
    </r>
  </si>
  <si>
    <r>
      <t>LE</t>
    </r>
    <r>
      <rPr>
        <vertAlign val="subscript"/>
        <sz val="11"/>
        <color theme="1"/>
        <rFont val="Calibri"/>
        <family val="2"/>
        <scheme val="minor"/>
      </rPr>
      <t>crusher,y</t>
    </r>
  </si>
  <si>
    <r>
      <t>LE</t>
    </r>
    <r>
      <rPr>
        <vertAlign val="subscript"/>
        <sz val="11"/>
        <color theme="1"/>
        <rFont val="Calibri"/>
        <family val="2"/>
        <scheme val="minor"/>
      </rPr>
      <t>capture,y</t>
    </r>
  </si>
  <si>
    <r>
      <t>LE</t>
    </r>
    <r>
      <rPr>
        <vertAlign val="subscript"/>
        <sz val="11"/>
        <color theme="1"/>
        <rFont val="Calibri"/>
        <family val="2"/>
        <scheme val="minor"/>
      </rPr>
      <t>liqu,y</t>
    </r>
  </si>
  <si>
    <r>
      <t>LE</t>
    </r>
    <r>
      <rPr>
        <vertAlign val="subscript"/>
        <sz val="11"/>
        <color theme="1"/>
        <rFont val="Calibri"/>
        <family val="2"/>
        <scheme val="minor"/>
      </rPr>
      <t>ref,CO2,y</t>
    </r>
  </si>
  <si>
    <r>
      <t>LE</t>
    </r>
    <r>
      <rPr>
        <vertAlign val="subscript"/>
        <sz val="11"/>
        <color theme="1"/>
        <rFont val="Calibri"/>
        <family val="2"/>
        <scheme val="minor"/>
      </rPr>
      <t>tr,CO2,y</t>
    </r>
  </si>
  <si>
    <r>
      <t>LE</t>
    </r>
    <r>
      <rPr>
        <vertAlign val="subscript"/>
        <sz val="11"/>
        <color theme="1"/>
        <rFont val="Calibri"/>
        <family val="2"/>
        <scheme val="minor"/>
      </rPr>
      <t>tr,CA,y</t>
    </r>
  </si>
  <si>
    <r>
      <t>LE</t>
    </r>
    <r>
      <rPr>
        <vertAlign val="subscript"/>
        <sz val="11"/>
        <color theme="1"/>
        <rFont val="Calibri"/>
        <family val="2"/>
        <scheme val="minor"/>
      </rPr>
      <t>te,CCA/sand,y</t>
    </r>
  </si>
  <si>
    <t xml:space="preserve"> Emissions due to energy consumption associated with the additional crushing effort in monitoring period y.</t>
  </si>
  <si>
    <t xml:space="preserve"> Emissions due to electricity and heat consumption associated with the separation, capture and collection of the CO2 in monitoring period y.</t>
  </si>
  <si>
    <t xml:space="preserve"> Emissions due to electricity consumption associated with the liquefaction of CO2 in monitoring period y, (t CO2-eq.)</t>
  </si>
  <si>
    <t xml:space="preserve"> Emissions due to the refrigerating effort of the CO2 tank</t>
  </si>
  <si>
    <t xml:space="preserve"> Emissions due to transportation of liquefied CO2 from liquefying plant to the carbonation plant in monitoring period y, (t CO2-eq.)</t>
  </si>
  <si>
    <r>
      <t>LE</t>
    </r>
    <r>
      <rPr>
        <vertAlign val="subscript"/>
        <sz val="11"/>
        <color theme="1"/>
        <rFont val="Calibri"/>
        <family val="2"/>
        <scheme val="minor"/>
      </rPr>
      <t>y</t>
    </r>
  </si>
  <si>
    <t xml:space="preserve"> Leakage Emissions in monitoring period y, (t CO2-eq.)</t>
  </si>
  <si>
    <r>
      <t>FC</t>
    </r>
    <r>
      <rPr>
        <vertAlign val="subscript"/>
        <sz val="11"/>
        <color rgb="FF000000"/>
        <rFont val="Tahoma"/>
        <family val="2"/>
      </rPr>
      <t>capture,i,y</t>
    </r>
  </si>
  <si>
    <r>
      <t>FC</t>
    </r>
    <r>
      <rPr>
        <vertAlign val="subscript"/>
        <sz val="10"/>
        <color rgb="FF000000"/>
        <rFont val="Tahoma"/>
        <family val="2"/>
      </rPr>
      <t>crusher,i,y</t>
    </r>
  </si>
  <si>
    <r>
      <t>FC</t>
    </r>
    <r>
      <rPr>
        <vertAlign val="subscript"/>
        <sz val="11"/>
        <color rgb="FF000000"/>
        <rFont val="Tahoma"/>
        <family val="2"/>
      </rPr>
      <t>liquefaction,i,y</t>
    </r>
  </si>
  <si>
    <r>
      <t>FC</t>
    </r>
    <r>
      <rPr>
        <vertAlign val="subscript"/>
        <sz val="11"/>
        <color rgb="FF000000"/>
        <rFont val="Tahoma"/>
        <family val="2"/>
      </rPr>
      <t>ref,CO2,i,y</t>
    </r>
  </si>
  <si>
    <r>
      <t>FC</t>
    </r>
    <r>
      <rPr>
        <vertAlign val="subscript"/>
        <sz val="11"/>
        <color rgb="FF000000"/>
        <rFont val="Tahoma"/>
        <family val="2"/>
      </rPr>
      <t>crusher,i,y</t>
    </r>
    <r>
      <rPr>
        <sz val="11"/>
        <color indexed="8"/>
        <rFont val="Tahoma"/>
        <family val="2"/>
      </rPr>
      <t xml:space="preserve"> * NCV</t>
    </r>
    <r>
      <rPr>
        <vertAlign val="subscript"/>
        <sz val="11"/>
        <color rgb="FF000000"/>
        <rFont val="Tahoma"/>
        <family val="2"/>
      </rPr>
      <t>i</t>
    </r>
    <r>
      <rPr>
        <sz val="11"/>
        <color indexed="8"/>
        <rFont val="Tahoma"/>
        <family val="2"/>
      </rPr>
      <t xml:space="preserve"> * EF</t>
    </r>
    <r>
      <rPr>
        <vertAlign val="subscript"/>
        <sz val="11"/>
        <color rgb="FF000000"/>
        <rFont val="Tahoma"/>
        <family val="2"/>
      </rPr>
      <t>fuel,i</t>
    </r>
  </si>
  <si>
    <r>
      <t>FC</t>
    </r>
    <r>
      <rPr>
        <vertAlign val="subscript"/>
        <sz val="11"/>
        <color rgb="FF000000"/>
        <rFont val="Tahoma"/>
        <family val="2"/>
      </rPr>
      <t xml:space="preserve">capture,i,y </t>
    </r>
    <r>
      <rPr>
        <sz val="11"/>
        <color indexed="8"/>
        <rFont val="Tahoma"/>
        <family val="2"/>
      </rPr>
      <t>* NCV</t>
    </r>
    <r>
      <rPr>
        <vertAlign val="subscript"/>
        <sz val="11"/>
        <color rgb="FF000000"/>
        <rFont val="Tahoma"/>
        <family val="2"/>
      </rPr>
      <t xml:space="preserve">i </t>
    </r>
    <r>
      <rPr>
        <sz val="11"/>
        <color indexed="8"/>
        <rFont val="Tahoma"/>
        <family val="2"/>
      </rPr>
      <t>* EF</t>
    </r>
    <r>
      <rPr>
        <vertAlign val="subscript"/>
        <sz val="11"/>
        <color rgb="FF000000"/>
        <rFont val="Tahoma"/>
        <family val="2"/>
      </rPr>
      <t>fuel,i</t>
    </r>
  </si>
  <si>
    <r>
      <t>FC</t>
    </r>
    <r>
      <rPr>
        <vertAlign val="subscript"/>
        <sz val="11"/>
        <color rgb="FF000000"/>
        <rFont val="Tahoma"/>
        <family val="2"/>
      </rPr>
      <t>liquefaction,i,y</t>
    </r>
    <r>
      <rPr>
        <sz val="11"/>
        <color indexed="8"/>
        <rFont val="Tahoma"/>
        <family val="2"/>
      </rPr>
      <t xml:space="preserve"> * NCVi * EFfuel,i</t>
    </r>
  </si>
  <si>
    <r>
      <t>FC</t>
    </r>
    <r>
      <rPr>
        <vertAlign val="subscript"/>
        <sz val="11"/>
        <color rgb="FF000000"/>
        <rFont val="Tahoma"/>
        <family val="2"/>
      </rPr>
      <t>ref,CO2,i,y</t>
    </r>
    <r>
      <rPr>
        <sz val="11"/>
        <color indexed="8"/>
        <rFont val="Tahoma"/>
        <family val="2"/>
      </rPr>
      <t xml:space="preserve"> * NCV</t>
    </r>
    <r>
      <rPr>
        <vertAlign val="subscript"/>
        <sz val="11"/>
        <color rgb="FF000000"/>
        <rFont val="Tahoma"/>
        <family val="2"/>
      </rPr>
      <t>i</t>
    </r>
    <r>
      <rPr>
        <sz val="11"/>
        <color indexed="8"/>
        <rFont val="Tahoma"/>
        <family val="2"/>
      </rPr>
      <t xml:space="preserve"> * EF</t>
    </r>
    <r>
      <rPr>
        <vertAlign val="subscript"/>
        <sz val="11"/>
        <color rgb="FF000000"/>
        <rFont val="Tahoma"/>
        <family val="2"/>
      </rPr>
      <t>fuel,i</t>
    </r>
  </si>
  <si>
    <r>
      <t>EC</t>
    </r>
    <r>
      <rPr>
        <vertAlign val="subscript"/>
        <sz val="11"/>
        <color theme="1"/>
        <rFont val="Calibri"/>
        <family val="2"/>
        <scheme val="minor"/>
      </rPr>
      <t>crushing,y</t>
    </r>
  </si>
  <si>
    <r>
      <t>FC</t>
    </r>
    <r>
      <rPr>
        <vertAlign val="subscript"/>
        <sz val="11"/>
        <color theme="1"/>
        <rFont val="Calibri"/>
        <family val="2"/>
        <scheme val="minor"/>
      </rPr>
      <t>crusher</t>
    </r>
  </si>
  <si>
    <t xml:space="preserve"> Emission factor of the consumed electricity (t CO2- eq./MWh)</t>
  </si>
  <si>
    <t xml:space="preserve"> Consumption of fuel type i in year y used for operation of the crusher for the additional crushing effort.</t>
  </si>
  <si>
    <t xml:space="preserve"> Net calorific value of fuel type i (GJ/t)</t>
  </si>
  <si>
    <t xml:space="preserve"> Emissions due to transportation of concrete aggregate from the CRF to the carbonation plant in monitoring period y, (t CO2-eq.)</t>
  </si>
  <si>
    <t xml:space="preserve"> Emissions from transportation of carbonated concrete aggregate or regenerated sand from the carbonation plant to the location of treatment of the carbonated concrete aggregate or regenerated sand in the monitoring period y, (t CO2-eq.)</t>
  </si>
  <si>
    <t xml:space="preserve"> Emission factor of fuel type i (t CO2-eq./GJ)</t>
  </si>
  <si>
    <r>
      <t>EC</t>
    </r>
    <r>
      <rPr>
        <vertAlign val="subscript"/>
        <sz val="11"/>
        <color theme="1"/>
        <rFont val="Calibri"/>
        <family val="2"/>
        <scheme val="minor"/>
      </rPr>
      <t>capture,y</t>
    </r>
  </si>
  <si>
    <r>
      <t>FC</t>
    </r>
    <r>
      <rPr>
        <vertAlign val="subscript"/>
        <sz val="11"/>
        <color theme="1"/>
        <rFont val="Calibri"/>
        <family val="2"/>
        <scheme val="minor"/>
      </rPr>
      <t>capture,i,y</t>
    </r>
  </si>
  <si>
    <t xml:space="preserve"> Electricity consumption of the CO2 capture, separation and collection process in monitoring period y (MWh)</t>
  </si>
  <si>
    <t xml:space="preserve"> Consumption of fossil fuel(s) i for on-site power and heat generation for the capture, separation and collection process in monitoring period y.</t>
  </si>
  <si>
    <t xml:space="preserve"> Emission factor of fuel type i (tCO2-eq./GJ)</t>
  </si>
  <si>
    <r>
      <t>EC</t>
    </r>
    <r>
      <rPr>
        <vertAlign val="subscript"/>
        <sz val="11"/>
        <color theme="1"/>
        <rFont val="Calibri"/>
        <family val="2"/>
        <scheme val="minor"/>
      </rPr>
      <t>liquefaction,y</t>
    </r>
  </si>
  <si>
    <r>
      <t>FC</t>
    </r>
    <r>
      <rPr>
        <vertAlign val="subscript"/>
        <sz val="11"/>
        <color theme="1"/>
        <rFont val="Calibri"/>
        <family val="2"/>
        <scheme val="minor"/>
      </rPr>
      <t>liquefaction,i,y</t>
    </r>
  </si>
  <si>
    <t xml:space="preserve"> Electricity Consumption of liquefaction plant in monitoring period y (MWh)</t>
  </si>
  <si>
    <t xml:space="preserve"> Consumption of fuel type i in year y used for operation of the liquefaction plant (e.g. diesel generation for on site electricity consumption) (t)
</t>
  </si>
  <si>
    <r>
      <t>EC</t>
    </r>
    <r>
      <rPr>
        <vertAlign val="subscript"/>
        <sz val="11"/>
        <color theme="1"/>
        <rFont val="Calibri"/>
        <family val="2"/>
        <scheme val="minor"/>
      </rPr>
      <t>ref,CO2,y</t>
    </r>
  </si>
  <si>
    <r>
      <t>FC</t>
    </r>
    <r>
      <rPr>
        <vertAlign val="subscript"/>
        <sz val="11"/>
        <color theme="1"/>
        <rFont val="Calibri"/>
        <family val="2"/>
        <scheme val="minor"/>
      </rPr>
      <t>ref,CO2,i,y</t>
    </r>
  </si>
  <si>
    <t xml:space="preserve"> Electricity Consumption of CO2 tank in monitoring period y (MWh)</t>
  </si>
  <si>
    <t xml:space="preserve"> Consumption of fuel type i in year y used for the refrigerating effort of CO2 tank</t>
  </si>
  <si>
    <t xml:space="preserve"> Emission factor of fuel type i (t CO2-eq./MJ)</t>
  </si>
  <si>
    <r>
      <t>D</t>
    </r>
    <r>
      <rPr>
        <vertAlign val="subscript"/>
        <sz val="11"/>
        <color theme="1"/>
        <rFont val="Calibri"/>
        <family val="2"/>
        <scheme val="minor"/>
      </rPr>
      <t>CO2,f,y</t>
    </r>
  </si>
  <si>
    <r>
      <t>FR</t>
    </r>
    <r>
      <rPr>
        <vertAlign val="subscript"/>
        <sz val="11"/>
        <color theme="1"/>
        <rFont val="Calibri"/>
        <family val="2"/>
        <scheme val="minor"/>
      </rPr>
      <t>CO2,f,y</t>
    </r>
  </si>
  <si>
    <r>
      <t>EF</t>
    </r>
    <r>
      <rPr>
        <vertAlign val="subscript"/>
        <sz val="11"/>
        <color theme="1"/>
        <rFont val="Calibri"/>
        <family val="2"/>
        <scheme val="minor"/>
      </rPr>
      <t>tr,f</t>
    </r>
  </si>
  <si>
    <t xml:space="preserve"> Round trip distance between the CO2 source and the carbonation plant of freight transportation activity f in monitoring period y (km)</t>
  </si>
  <si>
    <t xml:space="preserve"> Total mass of freight transported in freight transportation activity f in monitoring period y (tons)</t>
  </si>
  <si>
    <t xml:space="preserve"> Default CO2 emission factor for freight transportation activity f (t CO2-eq./t km).</t>
  </si>
  <si>
    <r>
      <t>D</t>
    </r>
    <r>
      <rPr>
        <vertAlign val="subscript"/>
        <sz val="11"/>
        <color theme="1"/>
        <rFont val="Calibri"/>
        <family val="2"/>
        <scheme val="minor"/>
      </rPr>
      <t>CA,e,y</t>
    </r>
  </si>
  <si>
    <r>
      <t>FR</t>
    </r>
    <r>
      <rPr>
        <vertAlign val="subscript"/>
        <sz val="11"/>
        <color theme="1"/>
        <rFont val="Calibri"/>
        <family val="2"/>
        <scheme val="minor"/>
      </rPr>
      <t>CA,e,y</t>
    </r>
  </si>
  <si>
    <r>
      <t>EF</t>
    </r>
    <r>
      <rPr>
        <vertAlign val="subscript"/>
        <sz val="11"/>
        <color theme="1"/>
        <rFont val="Calibri"/>
        <family val="2"/>
        <scheme val="minor"/>
      </rPr>
      <t>Tr,e</t>
    </r>
  </si>
  <si>
    <t xml:space="preserve"> Round trip distance between CRF and carbonation plant of freight transportation activity e in monitoring period y (km)</t>
  </si>
  <si>
    <t xml:space="preserve"> Total mass of freight transported in freight transportation activity e in monitoring period y (tons)</t>
  </si>
  <si>
    <t xml:space="preserve"> Default CO2 emission factor for freight transportation activity e (t CO2-eq./t km) </t>
  </si>
  <si>
    <t xml:space="preserve"> Freight transportation activities conducted in the project activity in monitored period y</t>
  </si>
  <si>
    <t>`</t>
  </si>
  <si>
    <r>
      <t>D</t>
    </r>
    <r>
      <rPr>
        <vertAlign val="subscript"/>
        <sz val="11"/>
        <color theme="1"/>
        <rFont val="Calibri"/>
        <family val="2"/>
        <scheme val="minor"/>
      </rPr>
      <t>CCA/sand,g,y</t>
    </r>
  </si>
  <si>
    <r>
      <t>D</t>
    </r>
    <r>
      <rPr>
        <vertAlign val="subscript"/>
        <sz val="11"/>
        <color theme="1"/>
        <rFont val="Calibri"/>
        <family val="2"/>
        <scheme val="minor"/>
      </rPr>
      <t>sand,baseline</t>
    </r>
  </si>
  <si>
    <r>
      <t>FR</t>
    </r>
    <r>
      <rPr>
        <vertAlign val="subscript"/>
        <sz val="11"/>
        <color theme="1"/>
        <rFont val="Calibri"/>
        <family val="2"/>
        <scheme val="minor"/>
      </rPr>
      <t>CCA/sand,g,y</t>
    </r>
  </si>
  <si>
    <r>
      <t>EF</t>
    </r>
    <r>
      <rPr>
        <vertAlign val="subscript"/>
        <sz val="11"/>
        <color theme="1"/>
        <rFont val="Calibri"/>
        <family val="2"/>
        <scheme val="minor"/>
      </rPr>
      <t>Tr,g</t>
    </r>
  </si>
  <si>
    <t xml:space="preserve"> Round trip distance between carbonation plant and location of downstream use of carbonated concrete aggregate or regenerated sand of freight transportation activity g in monitoring period y (km)</t>
  </si>
  <si>
    <t xml:space="preserve"> Average round trip distance between CRF and downstream use of concrete aggregate (e.g. concrete production facility) in baseline scenario.</t>
  </si>
  <si>
    <t xml:space="preserve"> Total mass of freight transported in freight transportation activity g in monitoring period y (tons)</t>
  </si>
  <si>
    <t xml:space="preserve"> Default CO2 emission factor for freight transportation activity g (t CO2-eq./t km). </t>
  </si>
  <si>
    <r>
      <t>∑FC</t>
    </r>
    <r>
      <rPr>
        <vertAlign val="subscript"/>
        <sz val="11"/>
        <color theme="1"/>
        <rFont val="Calibri"/>
        <family val="2"/>
        <scheme val="minor"/>
      </rPr>
      <t xml:space="preserve">crusher,i,y </t>
    </r>
    <r>
      <rPr>
        <sz val="11"/>
        <color theme="1"/>
        <rFont val="Calibri"/>
        <family val="2"/>
        <scheme val="minor"/>
      </rPr>
      <t>* NCV</t>
    </r>
    <r>
      <rPr>
        <vertAlign val="subscript"/>
        <sz val="11"/>
        <color theme="1"/>
        <rFont val="Calibri"/>
        <family val="2"/>
        <scheme val="minor"/>
      </rPr>
      <t xml:space="preserve">i </t>
    </r>
    <r>
      <rPr>
        <sz val="11"/>
        <color theme="1"/>
        <rFont val="Calibri"/>
        <family val="2"/>
        <scheme val="minor"/>
      </rPr>
      <t>* EF</t>
    </r>
    <r>
      <rPr>
        <vertAlign val="subscript"/>
        <sz val="11"/>
        <color theme="1"/>
        <rFont val="Calibri"/>
        <family val="2"/>
        <scheme val="minor"/>
      </rPr>
      <t>fuel,i</t>
    </r>
  </si>
  <si>
    <r>
      <t>∑FC</t>
    </r>
    <r>
      <rPr>
        <vertAlign val="subscript"/>
        <sz val="11"/>
        <color theme="1"/>
        <rFont val="Calibri"/>
        <family val="2"/>
        <scheme val="minor"/>
      </rPr>
      <t xml:space="preserve">capture,i,y </t>
    </r>
    <r>
      <rPr>
        <sz val="11"/>
        <color theme="1"/>
        <rFont val="Calibri"/>
        <family val="2"/>
        <scheme val="minor"/>
      </rPr>
      <t>* NCV</t>
    </r>
    <r>
      <rPr>
        <vertAlign val="subscript"/>
        <sz val="11"/>
        <color theme="1"/>
        <rFont val="Calibri"/>
        <family val="2"/>
        <scheme val="minor"/>
      </rPr>
      <t xml:space="preserve">i </t>
    </r>
    <r>
      <rPr>
        <sz val="11"/>
        <color theme="1"/>
        <rFont val="Calibri"/>
        <family val="2"/>
        <scheme val="minor"/>
      </rPr>
      <t>* EF</t>
    </r>
    <r>
      <rPr>
        <vertAlign val="subscript"/>
        <sz val="11"/>
        <color theme="1"/>
        <rFont val="Calibri"/>
        <family val="2"/>
        <scheme val="minor"/>
      </rPr>
      <t>fuel,i</t>
    </r>
  </si>
  <si>
    <r>
      <t>∑FC</t>
    </r>
    <r>
      <rPr>
        <vertAlign val="subscript"/>
        <sz val="11"/>
        <color theme="1"/>
        <rFont val="Calibri"/>
        <family val="2"/>
        <scheme val="minor"/>
      </rPr>
      <t xml:space="preserve">liquefaction,i,y </t>
    </r>
    <r>
      <rPr>
        <sz val="11"/>
        <color theme="1"/>
        <rFont val="Calibri"/>
        <family val="2"/>
        <scheme val="minor"/>
      </rPr>
      <t>* NCV</t>
    </r>
    <r>
      <rPr>
        <vertAlign val="subscript"/>
        <sz val="11"/>
        <color theme="1"/>
        <rFont val="Calibri"/>
        <family val="2"/>
        <scheme val="minor"/>
      </rPr>
      <t xml:space="preserve">i </t>
    </r>
    <r>
      <rPr>
        <sz val="11"/>
        <color theme="1"/>
        <rFont val="Calibri"/>
        <family val="2"/>
        <scheme val="minor"/>
      </rPr>
      <t>* EF</t>
    </r>
    <r>
      <rPr>
        <vertAlign val="subscript"/>
        <sz val="11"/>
        <color theme="1"/>
        <rFont val="Calibri"/>
        <family val="2"/>
        <scheme val="minor"/>
      </rPr>
      <t>fuel,i</t>
    </r>
  </si>
  <si>
    <r>
      <t>∑FC</t>
    </r>
    <r>
      <rPr>
        <vertAlign val="subscript"/>
        <sz val="11"/>
        <color theme="1"/>
        <rFont val="Calibri"/>
        <family val="2"/>
        <scheme val="minor"/>
      </rPr>
      <t xml:space="preserve">ref,CO2,i,y </t>
    </r>
    <r>
      <rPr>
        <sz val="11"/>
        <color theme="1"/>
        <rFont val="Calibri"/>
        <family val="2"/>
        <scheme val="minor"/>
      </rPr>
      <t xml:space="preserve"> * NCV</t>
    </r>
    <r>
      <rPr>
        <vertAlign val="subscript"/>
        <sz val="11"/>
        <color theme="1"/>
        <rFont val="Calibri"/>
        <family val="2"/>
        <scheme val="minor"/>
      </rPr>
      <t xml:space="preserve">i </t>
    </r>
    <r>
      <rPr>
        <sz val="11"/>
        <color theme="1"/>
        <rFont val="Calibri"/>
        <family val="2"/>
        <scheme val="minor"/>
      </rPr>
      <t>* EF</t>
    </r>
    <r>
      <rPr>
        <vertAlign val="subscript"/>
        <sz val="11"/>
        <color theme="1"/>
        <rFont val="Calibri"/>
        <family val="2"/>
        <scheme val="minor"/>
      </rPr>
      <t>fuel,i</t>
    </r>
  </si>
  <si>
    <t>Leakage from Fuel Consumption</t>
  </si>
  <si>
    <t xml:space="preserve">Define the year you'd like to calculate the fuel consumption leakage emissions for: </t>
  </si>
  <si>
    <r>
      <t>D</t>
    </r>
    <r>
      <rPr>
        <vertAlign val="subscript"/>
        <sz val="10"/>
        <color rgb="FF000000"/>
        <rFont val="Tahoma"/>
        <family val="2"/>
      </rPr>
      <t>CO2,f,y</t>
    </r>
  </si>
  <si>
    <r>
      <t>FR</t>
    </r>
    <r>
      <rPr>
        <vertAlign val="subscript"/>
        <sz val="11"/>
        <color rgb="FF000000"/>
        <rFont val="Tahoma"/>
        <family val="2"/>
      </rPr>
      <t>CO2,f,y</t>
    </r>
  </si>
  <si>
    <r>
      <t>Leakage from Transportation of Liquified CO</t>
    </r>
    <r>
      <rPr>
        <b/>
        <vertAlign val="subscript"/>
        <sz val="20"/>
        <color theme="1"/>
        <rFont val="Calibri"/>
        <family val="2"/>
        <scheme val="minor"/>
      </rPr>
      <t>2</t>
    </r>
  </si>
  <si>
    <r>
      <t>D</t>
    </r>
    <r>
      <rPr>
        <vertAlign val="subscript"/>
        <sz val="10"/>
        <color rgb="FF000000"/>
        <rFont val="Tahoma"/>
        <family val="2"/>
      </rPr>
      <t>CA,e,y</t>
    </r>
  </si>
  <si>
    <r>
      <t>FR</t>
    </r>
    <r>
      <rPr>
        <vertAlign val="subscript"/>
        <sz val="11"/>
        <color rgb="FF000000"/>
        <rFont val="Tahoma"/>
        <family val="2"/>
      </rPr>
      <t>CA,e,y</t>
    </r>
  </si>
  <si>
    <r>
      <t>∑D</t>
    </r>
    <r>
      <rPr>
        <vertAlign val="subscript"/>
        <sz val="11"/>
        <color theme="1"/>
        <rFont val="Calibri"/>
        <family val="2"/>
        <scheme val="minor"/>
      </rPr>
      <t>CA,e,y</t>
    </r>
    <r>
      <rPr>
        <sz val="11"/>
        <color theme="1"/>
        <rFont val="Calibri"/>
        <family val="2"/>
        <scheme val="minor"/>
      </rPr>
      <t xml:space="preserve"> * FR</t>
    </r>
    <r>
      <rPr>
        <vertAlign val="subscript"/>
        <sz val="11"/>
        <color theme="1"/>
        <rFont val="Calibri"/>
        <family val="2"/>
        <scheme val="minor"/>
      </rPr>
      <t>CA,e,y</t>
    </r>
    <r>
      <rPr>
        <sz val="11"/>
        <color theme="1"/>
        <rFont val="Calibri"/>
        <family val="2"/>
        <scheme val="minor"/>
      </rPr>
      <t xml:space="preserve"> * EF</t>
    </r>
    <r>
      <rPr>
        <vertAlign val="subscript"/>
        <sz val="11"/>
        <color theme="1"/>
        <rFont val="Calibri"/>
        <family val="2"/>
        <scheme val="minor"/>
      </rPr>
      <t>Tr,e</t>
    </r>
  </si>
  <si>
    <r>
      <t>D</t>
    </r>
    <r>
      <rPr>
        <vertAlign val="subscript"/>
        <sz val="11"/>
        <color rgb="FF000000"/>
        <rFont val="Tahoma"/>
        <family val="2"/>
      </rPr>
      <t>CA,e,y</t>
    </r>
    <r>
      <rPr>
        <sz val="11"/>
        <color indexed="8"/>
        <rFont val="Tahoma"/>
        <family val="2"/>
      </rPr>
      <t xml:space="preserve"> * FR</t>
    </r>
    <r>
      <rPr>
        <vertAlign val="subscript"/>
        <sz val="11"/>
        <color rgb="FF000000"/>
        <rFont val="Tahoma"/>
        <family val="2"/>
      </rPr>
      <t>CA,e,y</t>
    </r>
    <r>
      <rPr>
        <sz val="11"/>
        <color indexed="8"/>
        <rFont val="Tahoma"/>
        <family val="2"/>
      </rPr>
      <t xml:space="preserve"> * EF</t>
    </r>
    <r>
      <rPr>
        <vertAlign val="subscript"/>
        <sz val="11"/>
        <color rgb="FF000000"/>
        <rFont val="Tahoma"/>
        <family val="2"/>
      </rPr>
      <t>Tr,e</t>
    </r>
  </si>
  <si>
    <r>
      <t>D</t>
    </r>
    <r>
      <rPr>
        <vertAlign val="subscript"/>
        <sz val="10"/>
        <color rgb="FF000000"/>
        <rFont val="Tahoma"/>
        <family val="2"/>
      </rPr>
      <t>CCA/sand,g,y</t>
    </r>
  </si>
  <si>
    <r>
      <t>FR</t>
    </r>
    <r>
      <rPr>
        <vertAlign val="subscript"/>
        <sz val="11"/>
        <color rgb="FF000000"/>
        <rFont val="Tahoma"/>
        <family val="2"/>
      </rPr>
      <t>CCA/sand,g,y</t>
    </r>
  </si>
  <si>
    <r>
      <t>EF</t>
    </r>
    <r>
      <rPr>
        <vertAlign val="subscript"/>
        <sz val="11"/>
        <color rgb="FF000000"/>
        <rFont val="Tahoma"/>
        <family val="2"/>
      </rPr>
      <t>Tr,g</t>
    </r>
  </si>
  <si>
    <r>
      <t>EF</t>
    </r>
    <r>
      <rPr>
        <vertAlign val="subscript"/>
        <sz val="11"/>
        <color rgb="FF000000"/>
        <rFont val="Tahoma"/>
        <family val="2"/>
      </rPr>
      <t>Tr,e</t>
    </r>
  </si>
  <si>
    <r>
      <t>EF</t>
    </r>
    <r>
      <rPr>
        <vertAlign val="subscript"/>
        <sz val="11"/>
        <color rgb="FF000000"/>
        <rFont val="Tahoma"/>
        <family val="2"/>
      </rPr>
      <t>Tr,f</t>
    </r>
  </si>
  <si>
    <r>
      <t>(D</t>
    </r>
    <r>
      <rPr>
        <vertAlign val="subscript"/>
        <sz val="11"/>
        <color rgb="FF000000"/>
        <rFont val="Tahoma"/>
        <family val="2"/>
      </rPr>
      <t xml:space="preserve">CCA/sand,g,y </t>
    </r>
    <r>
      <rPr>
        <sz val="11"/>
        <color rgb="FF000000"/>
        <rFont val="Tahoma"/>
        <family val="2"/>
      </rPr>
      <t>-</t>
    </r>
    <r>
      <rPr>
        <vertAlign val="subscript"/>
        <sz val="11"/>
        <color rgb="FF000000"/>
        <rFont val="Tahoma"/>
        <family val="2"/>
      </rPr>
      <t xml:space="preserve"> </t>
    </r>
    <r>
      <rPr>
        <sz val="11"/>
        <color rgb="FF000000"/>
        <rFont val="Tahoma"/>
        <family val="2"/>
      </rPr>
      <t>D</t>
    </r>
    <r>
      <rPr>
        <vertAlign val="subscript"/>
        <sz val="11"/>
        <color rgb="FF000000"/>
        <rFont val="Tahoma"/>
        <family val="2"/>
      </rPr>
      <t>sand,baseline</t>
    </r>
    <r>
      <rPr>
        <sz val="11"/>
        <color rgb="FF000000"/>
        <rFont val="Tahoma"/>
        <family val="2"/>
      </rPr>
      <t>)</t>
    </r>
    <r>
      <rPr>
        <sz val="11"/>
        <color indexed="8"/>
        <rFont val="Tahoma"/>
        <family val="2"/>
      </rPr>
      <t xml:space="preserve"> * FR</t>
    </r>
    <r>
      <rPr>
        <vertAlign val="subscript"/>
        <sz val="11"/>
        <color rgb="FF000000"/>
        <rFont val="Tahoma"/>
        <family val="2"/>
      </rPr>
      <t>CCA/sand,g,y</t>
    </r>
    <r>
      <rPr>
        <sz val="11"/>
        <color indexed="8"/>
        <rFont val="Tahoma"/>
        <family val="2"/>
      </rPr>
      <t xml:space="preserve"> * EF</t>
    </r>
    <r>
      <rPr>
        <vertAlign val="subscript"/>
        <sz val="11"/>
        <color rgb="FF000000"/>
        <rFont val="Tahoma"/>
        <family val="2"/>
      </rPr>
      <t>Tr,g</t>
    </r>
  </si>
  <si>
    <r>
      <t>∑(D</t>
    </r>
    <r>
      <rPr>
        <vertAlign val="subscript"/>
        <sz val="11"/>
        <color theme="1"/>
        <rFont val="Calibri"/>
        <family val="2"/>
        <scheme val="minor"/>
      </rPr>
      <t>CCA/sand,g,y</t>
    </r>
    <r>
      <rPr>
        <sz val="11"/>
        <color theme="1"/>
        <rFont val="Calibri"/>
        <family val="2"/>
        <scheme val="minor"/>
      </rPr>
      <t xml:space="preserve"> - D</t>
    </r>
    <r>
      <rPr>
        <vertAlign val="subscript"/>
        <sz val="11"/>
        <color theme="1"/>
        <rFont val="Calibri"/>
        <family val="2"/>
        <scheme val="minor"/>
      </rPr>
      <t>sand,baseline</t>
    </r>
    <r>
      <rPr>
        <sz val="11"/>
        <color theme="1"/>
        <rFont val="Calibri"/>
        <family val="2"/>
        <scheme val="minor"/>
      </rPr>
      <t>) * FR</t>
    </r>
    <r>
      <rPr>
        <vertAlign val="subscript"/>
        <sz val="11"/>
        <color theme="1"/>
        <rFont val="Calibri"/>
        <family val="2"/>
        <scheme val="minor"/>
      </rPr>
      <t xml:space="preserve">CCA/sand,g,y </t>
    </r>
    <r>
      <rPr>
        <sz val="11"/>
        <color theme="1"/>
        <rFont val="Calibri"/>
        <family val="2"/>
        <scheme val="minor"/>
      </rPr>
      <t>* EF</t>
    </r>
    <r>
      <rPr>
        <vertAlign val="subscript"/>
        <sz val="11"/>
        <color theme="1"/>
        <rFont val="Calibri"/>
        <family val="2"/>
        <scheme val="minor"/>
      </rPr>
      <t>Tr,g</t>
    </r>
  </si>
  <si>
    <t>Leakage Emissions from Transportation of Concrete Aggregate
from the CRF to the Carbonation Plant</t>
  </si>
  <si>
    <t xml:space="preserve">Define the year you'd like to calculate the leakage emissions from transportation of concrete aggregate from the CRF to the carbonation plant for: </t>
  </si>
  <si>
    <t>Leakage Emissions from Transportation of Carbonated Concrete Aggregate or Regenerated Sand from the Carbonation Plant to the Location of Downstream Use</t>
  </si>
  <si>
    <r>
      <t>D</t>
    </r>
    <r>
      <rPr>
        <vertAlign val="subscript"/>
        <sz val="11"/>
        <color rgb="FF000000"/>
        <rFont val="Tahoma"/>
        <family val="2"/>
      </rPr>
      <t>CO2,f,y</t>
    </r>
    <r>
      <rPr>
        <sz val="11"/>
        <color indexed="8"/>
        <rFont val="Tahoma"/>
        <family val="2"/>
      </rPr>
      <t xml:space="preserve"> * FR</t>
    </r>
    <r>
      <rPr>
        <vertAlign val="subscript"/>
        <sz val="11"/>
        <color rgb="FF000000"/>
        <rFont val="Tahoma"/>
        <family val="2"/>
      </rPr>
      <t xml:space="preserve">CO2,f,y </t>
    </r>
    <r>
      <rPr>
        <sz val="11"/>
        <color indexed="8"/>
        <rFont val="Tahoma"/>
        <family val="2"/>
      </rPr>
      <t>* EF</t>
    </r>
    <r>
      <rPr>
        <vertAlign val="subscript"/>
        <sz val="11"/>
        <color rgb="FF000000"/>
        <rFont val="Tahoma"/>
        <family val="2"/>
      </rPr>
      <t>Tr,f</t>
    </r>
  </si>
  <si>
    <r>
      <t>∑D</t>
    </r>
    <r>
      <rPr>
        <vertAlign val="subscript"/>
        <sz val="11"/>
        <color theme="1"/>
        <rFont val="Calibri"/>
        <family val="2"/>
        <scheme val="minor"/>
      </rPr>
      <t xml:space="preserve">CO2,f,y </t>
    </r>
    <r>
      <rPr>
        <sz val="11"/>
        <color theme="1"/>
        <rFont val="Calibri"/>
        <family val="2"/>
        <scheme val="minor"/>
      </rPr>
      <t>* FR</t>
    </r>
    <r>
      <rPr>
        <vertAlign val="subscript"/>
        <sz val="11"/>
        <color theme="1"/>
        <rFont val="Calibri"/>
        <family val="2"/>
        <scheme val="minor"/>
      </rPr>
      <t xml:space="preserve">CO2,f,y </t>
    </r>
    <r>
      <rPr>
        <sz val="11"/>
        <color theme="1"/>
        <rFont val="Calibri"/>
        <family val="2"/>
        <scheme val="minor"/>
      </rPr>
      <t>* EF</t>
    </r>
    <r>
      <rPr>
        <vertAlign val="subscript"/>
        <sz val="11"/>
        <color theme="1"/>
        <rFont val="Calibri"/>
        <family val="2"/>
        <scheme val="minor"/>
      </rPr>
      <t>Tr,f</t>
    </r>
  </si>
  <si>
    <t>Activity g</t>
  </si>
  <si>
    <t>Activty e</t>
  </si>
  <si>
    <t>Activity f</t>
  </si>
  <si>
    <t>Project Emissions from Fuel Consumption</t>
  </si>
  <si>
    <t xml:space="preserve">Define the year you'd like to calculate the fuel consumption project emissions for: </t>
  </si>
  <si>
    <t>Is the carbonated concrete aggregate or the regenerated sand going back to the CRF?</t>
  </si>
  <si>
    <t>No</t>
  </si>
  <si>
    <r>
      <rPr>
        <b/>
        <sz val="12"/>
        <color theme="1"/>
        <rFont val="Tahoma"/>
        <family val="2"/>
      </rPr>
      <t>f.2.</t>
    </r>
    <r>
      <rPr>
        <sz val="12"/>
        <color theme="1"/>
        <rFont val="Tahoma"/>
        <family val="2"/>
      </rPr>
      <t xml:space="preserve"> Emissions from transportation of carbonated concrete aggregate or regenerated sand </t>
    </r>
    <r>
      <rPr>
        <b/>
        <sz val="12"/>
        <color theme="1"/>
        <rFont val="Tahoma"/>
        <family val="2"/>
      </rPr>
      <t>from the carbonation plant to the location of downstream use</t>
    </r>
    <r>
      <rPr>
        <sz val="12"/>
        <color theme="1"/>
        <rFont val="Tahoma"/>
        <family val="2"/>
      </rPr>
      <t xml:space="preserve"> (e.g. concrete producer) are calculated with the following parameters:</t>
    </r>
  </si>
  <si>
    <r>
      <rPr>
        <b/>
        <sz val="12"/>
        <color theme="1"/>
        <rFont val="Tahoma"/>
        <family val="2"/>
      </rPr>
      <t>f.1.</t>
    </r>
    <r>
      <rPr>
        <sz val="12"/>
        <color theme="1"/>
        <rFont val="Tahoma"/>
        <family val="2"/>
      </rPr>
      <t xml:space="preserve"> Emissions from transportation of concrete aggregate </t>
    </r>
    <r>
      <rPr>
        <b/>
        <sz val="12"/>
        <color theme="1"/>
        <rFont val="Tahoma"/>
        <family val="2"/>
      </rPr>
      <t>from the CRF to the carbonation plant</t>
    </r>
    <r>
      <rPr>
        <sz val="12"/>
        <color theme="1"/>
        <rFont val="Tahoma"/>
        <family val="2"/>
      </rPr>
      <t xml:space="preserve"> are calculated with the following parameters:</t>
    </r>
  </si>
  <si>
    <r>
      <rPr>
        <b/>
        <sz val="12"/>
        <color theme="1"/>
        <rFont val="Tahoma"/>
        <family val="2"/>
      </rPr>
      <t>d.</t>
    </r>
    <r>
      <rPr>
        <sz val="12"/>
        <color theme="1"/>
        <rFont val="Tahoma"/>
        <family val="2"/>
      </rPr>
      <t xml:space="preserve"> Leakage due to </t>
    </r>
    <r>
      <rPr>
        <b/>
        <sz val="12"/>
        <color theme="1"/>
        <rFont val="Tahoma"/>
        <family val="2"/>
      </rPr>
      <t>refrigerating</t>
    </r>
    <r>
      <rPr>
        <sz val="12"/>
        <color theme="1"/>
        <rFont val="Tahoma"/>
        <family val="2"/>
      </rPr>
      <t xml:space="preserve"> effort of the CO2 tank are calculated with the following parameters:</t>
    </r>
  </si>
  <si>
    <r>
      <rPr>
        <b/>
        <sz val="12"/>
        <color theme="1"/>
        <rFont val="Tahoma"/>
        <family val="2"/>
      </rPr>
      <t>c.</t>
    </r>
    <r>
      <rPr>
        <sz val="12"/>
        <color theme="1"/>
        <rFont val="Tahoma"/>
        <family val="2"/>
      </rPr>
      <t xml:space="preserve"> Leakage due to energy consumption associated with the </t>
    </r>
    <r>
      <rPr>
        <b/>
        <sz val="12"/>
        <color theme="1"/>
        <rFont val="Tahoma"/>
        <family val="2"/>
      </rPr>
      <t>liquefaction</t>
    </r>
    <r>
      <rPr>
        <sz val="12"/>
        <color theme="1"/>
        <rFont val="Tahoma"/>
        <family val="2"/>
      </rPr>
      <t xml:space="preserve"> of CO2 are calculated with the following parameters:</t>
    </r>
  </si>
  <si>
    <r>
      <rPr>
        <b/>
        <sz val="12"/>
        <color theme="1"/>
        <rFont val="Tahoma"/>
        <family val="2"/>
      </rPr>
      <t>b.</t>
    </r>
    <r>
      <rPr>
        <sz val="12"/>
        <color theme="1"/>
        <rFont val="Tahoma"/>
        <family val="2"/>
      </rPr>
      <t xml:space="preserve"> Leakage due to the energy consumption for the </t>
    </r>
    <r>
      <rPr>
        <b/>
        <sz val="12"/>
        <color theme="1"/>
        <rFont val="Tahoma"/>
        <family val="2"/>
      </rPr>
      <t>capture, separation and collection</t>
    </r>
    <r>
      <rPr>
        <sz val="12"/>
        <color theme="1"/>
        <rFont val="Tahoma"/>
        <family val="2"/>
      </rPr>
      <t xml:space="preserve"> of CO2 are calculated with the following parameters:</t>
    </r>
  </si>
  <si>
    <r>
      <rPr>
        <b/>
        <sz val="12"/>
        <color theme="1"/>
        <rFont val="Tahoma"/>
        <family val="2"/>
      </rPr>
      <t>a.</t>
    </r>
    <r>
      <rPr>
        <sz val="12"/>
        <color theme="1"/>
        <rFont val="Tahoma"/>
        <family val="2"/>
      </rPr>
      <t xml:space="preserve"> Leakage due to the energy consumption associated with the additional </t>
    </r>
    <r>
      <rPr>
        <b/>
        <sz val="12"/>
        <color theme="1"/>
        <rFont val="Tahoma"/>
        <family val="2"/>
      </rPr>
      <t>crushing</t>
    </r>
    <r>
      <rPr>
        <sz val="12"/>
        <color theme="1"/>
        <rFont val="Tahoma"/>
        <family val="2"/>
      </rPr>
      <t xml:space="preserve"> effort of the concrete aggregate are calculated with the following parameters:</t>
    </r>
  </si>
  <si>
    <t xml:space="preserve">The emissions from transportation of carbonated concrete aggregate or regenerated sand from the carbonation plant to the location of downstream use (e.g. concrete producer) are only to be accounted for if the carbonated concrete aggregate or the regenerated sand do not go back to the CRF. </t>
  </si>
  <si>
    <t>Direct Mineral Carbonation</t>
  </si>
  <si>
    <t xml:space="preserve"> data to be completed by project participant in respective sheet </t>
  </si>
  <si>
    <t xml:space="preserve"> auto-calculated formulas</t>
  </si>
  <si>
    <r>
      <rPr>
        <b/>
        <sz val="12"/>
        <color theme="1"/>
        <rFont val="Tahoma"/>
        <family val="2"/>
      </rPr>
      <t>e.</t>
    </r>
    <r>
      <rPr>
        <sz val="12"/>
        <color theme="1"/>
        <rFont val="Tahoma"/>
        <family val="2"/>
      </rPr>
      <t xml:space="preserve"> Leakage due to </t>
    </r>
    <r>
      <rPr>
        <b/>
        <sz val="12"/>
        <color theme="1"/>
        <rFont val="Tahoma"/>
        <family val="2"/>
      </rPr>
      <t>transportation of liquefied CO2</t>
    </r>
    <r>
      <rPr>
        <sz val="12"/>
        <color theme="1"/>
        <rFont val="Tahoma"/>
        <family val="2"/>
      </rPr>
      <t>, concrete aggregate and regenerated sand are calculated with the following parameters:</t>
    </r>
  </si>
  <si>
    <t>Is the demolition concrete crushed to the same grain size distribution as in the baseline scenario?</t>
  </si>
  <si>
    <t>Is a vacuum isolated tank used without the requirement of refrigeration?</t>
  </si>
  <si>
    <t>Is the carbonation plant is located at the CRF?</t>
  </si>
  <si>
    <t>Please answer the following questions to determine which leakage activities need to be considered:</t>
  </si>
  <si>
    <t xml:space="preserve">INSTRUCTIONS: </t>
  </si>
  <si>
    <t>This Excel sheet was created to serve as a template for organizing project data, ensuring adherence to the methodology for carbon sequestration through the accelerated carbonation of concrete aggregate. Once the data is completed, it can be input into Hedera's Guardian platform. The platform streamlines processes typically carried out by Registries (e.g., Verra, Gold Standard, Clean Development Mechanism, etc)</t>
  </si>
  <si>
    <t>Step 1:</t>
  </si>
  <si>
    <t>Enable macros.</t>
  </si>
  <si>
    <t>Step 2:</t>
  </si>
  <si>
    <t xml:space="preserve">Complete all sheets if listed as required. </t>
  </si>
  <si>
    <t>Complete the questions asked at the beginning of each sheet, as this will establish specific information as either 'Required' or 'Not Required.' Keep in mind to fill out the appropriate sheets only if they are listed as 'Required.</t>
  </si>
  <si>
    <t>By selecting the buttons located under parameters, you will be redirected to the appropriate sheets that need to be filled out.</t>
  </si>
  <si>
    <t>This methodology includes formulas that are year-dependent, which is crucial when filling out data for parameters located in tables. If you have specified the calculation year as 2021, ensure that the data entered into the individual white cells in the sheet without a table also corresponds to the year 2021. This ensures that the baseline, project, and leakage emissions are all aligned with the indicated year.</t>
  </si>
  <si>
    <t>Step 3:</t>
  </si>
  <si>
    <t>Keep this Excel workbook handy when executing this policy in the Guardian. The project form in the Guardian follows the flow of this Excel, and it will prompt you for the data points you have input in the workbook.</t>
  </si>
  <si>
    <t>Note: The cells in this workbook are color-coded to convey specific meanings, such as auto-calculate, user input, etc. Below, you can find the key for each color.</t>
  </si>
  <si>
    <t>How to Use the Carbon Sequestration Through Accelerated Carbonation of 
Concrete Aggregate Excel Workbook</t>
  </si>
  <si>
    <t>Note: This Excel workbook represents the digital twin of the Gold Standard Methodology for Carbon Sequestration Through Accelerated Carbonation of Concrete Aggregate.</t>
  </si>
  <si>
    <t>Ex-ante</t>
  </si>
  <si>
    <t>The emission reductions are calculated as follows:</t>
  </si>
  <si>
    <r>
      <t>ER</t>
    </r>
    <r>
      <rPr>
        <vertAlign val="subscript"/>
        <sz val="11"/>
        <color theme="1"/>
        <rFont val="Calibri"/>
        <family val="2"/>
        <scheme val="minor"/>
      </rPr>
      <t>y</t>
    </r>
  </si>
  <si>
    <t xml:space="preserve"> t CO2-eq. removed in the monitoring period y due to project activity</t>
  </si>
  <si>
    <t xml:space="preserve"> Project sinks in the monitoring period y (t CO2-eq.)</t>
  </si>
  <si>
    <t xml:space="preserve"> Project emissions in the monitoring period y (t CO2- eq.)</t>
  </si>
  <si>
    <t xml:space="preserve"> Leakage emissions in the monitoring period y (t CO2- eq.)</t>
  </si>
  <si>
    <t>Activity 1</t>
  </si>
  <si>
    <t>Activity 2</t>
  </si>
  <si>
    <t>Activity 3</t>
  </si>
  <si>
    <t>Activity 4</t>
  </si>
  <si>
    <t>Activity 5</t>
  </si>
  <si>
    <t>Activity 6</t>
  </si>
  <si>
    <r>
      <rPr>
        <sz val="10"/>
        <color rgb="FF000000"/>
        <rFont val="Tahoma"/>
        <family val="2"/>
      </rPr>
      <t>Activity</t>
    </r>
    <r>
      <rPr>
        <b/>
        <sz val="10"/>
        <color rgb="FF000000"/>
        <rFont val="Tahoma"/>
        <family val="2"/>
      </rPr>
      <t xml:space="preserve"> </t>
    </r>
    <r>
      <rPr>
        <sz val="10"/>
        <color indexed="8"/>
        <rFont val="Tahoma"/>
        <family val="2"/>
      </rPr>
      <t>7</t>
    </r>
  </si>
  <si>
    <t>Activity 7</t>
  </si>
  <si>
    <t>Activity 8</t>
  </si>
  <si>
    <t>Activity 9</t>
  </si>
  <si>
    <t>Activity 10</t>
  </si>
  <si>
    <t>Emission Reductions for Ex-ante or Ex-post Quantification</t>
  </si>
  <si>
    <t>Required Field</t>
  </si>
  <si>
    <t>Selective Disclosure</t>
  </si>
  <si>
    <t>Multiple Answers</t>
  </si>
  <si>
    <t>Schema Type</t>
  </si>
  <si>
    <t>Parameter</t>
  </si>
  <si>
    <t>Question</t>
  </si>
  <si>
    <t>Answer</t>
  </si>
  <si>
    <t>Notes</t>
  </si>
  <si>
    <t xml:space="preserve">TOOL 02: Combined tool to identify the baseline scenario and demonstrate additionality </t>
  </si>
  <si>
    <t>no</t>
  </si>
  <si>
    <t xml:space="preserve">if/then </t>
  </si>
  <si>
    <t xml:space="preserve">Step 0 : First-of-its-kind project activities </t>
  </si>
  <si>
    <t xml:space="preserve">Is the proposed project activity the first-of-its-kind? </t>
  </si>
  <si>
    <t>If Yes: Move to Step 1A in Case 2
If No: Move to Step 1A in Case 1</t>
  </si>
  <si>
    <t>yes</t>
  </si>
  <si>
    <t>string</t>
  </si>
  <si>
    <t>Provide evidence to justify answer.</t>
  </si>
  <si>
    <t>(Explanation/proof)</t>
  </si>
  <si>
    <t>Follow up to previous question.</t>
  </si>
  <si>
    <r>
      <rPr>
        <b/>
        <sz val="16"/>
        <color rgb="FF000000"/>
        <rFont val="Calibri"/>
        <family val="2"/>
      </rPr>
      <t xml:space="preserve">Case 1: If Project is </t>
    </r>
    <r>
      <rPr>
        <b/>
        <i/>
        <u/>
        <sz val="16"/>
        <color rgb="FF000000"/>
        <rFont val="Calibri"/>
        <family val="2"/>
      </rPr>
      <t>not</t>
    </r>
    <r>
      <rPr>
        <b/>
        <sz val="16"/>
        <color rgb="FF000000"/>
        <rFont val="Calibri"/>
        <family val="2"/>
      </rPr>
      <t xml:space="preserve"> a first-of-its-kind. </t>
    </r>
  </si>
  <si>
    <t>Step 1A: Define alternative scenarios</t>
  </si>
  <si>
    <t>Have realistic and credible alternative scenario(s) to the project activity been identified?</t>
  </si>
  <si>
    <t>If Yes proceed to Step 1B
If No: Can't proceed</t>
  </si>
  <si>
    <t>(List of plausible alternative scenarios to the project activity + explanation)</t>
  </si>
  <si>
    <t>Step 1B: Consistency with regulations</t>
  </si>
  <si>
    <t xml:space="preserve">Are all the alternative scenario(s) in compliance with mandatory legislation and regulations (taking into account the enforcement in the region or country and EB decisions on national and/or sectoral policies and regulations)? </t>
  </si>
  <si>
    <t>If Yes: Move to Step 2A (Barrier analysis)
If No: Move to Step 1C</t>
  </si>
  <si>
    <t>(List of alternative scenarios to the project activity that follow mandatory legislation and regulations + explanation.)</t>
  </si>
  <si>
    <t>Step 1C: Consistency with regulations</t>
  </si>
  <si>
    <t>Is project without CDM the only alternative remaining?</t>
  </si>
  <si>
    <t>If Yes: Project activity is not additional.
If No: Move to Step 2A (Barrier analysis)</t>
  </si>
  <si>
    <t>Follow up to previous question. (If the above-mentioned list contains only one scenario, than the proposed project activity is not additional)</t>
  </si>
  <si>
    <t>Step 2A: Barrier analysis (Identify)</t>
  </si>
  <si>
    <t xml:space="preserve">Is there at least one or more realistic and credible barrier preventing the implementation of the proposed project activity without the CDM? </t>
  </si>
  <si>
    <t>If Yes proceed to Step 2B
If No: Can't proceed</t>
  </si>
  <si>
    <t>(List of barriers that may prevent one or more alternative scenarios to occur + explanation.)</t>
  </si>
  <si>
    <t>Step 2B: Barrier analysis (Eliminate)</t>
  </si>
  <si>
    <t>Is at least one alternative scenario, other than proposed CDM project activity, not prevented by any of the identified barriers?</t>
  </si>
  <si>
    <t>If Yes: Proceed to Step 3A (Investment Analysis)
If No: Proceed to Step 3B (No Investment Analysis)</t>
  </si>
  <si>
    <t>(List of alternative scenarios to the project activity that are not prevented by any barrier + explanation.)</t>
  </si>
  <si>
    <t>Step 3A: Investment analysis</t>
  </si>
  <si>
    <t xml:space="preserve">Can the service or product only be provided by the project proponent? </t>
  </si>
  <si>
    <t>If Yes: Move to Cell C17
If No: Move to Cell C19</t>
  </si>
  <si>
    <t>If yes to Step 3A:</t>
  </si>
  <si>
    <t>Investment comparison or simple cost anlysis must be chosen, is the sensitivity analysis conclusive to confirm the result of the investment comparison analysis or simple cost analysis?</t>
  </si>
  <si>
    <t xml:space="preserve">If Yes: Proceed to Step 4A. (The most economically or financially attractive alternative scenario is considered as the baseline scenario) 
If No: Proceed to Step 4A. (The alternative scenario to the project activity with least emissions among the alternative scenarios is considered as the baseline scenario)
</t>
  </si>
  <si>
    <t>If no to Step 3A:</t>
  </si>
  <si>
    <t>Benchmark anlysis must be chosen, is the sensitivity analysis conclusive?</t>
  </si>
  <si>
    <t>If Yes: Proceed to Step 4A. (The baseline emission is the emission benchmark, or the emission of the most attractive alternative if required in methodology.) 
If No: Project activity is not additional</t>
  </si>
  <si>
    <t>Step 3B: No Investment analysis</t>
  </si>
  <si>
    <t>If Yes: Proceed to Step 4A (The baseline scenario is the least emissions scenario*)
If No: Proceed to Step 4A (The baseline emission is the emission benchmark*)</t>
  </si>
  <si>
    <t>Step 4A: Emission Level</t>
  </si>
  <si>
    <t>Is emission level of the baseline scenario higher than that of the proposed project activity?</t>
  </si>
  <si>
    <t>If Yes: Proceed to Step 4B
If No: Project activity is not additional.</t>
  </si>
  <si>
    <t xml:space="preserve">Step 4B: Common practice analysis </t>
  </si>
  <si>
    <t>Is the project common practice?</t>
  </si>
  <si>
    <t>If Yes: Project activity is not additional.
If No: Project activity is additional.</t>
  </si>
  <si>
    <r>
      <rPr>
        <b/>
        <sz val="16"/>
        <color rgb="FF000000"/>
        <rFont val="Calibri"/>
        <family val="2"/>
      </rPr>
      <t xml:space="preserve">Flowchart: (Case 1) If Project is </t>
    </r>
    <r>
      <rPr>
        <b/>
        <i/>
        <u/>
        <sz val="16"/>
        <color rgb="FF000000"/>
        <rFont val="Calibri"/>
        <family val="2"/>
      </rPr>
      <t>not</t>
    </r>
    <r>
      <rPr>
        <b/>
        <sz val="16"/>
        <color rgb="FF000000"/>
        <rFont val="Calibri"/>
        <family val="2"/>
      </rPr>
      <t xml:space="preserve"> a first-of-its-kind. </t>
    </r>
  </si>
  <si>
    <r>
      <rPr>
        <b/>
        <sz val="16"/>
        <color rgb="FF000000"/>
        <rFont val="Calibri"/>
        <family val="2"/>
      </rPr>
      <t xml:space="preserve">Case 2: If Project </t>
    </r>
    <r>
      <rPr>
        <b/>
        <i/>
        <u/>
        <sz val="16"/>
        <color rgb="FF000000"/>
        <rFont val="Calibri"/>
        <family val="2"/>
      </rPr>
      <t>is</t>
    </r>
    <r>
      <rPr>
        <b/>
        <sz val="16"/>
        <color rgb="FF000000"/>
        <rFont val="Calibri"/>
        <family val="2"/>
      </rPr>
      <t xml:space="preserve"> a first-of-its-kind. </t>
    </r>
  </si>
  <si>
    <t>If Yes proceed to Step 1A
If No: Can't proceed</t>
  </si>
  <si>
    <t>If Yes: Proceed to Step 3A (Investment Analysis) or Step 3B (No Investment Analysis)
If No: Proceed to Step 3B (No Investment Analysis)</t>
  </si>
  <si>
    <t>If Yes: Move to Cell C75
If No: Move to Cell C77</t>
  </si>
  <si>
    <t>- If yes to Step 3A:</t>
  </si>
  <si>
    <t xml:space="preserve">If Yes: Proceed to Step 4 (The most economically or financially attractive alternative scenario is considered as the baseline scenario) 
If No: Proceed to Step 4 (The alternative scenario to the project activity with least emissions among the alternative scenarios is considered as the baseline scenario)
</t>
  </si>
  <si>
    <t>- If no to Step 3A:</t>
  </si>
  <si>
    <t>If Yes: Proceed to Step 4 (The baseline emission is the emission benchmark, or the emission of the most attractive alternative if required in methodology.) 
If No: Proceed to Step 4 (The baseline emission is the emission benchmark.)</t>
  </si>
  <si>
    <t>If Yes: Proceed to Step 4 (The baseline scenario is the least emissions scenario*)
If No: Proceed to Step 4 (The baseline emission is the emission benchmark*)</t>
  </si>
  <si>
    <t>Step 4: Emission Level</t>
  </si>
  <si>
    <t>If Yes: Project activity is additional.
If No: Project activity is not additional.</t>
  </si>
  <si>
    <r>
      <rPr>
        <b/>
        <sz val="16"/>
        <color rgb="FF000000"/>
        <rFont val="Calibri"/>
        <family val="2"/>
      </rPr>
      <t xml:space="preserve">Flowchart: (Case 2) If Project </t>
    </r>
    <r>
      <rPr>
        <b/>
        <i/>
        <u/>
        <sz val="16"/>
        <color rgb="FF000000"/>
        <rFont val="Calibri"/>
        <family val="2"/>
      </rPr>
      <t>is</t>
    </r>
    <r>
      <rPr>
        <b/>
        <sz val="16"/>
        <color rgb="FF000000"/>
        <rFont val="Calibri"/>
        <family val="2"/>
      </rPr>
      <t xml:space="preserve"> a first-of-its-kind. </t>
    </r>
  </si>
  <si>
    <t xml:space="preserve"> Year data belongs to.</t>
  </si>
  <si>
    <t xml:space="preserve"> Type of material.</t>
  </si>
  <si>
    <t xml:space="preserve"> Grain size distribution.</t>
  </si>
  <si>
    <t xml:space="preserve"> Where was the data sourced from?</t>
  </si>
  <si>
    <t>Fuel type i</t>
  </si>
  <si>
    <t xml:space="preserve"> Type of fuel used.</t>
  </si>
  <si>
    <t>Leakage due to the energy consumption associated with the additional crushing effort of the concrete aggregate</t>
  </si>
  <si>
    <t>Leakage due to the energy consumption for the capture, separation and collection of CO2</t>
  </si>
  <si>
    <t xml:space="preserve"> Leakage due to energy consumption associated with the liquefaction of CO2</t>
  </si>
  <si>
    <t>Leakage due to refrigerating effort of the CO2 tank</t>
  </si>
  <si>
    <t>Leakage due to transportation of liquefied CO2, concrete aggregate and regenerated sand</t>
  </si>
  <si>
    <t>Emissions from transportation of concrete aggregate from the CRF to the carbonation plant</t>
  </si>
  <si>
    <t>Emissions from transportation of carbonated concrete aggregate or regenerated sand from the carbonation plant to the location of downstream use</t>
  </si>
  <si>
    <r>
      <t>Define the year you'd like to calculate the leakage emissions from transportation of liquified CO</t>
    </r>
    <r>
      <rPr>
        <b/>
        <vertAlign val="subscript"/>
        <sz val="14"/>
        <color theme="1"/>
        <rFont val="Calibri"/>
        <family val="2"/>
        <scheme val="minor"/>
      </rPr>
      <t>2</t>
    </r>
    <r>
      <rPr>
        <b/>
        <sz val="14"/>
        <color theme="1"/>
        <rFont val="Calibri"/>
        <family val="2"/>
        <scheme val="minor"/>
      </rPr>
      <t xml:space="preserve"> for: </t>
    </r>
  </si>
  <si>
    <t xml:space="preserve"> Type of material used.</t>
  </si>
  <si>
    <r>
      <t>M</t>
    </r>
    <r>
      <rPr>
        <vertAlign val="subscript"/>
        <sz val="11"/>
        <color theme="1"/>
        <rFont val="Calibri"/>
        <family val="2"/>
        <scheme val="minor"/>
      </rPr>
      <t xml:space="preserve">CO2,i,d </t>
    </r>
    <r>
      <rPr>
        <sz val="11"/>
        <color theme="1"/>
        <rFont val="Calibri"/>
        <family val="2"/>
        <scheme val="minor"/>
      </rPr>
      <t xml:space="preserve"> </t>
    </r>
    <r>
      <rPr>
        <vertAlign val="subscript"/>
        <sz val="11"/>
        <color theme="1"/>
        <rFont val="Calibri"/>
        <family val="2"/>
        <scheme val="minor"/>
      </rPr>
      <t>out</t>
    </r>
  </si>
  <si>
    <t xml:space="preserve"> Electricity consumption of carbonation plant in monitoring period y (MWh)</t>
  </si>
  <si>
    <t xml:space="preserve"> Electricity consumption of the crusher for the additional crushing effort in monitoring period y (MWh)</t>
  </si>
  <si>
    <t xml:space="preserve">Define the year you'd like to calculate the leakage emissions from transportation of carbonated concrete aggregate or regenerated sand from the carbonation plant to the location of downstream use for: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</si>
</sst>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0.000000"/>
    <numFmt numFmtId="166" formatCode="0.0000000"/>
  </numFmts>
  <fonts count="44" x14ac:knownFonts="1">
    <font>
      <sz val="11"/>
      <color theme="1"/>
      <name val="Calibri"/>
      <family val="2"/>
      <scheme val="minor"/>
    </font>
    <font>
      <sz val="11"/>
      <color rgb="FF000000"/>
      <name val="Calibri"/>
      <family val="2"/>
      <scheme val="minor"/>
    </font>
    <font>
      <u/>
      <sz val="11"/>
      <color theme="10"/>
      <name val="Calibri"/>
      <family val="2"/>
      <scheme val="minor"/>
    </font>
    <font>
      <b/>
      <sz val="14"/>
      <color rgb="FF000000"/>
      <name val="Calibri"/>
      <family val="2"/>
      <scheme val="minor"/>
    </font>
    <font>
      <b/>
      <sz val="18"/>
      <color theme="1"/>
      <name val="Calibri"/>
      <family val="2"/>
      <scheme val="minor"/>
    </font>
    <font>
      <sz val="11"/>
      <color theme="1"/>
      <name val="Calibri"/>
      <family val="2"/>
      <scheme val="minor"/>
    </font>
    <font>
      <b/>
      <sz val="11"/>
      <color theme="1"/>
      <name val="Calibri"/>
      <family val="2"/>
      <scheme val="minor"/>
    </font>
    <font>
      <b/>
      <sz val="12"/>
      <color indexed="8"/>
      <name val="Tahoma"/>
      <family val="2"/>
    </font>
    <font>
      <sz val="14"/>
      <color rgb="FF000000"/>
      <name val="Times New Roman"/>
      <family val="1"/>
    </font>
    <font>
      <b/>
      <sz val="16"/>
      <color theme="1"/>
      <name val="Calibri"/>
      <family val="2"/>
      <scheme val="minor"/>
    </font>
    <font>
      <b/>
      <sz val="20"/>
      <color theme="1"/>
      <name val="Calibri"/>
      <family val="2"/>
      <scheme val="minor"/>
    </font>
    <font>
      <sz val="11"/>
      <color indexed="8"/>
      <name val="Calibri"/>
      <family val="2"/>
    </font>
    <font>
      <vertAlign val="subscript"/>
      <sz val="11"/>
      <color theme="1"/>
      <name val="Calibri"/>
      <family val="2"/>
      <scheme val="minor"/>
    </font>
    <font>
      <b/>
      <sz val="12"/>
      <color theme="1"/>
      <name val="Calibri"/>
      <family val="2"/>
      <scheme val="minor"/>
    </font>
    <font>
      <b/>
      <vertAlign val="subscript"/>
      <sz val="12"/>
      <color theme="1"/>
      <name val="Calibri"/>
      <family val="2"/>
      <scheme val="minor"/>
    </font>
    <font>
      <sz val="10"/>
      <color indexed="8"/>
      <name val="Tahoma"/>
      <family val="2"/>
    </font>
    <font>
      <sz val="10"/>
      <color indexed="8"/>
      <name val="Arial"/>
      <family val="2"/>
    </font>
    <font>
      <vertAlign val="subscript"/>
      <sz val="10"/>
      <color rgb="FF000000"/>
      <name val="Tahoma"/>
      <family val="2"/>
    </font>
    <font>
      <sz val="10"/>
      <color theme="1"/>
      <name val="Calibri"/>
      <family val="2"/>
      <scheme val="minor"/>
    </font>
    <font>
      <sz val="11"/>
      <color rgb="FF000000"/>
      <name val="Tahoma"/>
      <family val="2"/>
    </font>
    <font>
      <sz val="11"/>
      <color indexed="8"/>
      <name val="Tahoma"/>
      <family val="2"/>
    </font>
    <font>
      <vertAlign val="subscript"/>
      <sz val="11"/>
      <color rgb="FF000000"/>
      <name val="Tahoma"/>
      <family val="2"/>
    </font>
    <font>
      <b/>
      <sz val="14"/>
      <color theme="1"/>
      <name val="Calibri"/>
      <family val="2"/>
      <scheme val="minor"/>
    </font>
    <font>
      <sz val="11"/>
      <name val="Calibri"/>
      <family val="2"/>
      <scheme val="minor"/>
    </font>
    <font>
      <sz val="12"/>
      <color indexed="8"/>
      <name val="Tahoma"/>
      <family val="2"/>
    </font>
    <font>
      <b/>
      <vertAlign val="subscript"/>
      <sz val="11"/>
      <color theme="1"/>
      <name val="Calibri"/>
      <family val="2"/>
      <scheme val="minor"/>
    </font>
    <font>
      <sz val="8"/>
      <color rgb="FF000000"/>
      <name val="Segoe UI"/>
      <family val="2"/>
    </font>
    <font>
      <sz val="11"/>
      <color rgb="FF000000"/>
      <name val="Calibri"/>
      <family val="2"/>
    </font>
    <font>
      <sz val="12"/>
      <color theme="1"/>
      <name val="Tahoma"/>
      <family val="2"/>
    </font>
    <font>
      <b/>
      <sz val="11"/>
      <color theme="1"/>
      <name val="Tahoma"/>
      <family val="2"/>
    </font>
    <font>
      <sz val="11"/>
      <color theme="1"/>
      <name val="Tahoma"/>
      <family val="2"/>
    </font>
    <font>
      <b/>
      <sz val="12"/>
      <color theme="1"/>
      <name val="Tahoma"/>
      <family val="2"/>
    </font>
    <font>
      <b/>
      <vertAlign val="subscript"/>
      <sz val="20"/>
      <color theme="1"/>
      <name val="Calibri"/>
      <family val="2"/>
      <scheme val="minor"/>
    </font>
    <font>
      <b/>
      <vertAlign val="subscript"/>
      <sz val="14"/>
      <color theme="1"/>
      <name val="Calibri"/>
      <family val="2"/>
      <scheme val="minor"/>
    </font>
    <font>
      <b/>
      <sz val="12"/>
      <color rgb="FFFF0000"/>
      <name val="Tahoma"/>
      <family val="2"/>
    </font>
    <font>
      <b/>
      <u/>
      <sz val="16"/>
      <color theme="1"/>
      <name val="Calibri"/>
      <family val="2"/>
      <scheme val="minor"/>
    </font>
    <font>
      <b/>
      <sz val="10"/>
      <color rgb="FF000000"/>
      <name val="Tahoma"/>
      <family val="2"/>
    </font>
    <font>
      <sz val="10"/>
      <color rgb="FF000000"/>
      <name val="Tahoma"/>
      <family val="2"/>
    </font>
    <font>
      <sz val="8"/>
      <name val="Calibri"/>
      <family val="2"/>
      <scheme val="minor"/>
    </font>
    <font>
      <b/>
      <sz val="16"/>
      <color rgb="FF000000"/>
      <name val="Calibri"/>
      <family val="2"/>
      <scheme val="minor"/>
    </font>
    <font>
      <sz val="14"/>
      <color theme="1"/>
      <name val="Calibri"/>
      <family val="2"/>
      <scheme val="minor"/>
    </font>
    <font>
      <b/>
      <sz val="16"/>
      <color rgb="FF000000"/>
      <name val="Calibri"/>
      <family val="2"/>
    </font>
    <font>
      <b/>
      <i/>
      <u/>
      <sz val="16"/>
      <color rgb="FF000000"/>
      <name val="Calibri"/>
      <family val="2"/>
    </font>
    <font>
      <sz val="20"/>
      <color theme="1"/>
      <name val="Calibri"/>
      <family val="2"/>
      <scheme val="minor"/>
    </font>
  </fonts>
  <fills count="12">
    <fill>
      <patternFill patternType="none"/>
    </fill>
    <fill>
      <patternFill patternType="gray125"/>
    </fill>
    <fill>
      <patternFill patternType="solid">
        <fgColor theme="8" tint="0.79998168889431442"/>
        <bgColor indexed="64"/>
      </patternFill>
    </fill>
    <fill>
      <patternFill patternType="solid">
        <fgColor rgb="FFCCFFCC"/>
        <bgColor indexed="64"/>
      </patternFill>
    </fill>
    <fill>
      <patternFill patternType="solid">
        <fgColor theme="0" tint="-0.499984740745262"/>
        <bgColor indexed="64"/>
      </patternFill>
    </fill>
    <fill>
      <patternFill patternType="solid">
        <fgColor theme="0"/>
        <bgColor indexed="64"/>
      </patternFill>
    </fill>
    <fill>
      <patternFill patternType="solid">
        <fgColor theme="7" tint="0.79998168889431442"/>
        <bgColor indexed="64"/>
      </patternFill>
    </fill>
    <fill>
      <patternFill patternType="solid">
        <fgColor indexed="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BFBFBF"/>
        <bgColor rgb="FF000000"/>
      </patternFill>
    </fill>
    <fill>
      <patternFill patternType="solid">
        <fgColor theme="9" tint="0.59999389629810485"/>
        <bgColor indexed="64"/>
      </patternFill>
    </fill>
  </fills>
  <borders count="4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bottom style="medium">
        <color indexed="64"/>
      </bottom>
      <diagonal/>
    </border>
    <border>
      <left/>
      <right/>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style="hair">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double">
        <color rgb="FF92D050"/>
      </left>
      <right style="double">
        <color rgb="FF92D050"/>
      </right>
      <top style="double">
        <color rgb="FF92D050"/>
      </top>
      <bottom style="double">
        <color rgb="FF92D050"/>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double">
        <color rgb="FF92D050"/>
      </left>
      <right/>
      <top style="double">
        <color rgb="FF92D050"/>
      </top>
      <bottom style="double">
        <color rgb="FF92D050"/>
      </bottom>
      <diagonal/>
    </border>
    <border>
      <left/>
      <right style="double">
        <color rgb="FF92D050"/>
      </right>
      <top style="double">
        <color rgb="FF92D050"/>
      </top>
      <bottom style="double">
        <color rgb="FF92D050"/>
      </bottom>
      <diagonal/>
    </border>
  </borders>
  <cellStyleXfs count="4">
    <xf numFmtId="0" fontId="0" fillId="0" borderId="0"/>
    <xf numFmtId="0" fontId="2" fillId="0" borderId="0" applyNumberFormat="0" applyFill="0" applyBorder="0" applyAlignment="0" applyProtection="0"/>
    <xf numFmtId="0" fontId="5" fillId="0" borderId="0"/>
    <xf numFmtId="0" fontId="11" fillId="0" borderId="0"/>
  </cellStyleXfs>
  <cellXfs count="197">
    <xf numFmtId="0" fontId="0" fillId="0" borderId="0" xfId="0"/>
    <xf numFmtId="0" fontId="0" fillId="4" borderId="0" xfId="0" applyFill="1"/>
    <xf numFmtId="0" fontId="0" fillId="5" borderId="0" xfId="0" applyFill="1"/>
    <xf numFmtId="0" fontId="1" fillId="2" borderId="0" xfId="0" applyFont="1" applyFill="1" applyAlignment="1">
      <alignment wrapText="1"/>
    </xf>
    <xf numFmtId="0" fontId="1" fillId="2" borderId="0" xfId="0" applyFont="1" applyFill="1"/>
    <xf numFmtId="0" fontId="3" fillId="2" borderId="0" xfId="0" applyFont="1" applyFill="1" applyAlignment="1">
      <alignment wrapText="1"/>
    </xf>
    <xf numFmtId="0" fontId="2" fillId="2" borderId="0" xfId="1" applyFill="1" applyBorder="1"/>
    <xf numFmtId="0" fontId="3" fillId="2" borderId="0" xfId="0" applyFont="1" applyFill="1"/>
    <xf numFmtId="0" fontId="0" fillId="2" borderId="0" xfId="0" applyFill="1"/>
    <xf numFmtId="0" fontId="4" fillId="2" borderId="0" xfId="0" applyFont="1" applyFill="1" applyAlignment="1">
      <alignment horizontal="center" vertical="center"/>
    </xf>
    <xf numFmtId="14" fontId="1" fillId="2" borderId="0" xfId="0" applyNumberFormat="1" applyFont="1" applyFill="1" applyAlignment="1">
      <alignment horizontal="left"/>
    </xf>
    <xf numFmtId="0" fontId="0" fillId="2" borderId="7" xfId="0" applyFill="1" applyBorder="1"/>
    <xf numFmtId="0" fontId="0" fillId="2" borderId="8" xfId="0" applyFill="1" applyBorder="1"/>
    <xf numFmtId="0" fontId="0" fillId="2" borderId="3" xfId="0" applyFill="1" applyBorder="1"/>
    <xf numFmtId="0" fontId="3" fillId="2" borderId="10" xfId="0" applyFont="1" applyFill="1" applyBorder="1"/>
    <xf numFmtId="0" fontId="1" fillId="2" borderId="10" xfId="0" applyFont="1" applyFill="1" applyBorder="1"/>
    <xf numFmtId="0" fontId="0" fillId="2" borderId="4" xfId="0" applyFill="1" applyBorder="1"/>
    <xf numFmtId="0" fontId="4" fillId="2" borderId="8" xfId="0" applyFont="1" applyFill="1" applyBorder="1" applyAlignment="1">
      <alignment vertical="center"/>
    </xf>
    <xf numFmtId="0" fontId="3" fillId="5" borderId="12" xfId="0" applyFont="1" applyFill="1" applyBorder="1" applyAlignment="1">
      <alignment horizontal="left"/>
    </xf>
    <xf numFmtId="0" fontId="3" fillId="5" borderId="12" xfId="0" applyFont="1" applyFill="1" applyBorder="1" applyAlignment="1">
      <alignment horizontal="left" wrapText="1"/>
    </xf>
    <xf numFmtId="0" fontId="8" fillId="0" borderId="0" xfId="0" applyFont="1"/>
    <xf numFmtId="0" fontId="0" fillId="5" borderId="12" xfId="0" applyFill="1" applyBorder="1"/>
    <xf numFmtId="0" fontId="7" fillId="2" borderId="0" xfId="3" applyFont="1" applyFill="1"/>
    <xf numFmtId="0" fontId="6" fillId="2" borderId="0" xfId="0" applyFont="1" applyFill="1"/>
    <xf numFmtId="0" fontId="0" fillId="2" borderId="10" xfId="0" applyFill="1" applyBorder="1"/>
    <xf numFmtId="0" fontId="9" fillId="2" borderId="0" xfId="0" applyFont="1" applyFill="1"/>
    <xf numFmtId="0" fontId="13" fillId="2" borderId="0" xfId="0" applyFont="1" applyFill="1"/>
    <xf numFmtId="164" fontId="15" fillId="7" borderId="33" xfId="0" applyNumberFormat="1" applyFont="1" applyFill="1" applyBorder="1" applyAlignment="1">
      <alignment horizontal="center"/>
    </xf>
    <xf numFmtId="164" fontId="15" fillId="7" borderId="37" xfId="0" applyNumberFormat="1" applyFont="1" applyFill="1" applyBorder="1" applyAlignment="1">
      <alignment horizontal="center"/>
    </xf>
    <xf numFmtId="164" fontId="15" fillId="7" borderId="40" xfId="0" applyNumberFormat="1" applyFont="1" applyFill="1" applyBorder="1" applyAlignment="1">
      <alignment horizontal="center"/>
    </xf>
    <xf numFmtId="0" fontId="16" fillId="5" borderId="33" xfId="0" applyFont="1" applyFill="1" applyBorder="1"/>
    <xf numFmtId="0" fontId="0" fillId="3" borderId="41" xfId="0" applyFill="1" applyBorder="1"/>
    <xf numFmtId="164" fontId="15" fillId="7" borderId="45" xfId="0" applyNumberFormat="1" applyFont="1" applyFill="1" applyBorder="1" applyAlignment="1">
      <alignment horizontal="center"/>
    </xf>
    <xf numFmtId="164" fontId="15" fillId="3" borderId="40" xfId="0" applyNumberFormat="1" applyFont="1" applyFill="1" applyBorder="1" applyAlignment="1">
      <alignment horizontal="center"/>
    </xf>
    <xf numFmtId="164" fontId="15" fillId="3" borderId="33" xfId="0" applyNumberFormat="1" applyFont="1" applyFill="1" applyBorder="1" applyAlignment="1">
      <alignment horizontal="center"/>
    </xf>
    <xf numFmtId="164" fontId="15" fillId="3" borderId="37" xfId="0" applyNumberFormat="1" applyFont="1" applyFill="1" applyBorder="1" applyAlignment="1">
      <alignment horizontal="center"/>
    </xf>
    <xf numFmtId="0" fontId="0" fillId="2" borderId="1" xfId="0" applyFill="1" applyBorder="1"/>
    <xf numFmtId="0" fontId="0" fillId="2" borderId="9" xfId="0" applyFill="1" applyBorder="1"/>
    <xf numFmtId="0" fontId="0" fillId="2" borderId="2" xfId="0" applyFill="1" applyBorder="1"/>
    <xf numFmtId="0" fontId="18" fillId="2" borderId="0" xfId="0" applyFont="1" applyFill="1"/>
    <xf numFmtId="0" fontId="22" fillId="2" borderId="0" xfId="0" applyFont="1" applyFill="1"/>
    <xf numFmtId="0" fontId="0" fillId="2" borderId="0" xfId="0" applyFill="1" applyAlignment="1">
      <alignment vertical="center" wrapText="1"/>
    </xf>
    <xf numFmtId="0" fontId="3" fillId="5" borderId="13" xfId="0" applyFont="1" applyFill="1" applyBorder="1" applyAlignment="1">
      <alignment horizontal="left" wrapText="1"/>
    </xf>
    <xf numFmtId="0" fontId="0" fillId="9" borderId="12" xfId="0" applyFill="1" applyBorder="1"/>
    <xf numFmtId="0" fontId="0" fillId="9" borderId="13" xfId="0" applyFill="1" applyBorder="1" applyAlignment="1">
      <alignment vertical="center" wrapText="1"/>
    </xf>
    <xf numFmtId="164" fontId="15" fillId="3" borderId="46" xfId="0" applyNumberFormat="1" applyFont="1" applyFill="1" applyBorder="1" applyAlignment="1">
      <alignment horizontal="center"/>
    </xf>
    <xf numFmtId="164" fontId="15" fillId="3" borderId="39" xfId="0" applyNumberFormat="1" applyFont="1" applyFill="1" applyBorder="1" applyAlignment="1">
      <alignment horizontal="center"/>
    </xf>
    <xf numFmtId="0" fontId="24" fillId="2" borderId="0" xfId="3" applyFont="1" applyFill="1"/>
    <xf numFmtId="0" fontId="0" fillId="2" borderId="0" xfId="0" applyFill="1" applyAlignment="1">
      <alignment horizontal="left" vertical="top" wrapText="1"/>
    </xf>
    <xf numFmtId="164" fontId="15" fillId="3" borderId="45" xfId="0" applyNumberFormat="1" applyFont="1" applyFill="1" applyBorder="1" applyAlignment="1">
      <alignment horizontal="center"/>
    </xf>
    <xf numFmtId="0" fontId="22" fillId="2" borderId="0" xfId="0" applyFont="1" applyFill="1" applyAlignment="1">
      <alignment horizontal="left" vertical="top" wrapText="1"/>
    </xf>
    <xf numFmtId="0" fontId="22" fillId="2" borderId="0" xfId="0" applyFont="1" applyFill="1" applyAlignment="1">
      <alignment vertical="top" wrapText="1"/>
    </xf>
    <xf numFmtId="0" fontId="28" fillId="2" borderId="0" xfId="0" applyFont="1" applyFill="1" applyAlignment="1">
      <alignment vertical="top"/>
    </xf>
    <xf numFmtId="0" fontId="0" fillId="2" borderId="0" xfId="0" applyFill="1" applyAlignment="1">
      <alignment vertical="top"/>
    </xf>
    <xf numFmtId="0" fontId="30" fillId="2" borderId="0" xfId="0" applyFont="1" applyFill="1" applyAlignment="1">
      <alignment horizontal="left" vertical="top" wrapText="1"/>
    </xf>
    <xf numFmtId="0" fontId="28" fillId="2" borderId="0" xfId="0" applyFont="1" applyFill="1" applyAlignment="1">
      <alignment vertical="top" wrapText="1"/>
    </xf>
    <xf numFmtId="0" fontId="34" fillId="2" borderId="0" xfId="3" applyFont="1" applyFill="1"/>
    <xf numFmtId="0" fontId="35" fillId="2" borderId="0" xfId="0" applyFont="1" applyFill="1"/>
    <xf numFmtId="0" fontId="30" fillId="2" borderId="0" xfId="0" applyFont="1" applyFill="1" applyAlignment="1">
      <alignment vertical="top" wrapText="1"/>
    </xf>
    <xf numFmtId="0" fontId="30" fillId="2" borderId="8" xfId="0" applyFont="1" applyFill="1" applyBorder="1" applyAlignment="1">
      <alignment vertical="top" wrapText="1"/>
    </xf>
    <xf numFmtId="0" fontId="31" fillId="2" borderId="0" xfId="0" applyFont="1" applyFill="1" applyAlignment="1">
      <alignment vertical="top"/>
    </xf>
    <xf numFmtId="15" fontId="0" fillId="2" borderId="0" xfId="0" applyNumberFormat="1" applyFill="1"/>
    <xf numFmtId="0" fontId="29" fillId="2" borderId="0" xfId="0" applyFont="1" applyFill="1"/>
    <xf numFmtId="0" fontId="0" fillId="2" borderId="10" xfId="0" applyFill="1" applyBorder="1" applyAlignment="1">
      <alignment horizontal="left" vertical="top" wrapText="1"/>
    </xf>
    <xf numFmtId="0" fontId="28" fillId="2" borderId="0" xfId="0" applyFont="1" applyFill="1" applyAlignment="1">
      <alignment horizontal="left" vertical="top" wrapText="1"/>
    </xf>
    <xf numFmtId="165" fontId="15" fillId="3" borderId="40" xfId="0" applyNumberFormat="1" applyFont="1" applyFill="1" applyBorder="1" applyAlignment="1">
      <alignment horizontal="center"/>
    </xf>
    <xf numFmtId="165" fontId="15" fillId="3" borderId="37" xfId="0" applyNumberFormat="1" applyFont="1" applyFill="1" applyBorder="1" applyAlignment="1">
      <alignment horizontal="center"/>
    </xf>
    <xf numFmtId="0" fontId="1" fillId="5" borderId="12" xfId="0" applyFont="1" applyFill="1" applyBorder="1" applyAlignment="1" applyProtection="1">
      <alignment wrapText="1"/>
      <protection locked="0"/>
    </xf>
    <xf numFmtId="0" fontId="1" fillId="5" borderId="12" xfId="0" applyFont="1" applyFill="1" applyBorder="1" applyAlignment="1" applyProtection="1">
      <alignment horizontal="left" vertical="top" wrapText="1"/>
      <protection locked="0"/>
    </xf>
    <xf numFmtId="0" fontId="1" fillId="5" borderId="12" xfId="0" applyFont="1" applyFill="1" applyBorder="1" applyProtection="1">
      <protection locked="0"/>
    </xf>
    <xf numFmtId="0" fontId="1" fillId="5" borderId="14" xfId="0" applyFont="1" applyFill="1" applyBorder="1" applyAlignment="1" applyProtection="1">
      <alignment wrapText="1"/>
      <protection locked="0"/>
    </xf>
    <xf numFmtId="14" fontId="1" fillId="5" borderId="12" xfId="0" applyNumberFormat="1" applyFont="1" applyFill="1" applyBorder="1" applyAlignment="1" applyProtection="1">
      <alignment horizontal="left" wrapText="1"/>
      <protection locked="0"/>
    </xf>
    <xf numFmtId="14" fontId="1" fillId="5" borderId="12" xfId="0" applyNumberFormat="1" applyFont="1" applyFill="1" applyBorder="1" applyAlignment="1" applyProtection="1">
      <alignment horizontal="left"/>
      <protection locked="0"/>
    </xf>
    <xf numFmtId="0" fontId="1" fillId="5" borderId="12" xfId="0" applyFont="1" applyFill="1" applyBorder="1" applyAlignment="1" applyProtection="1">
      <alignment horizontal="left"/>
      <protection locked="0"/>
    </xf>
    <xf numFmtId="0" fontId="23" fillId="5" borderId="12" xfId="1" applyFont="1" applyFill="1" applyBorder="1" applyProtection="1">
      <protection locked="0"/>
    </xf>
    <xf numFmtId="0" fontId="1" fillId="5" borderId="0" xfId="0" applyFont="1" applyFill="1" applyProtection="1">
      <protection locked="0"/>
    </xf>
    <xf numFmtId="0" fontId="15" fillId="5" borderId="28" xfId="0" applyFont="1" applyFill="1" applyBorder="1" applyAlignment="1" applyProtection="1">
      <alignment horizontal="center"/>
      <protection locked="0"/>
    </xf>
    <xf numFmtId="0" fontId="15" fillId="5" borderId="30" xfId="0" applyFont="1" applyFill="1" applyBorder="1" applyAlignment="1" applyProtection="1">
      <alignment horizontal="center"/>
      <protection locked="0"/>
    </xf>
    <xf numFmtId="164" fontId="15" fillId="5" borderId="29" xfId="0" applyNumberFormat="1" applyFont="1" applyFill="1" applyBorder="1" applyAlignment="1" applyProtection="1">
      <alignment horizontal="center"/>
      <protection locked="0"/>
    </xf>
    <xf numFmtId="164" fontId="15" fillId="5" borderId="40" xfId="0" applyNumberFormat="1" applyFont="1" applyFill="1" applyBorder="1" applyAlignment="1" applyProtection="1">
      <alignment horizontal="center"/>
      <protection locked="0"/>
    </xf>
    <xf numFmtId="0" fontId="15" fillId="5" borderId="32" xfId="0" applyFont="1" applyFill="1" applyBorder="1" applyAlignment="1" applyProtection="1">
      <alignment horizontal="center"/>
      <protection locked="0"/>
    </xf>
    <xf numFmtId="0" fontId="15" fillId="5" borderId="34" xfId="0" applyFont="1" applyFill="1" applyBorder="1" applyAlignment="1" applyProtection="1">
      <alignment horizontal="center"/>
      <protection locked="0"/>
    </xf>
    <xf numFmtId="164" fontId="15" fillId="5" borderId="33" xfId="0" applyNumberFormat="1" applyFont="1" applyFill="1" applyBorder="1" applyAlignment="1" applyProtection="1">
      <alignment horizontal="center"/>
      <protection locked="0"/>
    </xf>
    <xf numFmtId="0" fontId="16" fillId="5" borderId="32" xfId="0" applyFont="1" applyFill="1" applyBorder="1" applyAlignment="1" applyProtection="1">
      <alignment horizontal="center"/>
      <protection locked="0"/>
    </xf>
    <xf numFmtId="0" fontId="16" fillId="5" borderId="34" xfId="0" applyFont="1" applyFill="1" applyBorder="1" applyAlignment="1" applyProtection="1">
      <alignment horizontal="center"/>
      <protection locked="0"/>
    </xf>
    <xf numFmtId="164" fontId="16" fillId="5" borderId="33" xfId="0" applyNumberFormat="1" applyFont="1" applyFill="1" applyBorder="1" applyAlignment="1" applyProtection="1">
      <alignment horizontal="center"/>
      <protection locked="0"/>
    </xf>
    <xf numFmtId="0" fontId="16" fillId="5" borderId="36" xfId="0" applyFont="1" applyFill="1" applyBorder="1" applyAlignment="1" applyProtection="1">
      <alignment horizontal="center"/>
      <protection locked="0"/>
    </xf>
    <xf numFmtId="0" fontId="16" fillId="5" borderId="38" xfId="0" applyFont="1" applyFill="1" applyBorder="1" applyAlignment="1" applyProtection="1">
      <alignment horizontal="center"/>
      <protection locked="0"/>
    </xf>
    <xf numFmtId="164" fontId="16" fillId="5" borderId="37" xfId="0" applyNumberFormat="1" applyFont="1" applyFill="1" applyBorder="1" applyAlignment="1" applyProtection="1">
      <alignment horizontal="center"/>
      <protection locked="0"/>
    </xf>
    <xf numFmtId="164" fontId="15" fillId="5" borderId="37" xfId="0" applyNumberFormat="1" applyFont="1" applyFill="1" applyBorder="1" applyAlignment="1" applyProtection="1">
      <alignment horizontal="center"/>
      <protection locked="0"/>
    </xf>
    <xf numFmtId="164" fontId="15" fillId="5" borderId="31" xfId="0" applyNumberFormat="1" applyFont="1" applyFill="1" applyBorder="1" applyAlignment="1" applyProtection="1">
      <alignment horizontal="center"/>
      <protection locked="0"/>
    </xf>
    <xf numFmtId="164" fontId="15" fillId="5" borderId="35" xfId="0" applyNumberFormat="1" applyFont="1" applyFill="1" applyBorder="1" applyAlignment="1" applyProtection="1">
      <alignment horizontal="center"/>
      <protection locked="0"/>
    </xf>
    <xf numFmtId="164" fontId="16" fillId="5" borderId="35" xfId="0" applyNumberFormat="1" applyFont="1" applyFill="1" applyBorder="1" applyAlignment="1" applyProtection="1">
      <alignment horizontal="center"/>
      <protection locked="0"/>
    </xf>
    <xf numFmtId="164" fontId="16" fillId="5" borderId="39" xfId="0" applyNumberFormat="1" applyFont="1" applyFill="1" applyBorder="1" applyAlignment="1" applyProtection="1">
      <alignment horizontal="center"/>
      <protection locked="0"/>
    </xf>
    <xf numFmtId="0" fontId="0" fillId="5" borderId="12" xfId="0" applyFill="1" applyBorder="1" applyProtection="1">
      <protection locked="0"/>
    </xf>
    <xf numFmtId="164" fontId="15" fillId="5" borderId="30" xfId="0" applyNumberFormat="1" applyFont="1" applyFill="1" applyBorder="1" applyAlignment="1" applyProtection="1">
      <alignment horizontal="center"/>
      <protection locked="0"/>
    </xf>
    <xf numFmtId="164" fontId="15" fillId="5" borderId="34" xfId="0" applyNumberFormat="1" applyFont="1" applyFill="1" applyBorder="1" applyAlignment="1" applyProtection="1">
      <alignment horizontal="center"/>
      <protection locked="0"/>
    </xf>
    <xf numFmtId="164" fontId="16" fillId="5" borderId="34" xfId="0" applyNumberFormat="1" applyFont="1" applyFill="1" applyBorder="1" applyAlignment="1" applyProtection="1">
      <alignment horizontal="center"/>
      <protection locked="0"/>
    </xf>
    <xf numFmtId="164" fontId="16" fillId="5" borderId="38" xfId="0" applyNumberFormat="1" applyFont="1" applyFill="1" applyBorder="1" applyAlignment="1" applyProtection="1">
      <alignment horizontal="center"/>
      <protection locked="0"/>
    </xf>
    <xf numFmtId="164" fontId="15" fillId="5" borderId="42" xfId="0" applyNumberFormat="1" applyFont="1" applyFill="1" applyBorder="1" applyAlignment="1" applyProtection="1">
      <alignment horizontal="center"/>
      <protection locked="0"/>
    </xf>
    <xf numFmtId="164" fontId="15" fillId="5" borderId="43" xfId="0" applyNumberFormat="1" applyFont="1" applyFill="1" applyBorder="1" applyAlignment="1" applyProtection="1">
      <alignment horizontal="center"/>
      <protection locked="0"/>
    </xf>
    <xf numFmtId="164" fontId="16" fillId="5" borderId="43" xfId="0" applyNumberFormat="1" applyFont="1" applyFill="1" applyBorder="1" applyAlignment="1" applyProtection="1">
      <alignment horizontal="center"/>
      <protection locked="0"/>
    </xf>
    <xf numFmtId="164" fontId="16" fillId="5" borderId="44" xfId="0" applyNumberFormat="1" applyFont="1" applyFill="1" applyBorder="1" applyAlignment="1" applyProtection="1">
      <alignment horizontal="center"/>
      <protection locked="0"/>
    </xf>
    <xf numFmtId="0" fontId="6" fillId="2" borderId="0" xfId="0" applyFont="1" applyFill="1" applyProtection="1">
      <protection locked="0"/>
    </xf>
    <xf numFmtId="0" fontId="1" fillId="0" borderId="0" xfId="0" applyFont="1"/>
    <xf numFmtId="0" fontId="3" fillId="0" borderId="0" xfId="0" applyFont="1" applyAlignment="1">
      <alignment wrapText="1"/>
    </xf>
    <xf numFmtId="0" fontId="3" fillId="0" borderId="0" xfId="0" applyFont="1" applyAlignment="1">
      <alignment horizontal="left" wrapText="1"/>
    </xf>
    <xf numFmtId="0" fontId="3" fillId="0" borderId="0" xfId="0" applyFont="1" applyAlignment="1">
      <alignment horizontal="left"/>
    </xf>
    <xf numFmtId="0" fontId="0" fillId="0" borderId="0" xfId="0" applyAlignment="1">
      <alignment horizontal="left"/>
    </xf>
    <xf numFmtId="0" fontId="1" fillId="11" borderId="0" xfId="0" applyFont="1" applyFill="1" applyAlignment="1">
      <alignment horizontal="left" vertical="center"/>
    </xf>
    <xf numFmtId="0" fontId="1" fillId="11" borderId="0" xfId="0" applyFont="1" applyFill="1"/>
    <xf numFmtId="0" fontId="40" fillId="11" borderId="0" xfId="0" applyFont="1" applyFill="1" applyAlignment="1">
      <alignment horizontal="left" vertical="center" wrapText="1"/>
    </xf>
    <xf numFmtId="0" fontId="0" fillId="11" borderId="0" xfId="0" applyFill="1" applyAlignment="1">
      <alignment vertical="center" wrapText="1"/>
    </xf>
    <xf numFmtId="0" fontId="0" fillId="11" borderId="0" xfId="0" applyFill="1" applyAlignment="1">
      <alignment horizontal="left"/>
    </xf>
    <xf numFmtId="0" fontId="1" fillId="0" borderId="0" xfId="0" applyFont="1" applyAlignment="1">
      <alignment horizontal="left" vertical="center"/>
    </xf>
    <xf numFmtId="0" fontId="40" fillId="0" borderId="0" xfId="0" applyFont="1" applyAlignment="1">
      <alignment vertical="center" wrapText="1"/>
    </xf>
    <xf numFmtId="0" fontId="0" fillId="0" borderId="0" xfId="0" applyAlignment="1">
      <alignment vertical="center" wrapText="1"/>
    </xf>
    <xf numFmtId="0" fontId="0" fillId="0" borderId="0" xfId="0" applyAlignment="1">
      <alignment vertical="center"/>
    </xf>
    <xf numFmtId="0" fontId="27" fillId="11" borderId="0" xfId="0" applyFont="1" applyFill="1" applyAlignment="1">
      <alignment vertical="center" wrapText="1"/>
    </xf>
    <xf numFmtId="0" fontId="0" fillId="11" borderId="0" xfId="0" applyFill="1" applyAlignment="1">
      <alignment vertical="center"/>
    </xf>
    <xf numFmtId="0" fontId="40" fillId="11" borderId="0" xfId="0" applyFont="1" applyFill="1" applyAlignment="1">
      <alignment vertical="center" wrapText="1"/>
    </xf>
    <xf numFmtId="0" fontId="1" fillId="0" borderId="0" xfId="0" applyFont="1" applyAlignment="1">
      <alignment horizontal="left"/>
    </xf>
    <xf numFmtId="0" fontId="43" fillId="0" borderId="0" xfId="0" applyFont="1" applyAlignment="1">
      <alignment horizontal="center" vertical="center"/>
    </xf>
    <xf numFmtId="0" fontId="10" fillId="2" borderId="7" xfId="0" applyFont="1" applyFill="1" applyBorder="1" applyAlignment="1">
      <alignment horizontal="center" vertical="center" wrapText="1"/>
    </xf>
    <xf numFmtId="0" fontId="10" fillId="2" borderId="0" xfId="0" applyFont="1" applyFill="1" applyAlignment="1">
      <alignment horizontal="center" vertical="center" wrapText="1"/>
    </xf>
    <xf numFmtId="0" fontId="10" fillId="2" borderId="8" xfId="0" applyFont="1" applyFill="1" applyBorder="1" applyAlignment="1">
      <alignment horizontal="center" vertical="center" wrapText="1"/>
    </xf>
    <xf numFmtId="166" fontId="15" fillId="5" borderId="40" xfId="0" applyNumberFormat="1" applyFont="1" applyFill="1" applyBorder="1" applyAlignment="1" applyProtection="1">
      <alignment horizontal="center"/>
      <protection locked="0"/>
    </xf>
    <xf numFmtId="166" fontId="15" fillId="5" borderId="37" xfId="0" applyNumberFormat="1" applyFont="1" applyFill="1" applyBorder="1" applyAlignment="1" applyProtection="1">
      <alignment horizontal="center"/>
      <protection locked="0"/>
    </xf>
    <xf numFmtId="0" fontId="0" fillId="2" borderId="0" xfId="0" applyFill="1" applyAlignment="1">
      <alignment horizontal="left" vertical="top" wrapText="1"/>
    </xf>
    <xf numFmtId="0" fontId="10" fillId="6" borderId="1" xfId="0" applyFont="1" applyFill="1" applyBorder="1" applyAlignment="1">
      <alignment horizontal="center" vertical="center" wrapText="1"/>
    </xf>
    <xf numFmtId="0" fontId="4" fillId="6" borderId="9"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7" xfId="0" applyFont="1" applyFill="1" applyBorder="1" applyAlignment="1">
      <alignment horizontal="center" vertical="center"/>
    </xf>
    <xf numFmtId="0" fontId="4" fillId="6" borderId="0" xfId="0" applyFont="1" applyFill="1" applyAlignment="1">
      <alignment horizontal="center" vertical="center"/>
    </xf>
    <xf numFmtId="0" fontId="4" fillId="6" borderId="8" xfId="0" applyFont="1" applyFill="1" applyBorder="1" applyAlignment="1">
      <alignment horizontal="center" vertical="center"/>
    </xf>
    <xf numFmtId="0" fontId="4" fillId="6" borderId="5" xfId="0" applyFont="1" applyFill="1" applyBorder="1" applyAlignment="1">
      <alignment horizontal="center" vertical="center"/>
    </xf>
    <xf numFmtId="0" fontId="4" fillId="6" borderId="11" xfId="0" applyFont="1" applyFill="1" applyBorder="1" applyAlignment="1">
      <alignment horizontal="center" vertical="center"/>
    </xf>
    <xf numFmtId="0" fontId="4" fillId="6" borderId="6" xfId="0" applyFont="1" applyFill="1" applyBorder="1" applyAlignment="1">
      <alignment horizontal="center" vertical="center"/>
    </xf>
    <xf numFmtId="0" fontId="0" fillId="2" borderId="0" xfId="0" applyFill="1" applyAlignment="1">
      <alignment horizontal="left" wrapText="1"/>
    </xf>
    <xf numFmtId="0" fontId="4" fillId="3" borderId="1" xfId="0" applyFont="1" applyFill="1" applyBorder="1" applyAlignment="1">
      <alignment horizontal="center" vertical="center"/>
    </xf>
    <xf numFmtId="0" fontId="4" fillId="3" borderId="9"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6" xfId="0" applyFont="1" applyFill="1" applyBorder="1" applyAlignment="1">
      <alignment horizontal="center" vertical="center"/>
    </xf>
    <xf numFmtId="0" fontId="0" fillId="9" borderId="13" xfId="0" applyFill="1" applyBorder="1" applyAlignment="1">
      <alignment horizontal="left" vertical="center" wrapText="1"/>
    </xf>
    <xf numFmtId="0" fontId="0" fillId="9" borderId="14" xfId="0" applyFill="1" applyBorder="1" applyAlignment="1">
      <alignment horizontal="left" vertical="center" wrapText="1"/>
    </xf>
    <xf numFmtId="0" fontId="0" fillId="5" borderId="13" xfId="0" applyFill="1" applyBorder="1" applyAlignment="1" applyProtection="1">
      <alignment horizontal="center"/>
      <protection locked="0"/>
    </xf>
    <xf numFmtId="0" fontId="0" fillId="5" borderId="14" xfId="0" applyFill="1" applyBorder="1" applyAlignment="1" applyProtection="1">
      <alignment horizontal="center"/>
      <protection locked="0"/>
    </xf>
    <xf numFmtId="0" fontId="0" fillId="5" borderId="15" xfId="0" applyFill="1" applyBorder="1" applyAlignment="1" applyProtection="1">
      <alignment horizontal="center"/>
      <protection locked="0"/>
    </xf>
    <xf numFmtId="0" fontId="4" fillId="6" borderId="7" xfId="0" applyFont="1" applyFill="1" applyBorder="1" applyAlignment="1">
      <alignment horizontal="center" vertical="center" wrapText="1"/>
    </xf>
    <xf numFmtId="0" fontId="4" fillId="6" borderId="1" xfId="0" applyFont="1" applyFill="1" applyBorder="1" applyAlignment="1">
      <alignment horizontal="center" vertical="center" wrapText="1"/>
    </xf>
    <xf numFmtId="0" fontId="0" fillId="9" borderId="13" xfId="0" applyFill="1" applyBorder="1" applyAlignment="1">
      <alignment horizontal="left"/>
    </xf>
    <xf numFmtId="0" fontId="0" fillId="9" borderId="14" xfId="0" applyFill="1" applyBorder="1" applyAlignment="1">
      <alignment horizontal="left"/>
    </xf>
    <xf numFmtId="0" fontId="15" fillId="8" borderId="19" xfId="0" applyFont="1" applyFill="1" applyBorder="1" applyAlignment="1">
      <alignment horizontal="center" vertical="center"/>
    </xf>
    <xf numFmtId="0" fontId="15" fillId="8" borderId="23" xfId="0" applyFont="1" applyFill="1" applyBorder="1" applyAlignment="1">
      <alignment horizontal="center" vertical="center"/>
    </xf>
    <xf numFmtId="0" fontId="15" fillId="8" borderId="27" xfId="0" applyFont="1" applyFill="1" applyBorder="1" applyAlignment="1">
      <alignment horizontal="center" vertical="center"/>
    </xf>
    <xf numFmtId="0" fontId="15" fillId="8" borderId="21" xfId="0" applyFont="1" applyFill="1" applyBorder="1" applyAlignment="1">
      <alignment horizontal="center" vertical="center"/>
    </xf>
    <xf numFmtId="0" fontId="15" fillId="8" borderId="25" xfId="0" applyFont="1" applyFill="1" applyBorder="1" applyAlignment="1">
      <alignment horizontal="center" vertical="center"/>
    </xf>
    <xf numFmtId="0" fontId="15" fillId="8" borderId="16" xfId="0" applyFont="1" applyFill="1" applyBorder="1" applyAlignment="1">
      <alignment horizontal="center" vertical="center"/>
    </xf>
    <xf numFmtId="0" fontId="15" fillId="8" borderId="20" xfId="0" applyFont="1" applyFill="1" applyBorder="1" applyAlignment="1">
      <alignment horizontal="center" vertical="center"/>
    </xf>
    <xf numFmtId="0" fontId="15" fillId="8" borderId="24" xfId="0" applyFont="1" applyFill="1" applyBorder="1" applyAlignment="1">
      <alignment horizontal="center" vertical="center"/>
    </xf>
    <xf numFmtId="0" fontId="15" fillId="8" borderId="17" xfId="0" applyFont="1" applyFill="1" applyBorder="1" applyAlignment="1">
      <alignment horizontal="center" vertical="center"/>
    </xf>
    <xf numFmtId="0" fontId="20" fillId="8" borderId="16" xfId="0" applyFont="1" applyFill="1" applyBorder="1" applyAlignment="1">
      <alignment horizontal="center" vertical="center"/>
    </xf>
    <xf numFmtId="0" fontId="20" fillId="8" borderId="20" xfId="0" applyFont="1" applyFill="1" applyBorder="1" applyAlignment="1">
      <alignment horizontal="center" vertical="center"/>
    </xf>
    <xf numFmtId="0" fontId="20" fillId="8" borderId="24" xfId="0" applyFont="1" applyFill="1" applyBorder="1" applyAlignment="1">
      <alignment horizontal="center" vertical="center"/>
    </xf>
    <xf numFmtId="0" fontId="20" fillId="8" borderId="17" xfId="0" applyFont="1" applyFill="1" applyBorder="1" applyAlignment="1">
      <alignment horizontal="center" vertical="center"/>
    </xf>
    <xf numFmtId="0" fontId="20" fillId="8" borderId="21" xfId="0" applyFont="1" applyFill="1" applyBorder="1" applyAlignment="1">
      <alignment horizontal="center" vertical="center"/>
    </xf>
    <xf numFmtId="0" fontId="20" fillId="8" borderId="25" xfId="0" applyFont="1" applyFill="1" applyBorder="1" applyAlignment="1">
      <alignment horizontal="center" vertical="center"/>
    </xf>
    <xf numFmtId="0" fontId="20" fillId="8" borderId="18" xfId="0" applyFont="1" applyFill="1" applyBorder="1" applyAlignment="1">
      <alignment horizontal="center" vertical="center"/>
    </xf>
    <xf numFmtId="0" fontId="20" fillId="8" borderId="22" xfId="0" applyFont="1" applyFill="1" applyBorder="1" applyAlignment="1">
      <alignment horizontal="center" vertical="center"/>
    </xf>
    <xf numFmtId="0" fontId="20" fillId="8" borderId="26" xfId="0" applyFont="1" applyFill="1" applyBorder="1" applyAlignment="1">
      <alignment horizontal="center" vertical="center"/>
    </xf>
    <xf numFmtId="0" fontId="20" fillId="8" borderId="2" xfId="0" applyFont="1" applyFill="1" applyBorder="1" applyAlignment="1">
      <alignment horizontal="center" vertical="center"/>
    </xf>
    <xf numFmtId="0" fontId="20" fillId="8" borderId="8" xfId="0" applyFont="1" applyFill="1" applyBorder="1" applyAlignment="1">
      <alignment horizontal="center" vertical="center"/>
    </xf>
    <xf numFmtId="0" fontId="20" fillId="8" borderId="4" xfId="0" applyFont="1" applyFill="1" applyBorder="1" applyAlignment="1">
      <alignment horizontal="center" vertical="center"/>
    </xf>
    <xf numFmtId="0" fontId="20" fillId="8" borderId="40" xfId="0" applyFont="1" applyFill="1" applyBorder="1" applyAlignment="1">
      <alignment horizontal="center" vertical="center"/>
    </xf>
    <xf numFmtId="0" fontId="20" fillId="8" borderId="33" xfId="0" applyFont="1" applyFill="1" applyBorder="1" applyAlignment="1">
      <alignment horizontal="center" vertical="center"/>
    </xf>
    <xf numFmtId="0" fontId="20" fillId="8" borderId="37" xfId="0" applyFont="1" applyFill="1" applyBorder="1" applyAlignment="1">
      <alignment horizontal="center" vertical="center"/>
    </xf>
    <xf numFmtId="0" fontId="19" fillId="8" borderId="40" xfId="0" applyFont="1" applyFill="1" applyBorder="1" applyAlignment="1">
      <alignment horizontal="center" vertical="center"/>
    </xf>
    <xf numFmtId="0" fontId="10" fillId="6" borderId="9" xfId="0" applyFont="1" applyFill="1" applyBorder="1" applyAlignment="1">
      <alignment horizontal="center" vertical="center" wrapText="1"/>
    </xf>
    <xf numFmtId="0" fontId="10" fillId="6" borderId="2" xfId="0" applyFont="1" applyFill="1" applyBorder="1" applyAlignment="1">
      <alignment horizontal="center" vertical="center" wrapText="1"/>
    </xf>
    <xf numFmtId="0" fontId="10" fillId="6" borderId="7" xfId="0" applyFont="1" applyFill="1" applyBorder="1" applyAlignment="1">
      <alignment horizontal="center" vertical="center" wrapText="1"/>
    </xf>
    <xf numFmtId="0" fontId="10" fillId="6" borderId="0" xfId="0" applyFont="1" applyFill="1" applyAlignment="1">
      <alignment horizontal="center" vertical="center" wrapText="1"/>
    </xf>
    <xf numFmtId="0" fontId="10" fillId="6" borderId="8" xfId="0" applyFont="1" applyFill="1" applyBorder="1" applyAlignment="1">
      <alignment horizontal="center" vertical="center" wrapText="1"/>
    </xf>
    <xf numFmtId="0" fontId="10" fillId="6" borderId="5" xfId="0" applyFont="1" applyFill="1" applyBorder="1" applyAlignment="1">
      <alignment horizontal="center" vertical="center" wrapText="1"/>
    </xf>
    <xf numFmtId="0" fontId="10" fillId="6" borderId="11" xfId="0" applyFont="1" applyFill="1" applyBorder="1" applyAlignment="1">
      <alignment horizontal="center" vertical="center" wrapText="1"/>
    </xf>
    <xf numFmtId="0" fontId="10" fillId="6" borderId="6" xfId="0" applyFont="1" applyFill="1" applyBorder="1" applyAlignment="1">
      <alignment horizontal="center" vertical="center" wrapText="1"/>
    </xf>
    <xf numFmtId="0" fontId="0" fillId="3" borderId="47" xfId="0" applyFill="1" applyBorder="1" applyAlignment="1">
      <alignment horizontal="left"/>
    </xf>
    <xf numFmtId="0" fontId="0" fillId="3" borderId="48" xfId="0" applyFill="1" applyBorder="1" applyAlignment="1">
      <alignment horizontal="left"/>
    </xf>
    <xf numFmtId="0" fontId="20" fillId="8" borderId="19" xfId="0" applyFont="1" applyFill="1" applyBorder="1" applyAlignment="1">
      <alignment horizontal="center" vertical="center"/>
    </xf>
    <xf numFmtId="0" fontId="20" fillId="8" borderId="23" xfId="0" applyFont="1" applyFill="1" applyBorder="1" applyAlignment="1">
      <alignment horizontal="center" vertical="center"/>
    </xf>
    <xf numFmtId="0" fontId="20" fillId="8" borderId="27" xfId="0" applyFont="1" applyFill="1" applyBorder="1" applyAlignment="1">
      <alignment horizontal="center" vertical="center"/>
    </xf>
    <xf numFmtId="0" fontId="28" fillId="2" borderId="0" xfId="0" applyFont="1" applyFill="1" applyAlignment="1">
      <alignment horizontal="left" vertical="top" wrapText="1"/>
    </xf>
    <xf numFmtId="0" fontId="30" fillId="2" borderId="0" xfId="0" applyFont="1" applyFill="1" applyAlignment="1">
      <alignment horizontal="left" vertical="top" wrapText="1"/>
    </xf>
    <xf numFmtId="0" fontId="22" fillId="2" borderId="0" xfId="0" applyFont="1" applyFill="1" applyAlignment="1">
      <alignment horizontal="left" vertical="top" wrapText="1"/>
    </xf>
    <xf numFmtId="0" fontId="39" fillId="10" borderId="0" xfId="0" applyFont="1" applyFill="1" applyAlignment="1">
      <alignment horizontal="center" vertical="center" wrapText="1"/>
    </xf>
    <xf numFmtId="0" fontId="41" fillId="10" borderId="0" xfId="0" applyFont="1" applyFill="1" applyAlignment="1">
      <alignment horizontal="center" vertical="center" wrapText="1"/>
    </xf>
  </cellXfs>
  <cellStyles count="4">
    <cellStyle name="Hyperlink" xfId="1" builtinId="8"/>
    <cellStyle name="Normal" xfId="0" builtinId="0"/>
    <cellStyle name="Normal 2" xfId="2" xr:uid="{4898A86B-832F-42F9-B213-A5FDAFD868FE}"/>
    <cellStyle name="Normal 2_Calculator" xfId="3" xr:uid="{37F3E52A-510E-403A-A177-C50293BD756D}"/>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png"/></Relationships>
</file>

<file path=xl/drawings/_rels/drawing10.xml.rels><?xml version="1.0" encoding="UTF-8" standalone="yes"?>
<Relationships xmlns="http://schemas.openxmlformats.org/package/2006/relationships"><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1" Type="http://schemas.openxmlformats.org/officeDocument/2006/relationships/image" Target="../media/image8.png"/></Relationships>
</file>

<file path=xl/drawings/_rels/drawing12.xml.rels><?xml version="1.0" encoding="UTF-8" standalone="yes"?>
<Relationships xmlns="http://schemas.openxmlformats.org/package/2006/relationships"><Relationship Id="rId1" Type="http://schemas.openxmlformats.org/officeDocument/2006/relationships/image" Target="../media/image8.png"/></Relationships>
</file>

<file path=xl/drawings/_rels/drawing13.xml.rels><?xml version="1.0" encoding="UTF-8" standalone="yes"?>
<Relationships xmlns="http://schemas.openxmlformats.org/package/2006/relationships"><Relationship Id="rId1" Type="http://schemas.openxmlformats.org/officeDocument/2006/relationships/image" Target="../media/image8.png"/></Relationships>
</file>

<file path=xl/drawings/_rels/drawing14.xml.rels><?xml version="1.0" encoding="UTF-8" standalone="yes"?>
<Relationships xmlns="http://schemas.openxmlformats.org/package/2006/relationships"><Relationship Id="rId1" Type="http://schemas.openxmlformats.org/officeDocument/2006/relationships/image" Target="../media/image9.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57978</xdr:rowOff>
    </xdr:from>
    <xdr:to>
      <xdr:col>10</xdr:col>
      <xdr:colOff>412469</xdr:colOff>
      <xdr:row>6</xdr:row>
      <xdr:rowOff>160830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314325" y="248478"/>
          <a:ext cx="5898869" cy="1055352"/>
        </a:xfrm>
        <a:prstGeom prst="rect">
          <a:avLst/>
        </a:prstGeom>
      </xdr:spPr>
    </xdr:pic>
    <xdr:clientData/>
  </xdr:twoCellAnchor>
  <xdr:twoCellAnchor editAs="oneCell">
    <xdr:from>
      <xdr:col>13</xdr:col>
      <xdr:colOff>478583</xdr:colOff>
      <xdr:row>3</xdr:row>
      <xdr:rowOff>236882</xdr:rowOff>
    </xdr:from>
    <xdr:to>
      <xdr:col>17</xdr:col>
      <xdr:colOff>72690</xdr:colOff>
      <xdr:row>7</xdr:row>
      <xdr:rowOff>117615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8403383" y="1760882"/>
          <a:ext cx="2032507" cy="6903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57978</xdr:rowOff>
    </xdr:from>
    <xdr:to>
      <xdr:col>4</xdr:col>
      <xdr:colOff>2390355</xdr:colOff>
      <xdr:row>6</xdr:row>
      <xdr:rowOff>113205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314739" y="248478"/>
          <a:ext cx="5896798" cy="1057423"/>
        </a:xfrm>
        <a:prstGeom prst="rect">
          <a:avLst/>
        </a:prstGeom>
      </xdr:spPr>
    </xdr:pic>
    <xdr:clientData/>
  </xdr:twoCellAnchor>
  <xdr:twoCellAnchor editAs="oneCell">
    <xdr:from>
      <xdr:col>4</xdr:col>
      <xdr:colOff>3974258</xdr:colOff>
      <xdr:row>3</xdr:row>
      <xdr:rowOff>198782</xdr:rowOff>
    </xdr:from>
    <xdr:to>
      <xdr:col>6</xdr:col>
      <xdr:colOff>72691</xdr:colOff>
      <xdr:row>7</xdr:row>
      <xdr:rowOff>41415</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7477801" y="770282"/>
          <a:ext cx="2037063" cy="6543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47625</xdr:colOff>
          <xdr:row>11</xdr:row>
          <xdr:rowOff>57150</xdr:rowOff>
        </xdr:from>
        <xdr:to>
          <xdr:col>4</xdr:col>
          <xdr:colOff>1352550</xdr:colOff>
          <xdr:row>11</xdr:row>
          <xdr:rowOff>276225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Real case VPA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11</xdr:row>
          <xdr:rowOff>228600</xdr:rowOff>
        </xdr:from>
        <xdr:to>
          <xdr:col>4</xdr:col>
          <xdr:colOff>1352550</xdr:colOff>
          <xdr:row>11</xdr:row>
          <xdr:rowOff>447675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 VPA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28575</xdr:rowOff>
        </xdr:from>
        <xdr:to>
          <xdr:col>4</xdr:col>
          <xdr:colOff>1333500</xdr:colOff>
          <xdr:row>13</xdr:row>
          <xdr:rowOff>247650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Microscale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13</xdr:row>
          <xdr:rowOff>438150</xdr:rowOff>
        </xdr:from>
        <xdr:to>
          <xdr:col>4</xdr:col>
          <xdr:colOff>1343025</xdr:colOff>
          <xdr:row>13</xdr:row>
          <xdr:rowOff>657225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Large Scale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238125</xdr:rowOff>
        </xdr:from>
        <xdr:to>
          <xdr:col>4</xdr:col>
          <xdr:colOff>1333500</xdr:colOff>
          <xdr:row>13</xdr:row>
          <xdr:rowOff>457200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Small Scale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49</xdr:row>
          <xdr:rowOff>57150</xdr:rowOff>
        </xdr:from>
        <xdr:to>
          <xdr:col>4</xdr:col>
          <xdr:colOff>2066925</xdr:colOff>
          <xdr:row>49</xdr:row>
          <xdr:rowOff>276225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Community Services Activities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49</xdr:row>
          <xdr:rowOff>276225</xdr:rowOff>
        </xdr:from>
        <xdr:to>
          <xdr:col>4</xdr:col>
          <xdr:colOff>1800225</xdr:colOff>
          <xdr:row>49</xdr:row>
          <xdr:rowOff>495300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Renewable Energy Activities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49</xdr:row>
          <xdr:rowOff>485775</xdr:rowOff>
        </xdr:from>
        <xdr:to>
          <xdr:col>4</xdr:col>
          <xdr:colOff>3524250</xdr:colOff>
          <xdr:row>49</xdr:row>
          <xdr:rowOff>704850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Land Use and Forestry Activities/Risk &amp; Capacities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49</xdr:row>
          <xdr:rowOff>695325</xdr:rowOff>
        </xdr:from>
        <xdr:to>
          <xdr:col>4</xdr:col>
          <xdr:colOff>1800225</xdr:colOff>
          <xdr:row>49</xdr:row>
          <xdr:rowOff>914400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55</xdr:row>
          <xdr:rowOff>57150</xdr:rowOff>
        </xdr:from>
        <xdr:to>
          <xdr:col>4</xdr:col>
          <xdr:colOff>2228850</xdr:colOff>
          <xdr:row>55</xdr:row>
          <xdr:rowOff>276225</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GHG Emission Reduction &amp; Sequestration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55</xdr:row>
          <xdr:rowOff>238125</xdr:rowOff>
        </xdr:from>
        <xdr:to>
          <xdr:col>4</xdr:col>
          <xdr:colOff>2066925</xdr:colOff>
          <xdr:row>55</xdr:row>
          <xdr:rowOff>457200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Renewable Energy Label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55</xdr:row>
          <xdr:rowOff>428625</xdr:rowOff>
        </xdr:from>
        <xdr:to>
          <xdr:col>4</xdr:col>
          <xdr:colOff>2066925</xdr:colOff>
          <xdr:row>55</xdr:row>
          <xdr:rowOff>647700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57</xdr:row>
          <xdr:rowOff>57150</xdr:rowOff>
        </xdr:from>
        <xdr:to>
          <xdr:col>4</xdr:col>
          <xdr:colOff>2228850</xdr:colOff>
          <xdr:row>57</xdr:row>
          <xdr:rowOff>276225</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57</xdr:row>
          <xdr:rowOff>247650</xdr:rowOff>
        </xdr:from>
        <xdr:to>
          <xdr:col>4</xdr:col>
          <xdr:colOff>2228850</xdr:colOff>
          <xdr:row>57</xdr:row>
          <xdr:rowOff>466725</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Retroactive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600075</xdr:colOff>
      <xdr:row>1</xdr:row>
      <xdr:rowOff>5590</xdr:rowOff>
    </xdr:from>
    <xdr:to>
      <xdr:col>5</xdr:col>
      <xdr:colOff>228600</xdr:colOff>
      <xdr:row>2</xdr:row>
      <xdr:rowOff>181021</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0075" y="196090"/>
          <a:ext cx="2676525" cy="365931"/>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466725</xdr:colOff>
          <xdr:row>68</xdr:row>
          <xdr:rowOff>0</xdr:rowOff>
        </xdr:from>
        <xdr:to>
          <xdr:col>16</xdr:col>
          <xdr:colOff>228600</xdr:colOff>
          <xdr:row>70</xdr:row>
          <xdr:rowOff>161925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 Direct Mineral Carbonation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476250</xdr:colOff>
          <xdr:row>71</xdr:row>
          <xdr:rowOff>142875</xdr:rowOff>
        </xdr:from>
        <xdr:to>
          <xdr:col>16</xdr:col>
          <xdr:colOff>238125</xdr:colOff>
          <xdr:row>74</xdr:row>
          <xdr:rowOff>85725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 Indirect Mineral Carbonation</a:t>
              </a:r>
            </a:p>
          </xdr:txBody>
        </xdr:sp>
        <xdr:clientData fPrintsWithSheet="0"/>
      </xdr:twoCellAnchor>
    </mc:Choice>
    <mc:Fallback/>
  </mc:AlternateContent>
  <xdr:twoCellAnchor>
    <xdr:from>
      <xdr:col>6</xdr:col>
      <xdr:colOff>129886</xdr:colOff>
      <xdr:row>70</xdr:row>
      <xdr:rowOff>129885</xdr:rowOff>
    </xdr:from>
    <xdr:to>
      <xdr:col>6</xdr:col>
      <xdr:colOff>580159</xdr:colOff>
      <xdr:row>72</xdr:row>
      <xdr:rowOff>181840</xdr:rowOff>
    </xdr:to>
    <xdr:cxnSp macro="">
      <xdr:nvCxnSpPr>
        <xdr:cNvPr id="5" name="Straight Arrow Connector 4">
          <a:extLst>
            <a:ext uri="{FF2B5EF4-FFF2-40B4-BE49-F238E27FC236}">
              <a16:creationId xmlns:a16="http://schemas.microsoft.com/office/drawing/2014/main" id="{00000000-0008-0000-0200-000005000000}"/>
            </a:ext>
          </a:extLst>
        </xdr:cNvPr>
        <xdr:cNvCxnSpPr/>
      </xdr:nvCxnSpPr>
      <xdr:spPr>
        <a:xfrm flipH="1" flipV="1">
          <a:off x="3766704" y="10815203"/>
          <a:ext cx="450273" cy="43295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528203</xdr:colOff>
      <xdr:row>72</xdr:row>
      <xdr:rowOff>60613</xdr:rowOff>
    </xdr:from>
    <xdr:to>
      <xdr:col>8</xdr:col>
      <xdr:colOff>398316</xdr:colOff>
      <xdr:row>73</xdr:row>
      <xdr:rowOff>129886</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4165021" y="11126931"/>
          <a:ext cx="1082386" cy="259773"/>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wrap="square" rtlCol="0" anchor="t"/>
        <a:lstStyle/>
        <a:p>
          <a:r>
            <a:rPr lang="en-US" sz="1200" b="0" cap="none" spc="0">
              <a:ln w="0"/>
              <a:solidFill>
                <a:schemeClr val="accent1"/>
              </a:solidFill>
              <a:effectLst>
                <a:outerShdw blurRad="38100" dist="25400" dir="5400000" algn="ctr" rotWithShape="0">
                  <a:srgbClr val="6E747A">
                    <a:alpha val="43000"/>
                  </a:srgbClr>
                </a:outerShdw>
              </a:effectLst>
            </a:rPr>
            <a:t>Dropdown list</a:t>
          </a:r>
        </a:p>
      </xdr:txBody>
    </xdr:sp>
    <xdr:clientData/>
  </xdr:twoCellAnchor>
  <xdr:twoCellAnchor>
    <xdr:from>
      <xdr:col>5</xdr:col>
      <xdr:colOff>138545</xdr:colOff>
      <xdr:row>15</xdr:row>
      <xdr:rowOff>25978</xdr:rowOff>
    </xdr:from>
    <xdr:to>
      <xdr:col>5</xdr:col>
      <xdr:colOff>406976</xdr:colOff>
      <xdr:row>15</xdr:row>
      <xdr:rowOff>155865</xdr:rowOff>
    </xdr:to>
    <xdr:cxnSp macro="">
      <xdr:nvCxnSpPr>
        <xdr:cNvPr id="7" name="Straight Arrow Connector 6">
          <a:extLst>
            <a:ext uri="{FF2B5EF4-FFF2-40B4-BE49-F238E27FC236}">
              <a16:creationId xmlns:a16="http://schemas.microsoft.com/office/drawing/2014/main" id="{00000000-0008-0000-0200-000007000000}"/>
            </a:ext>
          </a:extLst>
        </xdr:cNvPr>
        <xdr:cNvCxnSpPr>
          <a:cxnSpLocks/>
        </xdr:cNvCxnSpPr>
      </xdr:nvCxnSpPr>
      <xdr:spPr>
        <a:xfrm flipH="1" flipV="1">
          <a:off x="3169227" y="2918114"/>
          <a:ext cx="268431" cy="1298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363681</xdr:colOff>
      <xdr:row>15</xdr:row>
      <xdr:rowOff>34638</xdr:rowOff>
    </xdr:from>
    <xdr:to>
      <xdr:col>7</xdr:col>
      <xdr:colOff>233794</xdr:colOff>
      <xdr:row>16</xdr:row>
      <xdr:rowOff>129888</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394363" y="2926774"/>
          <a:ext cx="1082386" cy="285750"/>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wrap="square" rtlCol="0" anchor="t"/>
        <a:lstStyle/>
        <a:p>
          <a:r>
            <a:rPr lang="en-US" sz="1200" b="0" cap="none" spc="0">
              <a:ln w="0"/>
              <a:solidFill>
                <a:schemeClr val="accent1"/>
              </a:solidFill>
              <a:effectLst>
                <a:outerShdw blurRad="38100" dist="25400" dir="5400000" algn="ctr" rotWithShape="0">
                  <a:srgbClr val="6E747A">
                    <a:alpha val="43000"/>
                  </a:srgbClr>
                </a:outerShdw>
              </a:effectLst>
            </a:rPr>
            <a:t>Dropdown list</a:t>
          </a:r>
        </a:p>
      </xdr:txBody>
    </xdr:sp>
    <xdr:clientData/>
  </xdr:twoCellAnchor>
  <mc:AlternateContent xmlns:mc="http://schemas.openxmlformats.org/markup-compatibility/2006">
    <mc:Choice xmlns:a14="http://schemas.microsoft.com/office/drawing/2010/main" Requires="a14">
      <xdr:twoCellAnchor>
        <xdr:from>
          <xdr:col>2</xdr:col>
          <xdr:colOff>542925</xdr:colOff>
          <xdr:row>41</xdr:row>
          <xdr:rowOff>47625</xdr:rowOff>
        </xdr:from>
        <xdr:to>
          <xdr:col>7</xdr:col>
          <xdr:colOff>314325</xdr:colOff>
          <xdr:row>43</xdr:row>
          <xdr:rowOff>28575</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200-00001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add data for parameters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115</xdr:row>
          <xdr:rowOff>180975</xdr:rowOff>
        </xdr:from>
        <xdr:to>
          <xdr:col>7</xdr:col>
          <xdr:colOff>457200</xdr:colOff>
          <xdr:row>118</xdr:row>
          <xdr:rowOff>19050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200-00001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add data for parameters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148</xdr:row>
          <xdr:rowOff>152400</xdr:rowOff>
        </xdr:from>
        <xdr:to>
          <xdr:col>7</xdr:col>
          <xdr:colOff>523875</xdr:colOff>
          <xdr:row>150</xdr:row>
          <xdr:rowOff>114300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200-00002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add data for parameters above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200025</xdr:colOff>
      <xdr:row>1</xdr:row>
      <xdr:rowOff>19050</xdr:rowOff>
    </xdr:from>
    <xdr:to>
      <xdr:col>5</xdr:col>
      <xdr:colOff>94881</xdr:colOff>
      <xdr:row>2</xdr:row>
      <xdr:rowOff>95251</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200025" y="209550"/>
          <a:ext cx="3285756" cy="266701"/>
        </a:xfrm>
        <a:prstGeom prst="rect">
          <a:avLst/>
        </a:prstGeom>
      </xdr:spPr>
    </xdr:pic>
    <xdr:clientData/>
  </xdr:twoCellAnchor>
  <xdr:twoCellAnchor editAs="oneCell">
    <xdr:from>
      <xdr:col>1</xdr:col>
      <xdr:colOff>381000</xdr:colOff>
      <xdr:row>2</xdr:row>
      <xdr:rowOff>171450</xdr:rowOff>
    </xdr:from>
    <xdr:to>
      <xdr:col>7</xdr:col>
      <xdr:colOff>858048</xdr:colOff>
      <xdr:row>4</xdr:row>
      <xdr:rowOff>28608</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381000" y="552450"/>
          <a:ext cx="5715798" cy="23815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0</xdr:colOff>
          <xdr:row>12</xdr:row>
          <xdr:rowOff>152400</xdr:rowOff>
        </xdr:from>
        <xdr:to>
          <xdr:col>8</xdr:col>
          <xdr:colOff>1466850</xdr:colOff>
          <xdr:row>14</xdr:row>
          <xdr:rowOff>85725</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3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see parameter descriptions and unit (s)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200025</xdr:colOff>
      <xdr:row>1</xdr:row>
      <xdr:rowOff>19050</xdr:rowOff>
    </xdr:from>
    <xdr:to>
      <xdr:col>5</xdr:col>
      <xdr:colOff>190131</xdr:colOff>
      <xdr:row>2</xdr:row>
      <xdr:rowOff>95251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00025" y="209550"/>
          <a:ext cx="3285756" cy="266701"/>
        </a:xfrm>
        <a:prstGeom prst="rect">
          <a:avLst/>
        </a:prstGeom>
      </xdr:spPr>
    </xdr:pic>
    <xdr:clientData/>
  </xdr:twoCellAnchor>
  <xdr:twoCellAnchor editAs="oneCell">
    <xdr:from>
      <xdr:col>1</xdr:col>
      <xdr:colOff>381000</xdr:colOff>
      <xdr:row>2</xdr:row>
      <xdr:rowOff>171450</xdr:rowOff>
    </xdr:from>
    <xdr:to>
      <xdr:col>7</xdr:col>
      <xdr:colOff>477048</xdr:colOff>
      <xdr:row>4</xdr:row>
      <xdr:rowOff>28608</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381000" y="552450"/>
          <a:ext cx="5715798" cy="238158"/>
        </a:xfrm>
        <a:prstGeom prst="rect">
          <a:avLst/>
        </a:prstGeom>
      </xdr:spPr>
    </xdr:pic>
    <xdr:clientData/>
  </xdr:twoCellAnchor>
  <xdr:twoCellAnchor editAs="oneCell">
    <xdr:from>
      <xdr:col>1</xdr:col>
      <xdr:colOff>352425</xdr:colOff>
      <xdr:row>2</xdr:row>
      <xdr:rowOff>114300</xdr:rowOff>
    </xdr:from>
    <xdr:to>
      <xdr:col>7</xdr:col>
      <xdr:colOff>477052</xdr:colOff>
      <xdr:row>4</xdr:row>
      <xdr:rowOff>66722</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352425" y="495300"/>
          <a:ext cx="5744377" cy="333422"/>
        </a:xfrm>
        <a:prstGeom prst="rect">
          <a:avLst/>
        </a:prstGeom>
      </xdr:spPr>
    </xdr:pic>
    <xdr:clientData/>
  </xdr:twoCellAnchor>
  <xdr:twoCellAnchor editAs="oneCell">
    <xdr:from>
      <xdr:col>1</xdr:col>
      <xdr:colOff>200026</xdr:colOff>
      <xdr:row>1</xdr:row>
      <xdr:rowOff>19049</xdr:rowOff>
    </xdr:from>
    <xdr:to>
      <xdr:col>5</xdr:col>
      <xdr:colOff>190132</xdr:colOff>
      <xdr:row>2</xdr:row>
      <xdr:rowOff>95250</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200026" y="209549"/>
          <a:ext cx="3285756" cy="266701"/>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628650</xdr:colOff>
          <xdr:row>13</xdr:row>
          <xdr:rowOff>76200</xdr:rowOff>
        </xdr:from>
        <xdr:to>
          <xdr:col>8</xdr:col>
          <xdr:colOff>171450</xdr:colOff>
          <xdr:row>15</xdr:row>
          <xdr:rowOff>28575</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400-00000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see parameter descriptions and unit (s)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200025</xdr:colOff>
      <xdr:row>1</xdr:row>
      <xdr:rowOff>19050</xdr:rowOff>
    </xdr:from>
    <xdr:to>
      <xdr:col>5</xdr:col>
      <xdr:colOff>294906</xdr:colOff>
      <xdr:row>2</xdr:row>
      <xdr:rowOff>95251</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809625" y="209550"/>
          <a:ext cx="3285756" cy="266701"/>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504825</xdr:colOff>
          <xdr:row>12</xdr:row>
          <xdr:rowOff>114300</xdr:rowOff>
        </xdr:from>
        <xdr:to>
          <xdr:col>10</xdr:col>
          <xdr:colOff>0</xdr:colOff>
          <xdr:row>14</xdr:row>
          <xdr:rowOff>57150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5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see parameter descriptions and unit (s)</a:t>
              </a:r>
            </a:p>
          </xdr:txBody>
        </xdr:sp>
        <xdr:clientData fPrintsWithSheet="0"/>
      </xdr:twoCellAnchor>
    </mc:Choice>
    <mc:Fallback/>
  </mc:AlternateContent>
  <xdr:twoCellAnchor editAs="oneCell">
    <xdr:from>
      <xdr:col>1</xdr:col>
      <xdr:colOff>352424</xdr:colOff>
      <xdr:row>2</xdr:row>
      <xdr:rowOff>114301</xdr:rowOff>
    </xdr:from>
    <xdr:to>
      <xdr:col>7</xdr:col>
      <xdr:colOff>781851</xdr:colOff>
      <xdr:row>4</xdr:row>
      <xdr:rowOff>66723</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stretch>
          <a:fillRect/>
        </a:stretch>
      </xdr:blipFill>
      <xdr:spPr>
        <a:xfrm>
          <a:off x="962024" y="495301"/>
          <a:ext cx="5744377" cy="33342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533400</xdr:colOff>
      <xdr:row>0</xdr:row>
      <xdr:rowOff>47625</xdr:rowOff>
    </xdr:from>
    <xdr:to>
      <xdr:col>6</xdr:col>
      <xdr:colOff>240729</xdr:colOff>
      <xdr:row>2</xdr:row>
      <xdr:rowOff>161925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533400" y="47625"/>
          <a:ext cx="3545904" cy="495300"/>
        </a:xfrm>
        <a:prstGeom prst="rect">
          <a:avLst/>
        </a:prstGeom>
      </xdr:spPr>
    </xdr:pic>
    <xdr:clientData/>
  </xdr:twoCellAnchor>
  <xdr:twoCellAnchor>
    <xdr:from>
      <xdr:col>6</xdr:col>
      <xdr:colOff>200025</xdr:colOff>
      <xdr:row>13</xdr:row>
      <xdr:rowOff>161925</xdr:rowOff>
    </xdr:from>
    <xdr:to>
      <xdr:col>6</xdr:col>
      <xdr:colOff>514350</xdr:colOff>
      <xdr:row>14</xdr:row>
      <xdr:rowOff>76200</xdr:rowOff>
    </xdr:to>
    <xdr:cxnSp macro="">
      <xdr:nvCxnSpPr>
        <xdr:cNvPr id="5" name="Straight Arrow Connector 4">
          <a:extLst>
            <a:ext uri="{FF2B5EF4-FFF2-40B4-BE49-F238E27FC236}">
              <a16:creationId xmlns:a16="http://schemas.microsoft.com/office/drawing/2014/main" id="{00000000-0008-0000-0600-000005000000}"/>
            </a:ext>
          </a:extLst>
        </xdr:cNvPr>
        <xdr:cNvCxnSpPr/>
      </xdr:nvCxnSpPr>
      <xdr:spPr>
        <a:xfrm flipH="1" flipV="1">
          <a:off x="3857625" y="2876550"/>
          <a:ext cx="314325" cy="10477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447675</xdr:colOff>
      <xdr:row>13</xdr:row>
      <xdr:rowOff>123825</xdr:rowOff>
    </xdr:from>
    <xdr:to>
      <xdr:col>8</xdr:col>
      <xdr:colOff>310861</xdr:colOff>
      <xdr:row>19</xdr:row>
      <xdr:rowOff>2598</xdr:rowOff>
    </xdr:to>
    <xdr:sp macro="" textlink="">
      <xdr:nvSpPr>
        <xdr:cNvPr id="7" name="TextBox 6">
          <a:extLst>
            <a:ext uri="{FF2B5EF4-FFF2-40B4-BE49-F238E27FC236}">
              <a16:creationId xmlns:a16="http://schemas.microsoft.com/office/drawing/2014/main" id="{00000000-0008-0000-0600-000007000000}"/>
            </a:ext>
          </a:extLst>
        </xdr:cNvPr>
        <xdr:cNvSpPr txBox="1"/>
      </xdr:nvSpPr>
      <xdr:spPr>
        <a:xfrm>
          <a:off x="4105275" y="2838450"/>
          <a:ext cx="1082386" cy="259773"/>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wrap="square" rtlCol="0" anchor="t"/>
        <a:lstStyle/>
        <a:p>
          <a:r>
            <a:rPr lang="en-US" sz="1200" b="0" cap="none" spc="0">
              <a:ln w="0"/>
              <a:solidFill>
                <a:schemeClr val="accent1"/>
              </a:solidFill>
              <a:effectLst>
                <a:outerShdw blurRad="38100" dist="25400" dir="5400000" algn="ctr" rotWithShape="0">
                  <a:srgbClr val="6E747A">
                    <a:alpha val="43000"/>
                  </a:srgbClr>
                </a:outerShdw>
              </a:effectLst>
            </a:rPr>
            <a:t>Dropdown list</a:t>
          </a:r>
        </a:p>
      </xdr:txBody>
    </xdr:sp>
    <xdr:clientData/>
  </xdr:twoCellAnchor>
  <mc:AlternateContent xmlns:mc="http://schemas.openxmlformats.org/markup-compatibility/2006">
    <mc:Choice xmlns:a14="http://schemas.microsoft.com/office/drawing/2010/main" Requires="a14">
      <xdr:twoCellAnchor>
        <xdr:from>
          <xdr:col>2</xdr:col>
          <xdr:colOff>600075</xdr:colOff>
          <xdr:row>37</xdr:row>
          <xdr:rowOff>0</xdr:rowOff>
        </xdr:from>
        <xdr:to>
          <xdr:col>7</xdr:col>
          <xdr:colOff>257175</xdr:colOff>
          <xdr:row>38</xdr:row>
          <xdr:rowOff>152400</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600-00000B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add data for parameters above</a:t>
              </a:r>
            </a:p>
          </xdr:txBody>
        </xdr:sp>
        <xdr:clientData fPrintsWithSheet="0"/>
      </xdr:twoCellAnchor>
    </mc:Choice>
    <mc:Fallback/>
  </mc:AlternateContent>
  <xdr:twoCellAnchor>
    <xdr:from>
      <xdr:col>6</xdr:col>
      <xdr:colOff>228600</xdr:colOff>
      <xdr:row>18</xdr:row>
      <xdr:rowOff>171450</xdr:rowOff>
    </xdr:from>
    <xdr:to>
      <xdr:col>6</xdr:col>
      <xdr:colOff>542925</xdr:colOff>
      <xdr:row>19</xdr:row>
      <xdr:rowOff>85725</xdr:rowOff>
    </xdr:to>
    <xdr:cxnSp macro="">
      <xdr:nvCxnSpPr>
        <xdr:cNvPr id="2" name="Straight Arrow Connector 1">
          <a:extLst>
            <a:ext uri="{FF2B5EF4-FFF2-40B4-BE49-F238E27FC236}">
              <a16:creationId xmlns:a16="http://schemas.microsoft.com/office/drawing/2014/main" id="{00000000-0008-0000-0600-000002000000}"/>
            </a:ext>
          </a:extLst>
        </xdr:cNvPr>
        <xdr:cNvCxnSpPr/>
      </xdr:nvCxnSpPr>
      <xdr:spPr>
        <a:xfrm flipH="1" flipV="1">
          <a:off x="4067175" y="3457575"/>
          <a:ext cx="314325" cy="10477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476250</xdr:colOff>
      <xdr:row>18</xdr:row>
      <xdr:rowOff>133350</xdr:rowOff>
    </xdr:from>
    <xdr:to>
      <xdr:col>8</xdr:col>
      <xdr:colOff>339436</xdr:colOff>
      <xdr:row>29</xdr:row>
      <xdr:rowOff>193098</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4314825" y="3419475"/>
          <a:ext cx="1082386" cy="1021773"/>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wrap="square" rtlCol="0" anchor="t"/>
        <a:lstStyle/>
        <a:p>
          <a:r>
            <a:rPr lang="en-US" sz="1200" b="0" cap="none" spc="0">
              <a:ln w="0"/>
              <a:solidFill>
                <a:schemeClr val="accent1"/>
              </a:solidFill>
              <a:effectLst>
                <a:outerShdw blurRad="38100" dist="25400" dir="5400000" algn="ctr" rotWithShape="0">
                  <a:srgbClr val="6E747A">
                    <a:alpha val="43000"/>
                  </a:srgbClr>
                </a:outerShdw>
              </a:effectLst>
            </a:rPr>
            <a:t>Dropdown list</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514350</xdr:colOff>
      <xdr:row>1</xdr:row>
      <xdr:rowOff>9525</xdr:rowOff>
    </xdr:from>
    <xdr:to>
      <xdr:col>5</xdr:col>
      <xdr:colOff>142875</xdr:colOff>
      <xdr:row>3</xdr:row>
      <xdr:rowOff>102174</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stretch>
          <a:fillRect/>
        </a:stretch>
      </xdr:blipFill>
      <xdr:spPr>
        <a:xfrm>
          <a:off x="514350" y="200025"/>
          <a:ext cx="3390900" cy="47364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1228725</xdr:colOff>
          <xdr:row>18</xdr:row>
          <xdr:rowOff>85725</xdr:rowOff>
        </xdr:from>
        <xdr:to>
          <xdr:col>9</xdr:col>
          <xdr:colOff>2238375</xdr:colOff>
          <xdr:row>20</xdr:row>
          <xdr:rowOff>38100</xdr:rowOff>
        </xdr:to>
        <xdr:sp macro="" textlink="">
          <xdr:nvSpPr>
            <xdr:cNvPr id="10250" name="Button 10" hidden="1">
              <a:extLst>
                <a:ext uri="{63B3BB69-23CF-44E3-9099-C40C66FF867C}">
                  <a14:compatExt spid="_x0000_s10250"/>
                </a:ext>
                <a:ext uri="{FF2B5EF4-FFF2-40B4-BE49-F238E27FC236}">
                  <a16:creationId xmlns:a16="http://schemas.microsoft.com/office/drawing/2014/main" id="{00000000-0008-0000-0700-00000A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see parameter descriptions and unit (s)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80</xdr:row>
          <xdr:rowOff>57150</xdr:rowOff>
        </xdr:from>
        <xdr:to>
          <xdr:col>8</xdr:col>
          <xdr:colOff>152400</xdr:colOff>
          <xdr:row>82</xdr:row>
          <xdr:rowOff>85725</xdr:rowOff>
        </xdr:to>
        <xdr:sp macro="" textlink="">
          <xdr:nvSpPr>
            <xdr:cNvPr id="11278" name="Button 14" hidden="1">
              <a:extLst>
                <a:ext uri="{63B3BB69-23CF-44E3-9099-C40C66FF867C}">
                  <a14:compatExt spid="_x0000_s11278"/>
                </a:ext>
                <a:ext uri="{FF2B5EF4-FFF2-40B4-BE49-F238E27FC236}">
                  <a16:creationId xmlns:a16="http://schemas.microsoft.com/office/drawing/2014/main" id="{00000000-0008-0000-0800-00000E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add data for parameters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110</xdr:row>
          <xdr:rowOff>76200</xdr:rowOff>
        </xdr:from>
        <xdr:to>
          <xdr:col>8</xdr:col>
          <xdr:colOff>152400</xdr:colOff>
          <xdr:row>112</xdr:row>
          <xdr:rowOff>104775</xdr:rowOff>
        </xdr:to>
        <xdr:sp macro="" textlink="">
          <xdr:nvSpPr>
            <xdr:cNvPr id="11280" name="Button 16" hidden="1">
              <a:extLst>
                <a:ext uri="{63B3BB69-23CF-44E3-9099-C40C66FF867C}">
                  <a14:compatExt spid="_x0000_s11280"/>
                </a:ext>
                <a:ext uri="{FF2B5EF4-FFF2-40B4-BE49-F238E27FC236}">
                  <a16:creationId xmlns:a16="http://schemas.microsoft.com/office/drawing/2014/main" id="{00000000-0008-0000-0800-000010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add data for parameters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140</xdr:row>
          <xdr:rowOff>66675</xdr:rowOff>
        </xdr:from>
        <xdr:to>
          <xdr:col>8</xdr:col>
          <xdr:colOff>142875</xdr:colOff>
          <xdr:row>142</xdr:row>
          <xdr:rowOff>95250</xdr:rowOff>
        </xdr:to>
        <xdr:sp macro="" textlink="">
          <xdr:nvSpPr>
            <xdr:cNvPr id="11281" name="Button 17" hidden="1">
              <a:extLst>
                <a:ext uri="{63B3BB69-23CF-44E3-9099-C40C66FF867C}">
                  <a14:compatExt spid="_x0000_s11281"/>
                </a:ext>
                <a:ext uri="{FF2B5EF4-FFF2-40B4-BE49-F238E27FC236}">
                  <a16:creationId xmlns:a16="http://schemas.microsoft.com/office/drawing/2014/main" id="{00000000-0008-0000-0800-00001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add data for parameters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170</xdr:row>
          <xdr:rowOff>66675</xdr:rowOff>
        </xdr:from>
        <xdr:to>
          <xdr:col>8</xdr:col>
          <xdr:colOff>152400</xdr:colOff>
          <xdr:row>172</xdr:row>
          <xdr:rowOff>95250</xdr:rowOff>
        </xdr:to>
        <xdr:sp macro="" textlink="">
          <xdr:nvSpPr>
            <xdr:cNvPr id="11282" name="Button 18" hidden="1">
              <a:extLst>
                <a:ext uri="{63B3BB69-23CF-44E3-9099-C40C66FF867C}">
                  <a14:compatExt spid="_x0000_s11282"/>
                </a:ext>
                <a:ext uri="{FF2B5EF4-FFF2-40B4-BE49-F238E27FC236}">
                  <a16:creationId xmlns:a16="http://schemas.microsoft.com/office/drawing/2014/main" id="{00000000-0008-0000-0800-00001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add data for parameters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196</xdr:row>
          <xdr:rowOff>95250</xdr:rowOff>
        </xdr:from>
        <xdr:to>
          <xdr:col>8</xdr:col>
          <xdr:colOff>200025</xdr:colOff>
          <xdr:row>198</xdr:row>
          <xdr:rowOff>123825</xdr:rowOff>
        </xdr:to>
        <xdr:sp macro="" textlink="">
          <xdr:nvSpPr>
            <xdr:cNvPr id="11283" name="Button 19" hidden="1">
              <a:extLst>
                <a:ext uri="{63B3BB69-23CF-44E3-9099-C40C66FF867C}">
                  <a14:compatExt spid="_x0000_s11283"/>
                </a:ext>
                <a:ext uri="{FF2B5EF4-FFF2-40B4-BE49-F238E27FC236}">
                  <a16:creationId xmlns:a16="http://schemas.microsoft.com/office/drawing/2014/main" id="{00000000-0008-0000-0800-00001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add data for parameters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233</xdr:row>
          <xdr:rowOff>66675</xdr:rowOff>
        </xdr:from>
        <xdr:to>
          <xdr:col>8</xdr:col>
          <xdr:colOff>209550</xdr:colOff>
          <xdr:row>235</xdr:row>
          <xdr:rowOff>95250</xdr:rowOff>
        </xdr:to>
        <xdr:sp macro="" textlink="">
          <xdr:nvSpPr>
            <xdr:cNvPr id="11284" name="Button 20" hidden="1">
              <a:extLst>
                <a:ext uri="{63B3BB69-23CF-44E3-9099-C40C66FF867C}">
                  <a14:compatExt spid="_x0000_s11284"/>
                </a:ext>
                <a:ext uri="{FF2B5EF4-FFF2-40B4-BE49-F238E27FC236}">
                  <a16:creationId xmlns:a16="http://schemas.microsoft.com/office/drawing/2014/main" id="{00000000-0008-0000-0800-00001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add data for parameters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263</xdr:row>
          <xdr:rowOff>66675</xdr:rowOff>
        </xdr:from>
        <xdr:to>
          <xdr:col>8</xdr:col>
          <xdr:colOff>209550</xdr:colOff>
          <xdr:row>265</xdr:row>
          <xdr:rowOff>95250</xdr:rowOff>
        </xdr:to>
        <xdr:sp macro="" textlink="">
          <xdr:nvSpPr>
            <xdr:cNvPr id="11285" name="Button 21" hidden="1">
              <a:extLst>
                <a:ext uri="{63B3BB69-23CF-44E3-9099-C40C66FF867C}">
                  <a14:compatExt spid="_x0000_s11285"/>
                </a:ext>
                <a:ext uri="{FF2B5EF4-FFF2-40B4-BE49-F238E27FC236}">
                  <a16:creationId xmlns:a16="http://schemas.microsoft.com/office/drawing/2014/main" id="{00000000-0008-0000-0800-000015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add data for parameters above</a:t>
              </a:r>
            </a:p>
          </xdr:txBody>
        </xdr:sp>
        <xdr:clientData fPrintsWithSheet="0"/>
      </xdr:twoCellAnchor>
    </mc:Choice>
    <mc:Fallback/>
  </mc:AlternateContent>
  <xdr:twoCellAnchor>
    <xdr:from>
      <xdr:col>6</xdr:col>
      <xdr:colOff>228600</xdr:colOff>
      <xdr:row>212</xdr:row>
      <xdr:rowOff>180975</xdr:rowOff>
    </xdr:from>
    <xdr:to>
      <xdr:col>6</xdr:col>
      <xdr:colOff>542925</xdr:colOff>
      <xdr:row>213</xdr:row>
      <xdr:rowOff>95250</xdr:rowOff>
    </xdr:to>
    <xdr:cxnSp macro="">
      <xdr:nvCxnSpPr>
        <xdr:cNvPr id="4" name="Straight Arrow Connector 3">
          <a:extLst>
            <a:ext uri="{FF2B5EF4-FFF2-40B4-BE49-F238E27FC236}">
              <a16:creationId xmlns:a16="http://schemas.microsoft.com/office/drawing/2014/main" id="{00000000-0008-0000-0800-000004000000}"/>
            </a:ext>
          </a:extLst>
        </xdr:cNvPr>
        <xdr:cNvCxnSpPr/>
      </xdr:nvCxnSpPr>
      <xdr:spPr>
        <a:xfrm flipH="1" flipV="1">
          <a:off x="4076700" y="32346900"/>
          <a:ext cx="314325" cy="10477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495300</xdr:colOff>
      <xdr:row>212</xdr:row>
      <xdr:rowOff>152400</xdr:rowOff>
    </xdr:from>
    <xdr:to>
      <xdr:col>8</xdr:col>
      <xdr:colOff>358486</xdr:colOff>
      <xdr:row>221</xdr:row>
      <xdr:rowOff>69273</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4343400" y="26612850"/>
          <a:ext cx="1082386" cy="1059873"/>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wrap="square" rtlCol="0" anchor="t"/>
        <a:lstStyle/>
        <a:p>
          <a:r>
            <a:rPr lang="en-US" sz="1200" b="0" cap="none" spc="0">
              <a:ln w="0"/>
              <a:solidFill>
                <a:schemeClr val="accent1"/>
              </a:solidFill>
              <a:effectLst>
                <a:outerShdw blurRad="38100" dist="25400" dir="5400000" algn="ctr" rotWithShape="0">
                  <a:srgbClr val="6E747A">
                    <a:alpha val="43000"/>
                  </a:srgbClr>
                </a:outerShdw>
              </a:effectLst>
            </a:rPr>
            <a:t>Dropdown list</a:t>
          </a:r>
        </a:p>
      </xdr:txBody>
    </xdr:sp>
    <xdr:clientData/>
  </xdr:twoCellAnchor>
  <xdr:twoCellAnchor>
    <xdr:from>
      <xdr:col>6</xdr:col>
      <xdr:colOff>209550</xdr:colOff>
      <xdr:row>29</xdr:row>
      <xdr:rowOff>161925</xdr:rowOff>
    </xdr:from>
    <xdr:to>
      <xdr:col>6</xdr:col>
      <xdr:colOff>477981</xdr:colOff>
      <xdr:row>30</xdr:row>
      <xdr:rowOff>101312</xdr:rowOff>
    </xdr:to>
    <xdr:cxnSp macro="">
      <xdr:nvCxnSpPr>
        <xdr:cNvPr id="6" name="Straight Arrow Connector 5">
          <a:extLst>
            <a:ext uri="{FF2B5EF4-FFF2-40B4-BE49-F238E27FC236}">
              <a16:creationId xmlns:a16="http://schemas.microsoft.com/office/drawing/2014/main" id="{00000000-0008-0000-0800-000006000000}"/>
            </a:ext>
          </a:extLst>
        </xdr:cNvPr>
        <xdr:cNvCxnSpPr>
          <a:cxnSpLocks/>
        </xdr:cNvCxnSpPr>
      </xdr:nvCxnSpPr>
      <xdr:spPr>
        <a:xfrm flipH="1" flipV="1">
          <a:off x="4057650" y="5343525"/>
          <a:ext cx="268431" cy="1298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434686</xdr:colOff>
      <xdr:row>29</xdr:row>
      <xdr:rowOff>170585</xdr:rowOff>
    </xdr:from>
    <xdr:to>
      <xdr:col>8</xdr:col>
      <xdr:colOff>297872</xdr:colOff>
      <xdr:row>31</xdr:row>
      <xdr:rowOff>0</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4282786" y="5352185"/>
          <a:ext cx="1082386" cy="285750"/>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wrap="square" rtlCol="0" anchor="t"/>
        <a:lstStyle/>
        <a:p>
          <a:r>
            <a:rPr lang="en-US" sz="1200" b="0" cap="none" spc="0">
              <a:ln w="0"/>
              <a:solidFill>
                <a:schemeClr val="accent1"/>
              </a:solidFill>
              <a:effectLst>
                <a:outerShdw blurRad="38100" dist="25400" dir="5400000" algn="ctr" rotWithShape="0">
                  <a:srgbClr val="6E747A">
                    <a:alpha val="43000"/>
                  </a:srgbClr>
                </a:outerShdw>
              </a:effectLst>
            </a:rPr>
            <a:t>Dropdown list</a:t>
          </a:r>
        </a:p>
      </xdr:txBody>
    </xdr:sp>
    <xdr:clientData/>
  </xdr:twoCellAnchor>
  <xdr:twoCellAnchor>
    <xdr:from>
      <xdr:col>6</xdr:col>
      <xdr:colOff>425161</xdr:colOff>
      <xdr:row>31</xdr:row>
      <xdr:rowOff>0</xdr:rowOff>
    </xdr:from>
    <xdr:to>
      <xdr:col>8</xdr:col>
      <xdr:colOff>288347</xdr:colOff>
      <xdr:row>31</xdr:row>
      <xdr:rowOff>75335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4273261" y="6304685"/>
          <a:ext cx="1082386" cy="285750"/>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wrap="square" rtlCol="0" anchor="t"/>
        <a:lstStyle/>
        <a:p>
          <a:r>
            <a:rPr lang="en-US" sz="1200" b="0" cap="none" spc="0">
              <a:ln w="0"/>
              <a:solidFill>
                <a:schemeClr val="accent1"/>
              </a:solidFill>
              <a:effectLst>
                <a:outerShdw blurRad="38100" dist="25400" dir="5400000" algn="ctr" rotWithShape="0">
                  <a:srgbClr val="6E747A">
                    <a:alpha val="43000"/>
                  </a:srgbClr>
                </a:outerShdw>
              </a:effectLst>
            </a:rPr>
            <a:t>Dropdown list</a:t>
          </a:r>
        </a:p>
      </xdr:txBody>
    </xdr:sp>
    <xdr:clientData/>
  </xdr:twoCellAnchor>
  <xdr:twoCellAnchor>
    <xdr:from>
      <xdr:col>6</xdr:col>
      <xdr:colOff>200025</xdr:colOff>
      <xdr:row>39</xdr:row>
      <xdr:rowOff>161925</xdr:rowOff>
    </xdr:from>
    <xdr:to>
      <xdr:col>6</xdr:col>
      <xdr:colOff>468456</xdr:colOff>
      <xdr:row>40</xdr:row>
      <xdr:rowOff>101312</xdr:rowOff>
    </xdr:to>
    <xdr:cxnSp macro="">
      <xdr:nvCxnSpPr>
        <xdr:cNvPr id="10" name="Straight Arrow Connector 9">
          <a:extLst>
            <a:ext uri="{FF2B5EF4-FFF2-40B4-BE49-F238E27FC236}">
              <a16:creationId xmlns:a16="http://schemas.microsoft.com/office/drawing/2014/main" id="{00000000-0008-0000-0800-00000A000000}"/>
            </a:ext>
          </a:extLst>
        </xdr:cNvPr>
        <xdr:cNvCxnSpPr>
          <a:cxnSpLocks/>
        </xdr:cNvCxnSpPr>
      </xdr:nvCxnSpPr>
      <xdr:spPr>
        <a:xfrm flipH="1" flipV="1">
          <a:off x="4048125" y="7248525"/>
          <a:ext cx="268431" cy="1298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425161</xdr:colOff>
      <xdr:row>39</xdr:row>
      <xdr:rowOff>170585</xdr:rowOff>
    </xdr:from>
    <xdr:to>
      <xdr:col>8</xdr:col>
      <xdr:colOff>288347</xdr:colOff>
      <xdr:row>41</xdr:row>
      <xdr:rowOff>75335</xdr:rowOff>
    </xdr:to>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4273261" y="7257185"/>
          <a:ext cx="1082386" cy="285750"/>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wrap="square" rtlCol="0" anchor="t"/>
        <a:lstStyle/>
        <a:p>
          <a:r>
            <a:rPr lang="en-US" sz="1200" b="0" cap="none" spc="0">
              <a:ln w="0"/>
              <a:solidFill>
                <a:schemeClr val="accent1"/>
              </a:solidFill>
              <a:effectLst>
                <a:outerShdw blurRad="38100" dist="25400" dir="5400000" algn="ctr" rotWithShape="0">
                  <a:srgbClr val="6E747A">
                    <a:alpha val="43000"/>
                  </a:srgbClr>
                </a:outerShdw>
              </a:effectLst>
            </a:rPr>
            <a:t>Dropdown list</a:t>
          </a:r>
        </a:p>
      </xdr:txBody>
    </xdr:sp>
    <xdr:clientData/>
  </xdr:twoCellAnchor>
  <xdr:twoCellAnchor>
    <xdr:from>
      <xdr:col>6</xdr:col>
      <xdr:colOff>209550</xdr:colOff>
      <xdr:row>44</xdr:row>
      <xdr:rowOff>171450</xdr:rowOff>
    </xdr:from>
    <xdr:to>
      <xdr:col>6</xdr:col>
      <xdr:colOff>477981</xdr:colOff>
      <xdr:row>45</xdr:row>
      <xdr:rowOff>110837</xdr:rowOff>
    </xdr:to>
    <xdr:cxnSp macro="">
      <xdr:nvCxnSpPr>
        <xdr:cNvPr id="12" name="Straight Arrow Connector 11">
          <a:extLst>
            <a:ext uri="{FF2B5EF4-FFF2-40B4-BE49-F238E27FC236}">
              <a16:creationId xmlns:a16="http://schemas.microsoft.com/office/drawing/2014/main" id="{00000000-0008-0000-0800-00000C000000}"/>
            </a:ext>
          </a:extLst>
        </xdr:cNvPr>
        <xdr:cNvCxnSpPr>
          <a:cxnSpLocks/>
        </xdr:cNvCxnSpPr>
      </xdr:nvCxnSpPr>
      <xdr:spPr>
        <a:xfrm flipH="1" flipV="1">
          <a:off x="4057650" y="8210550"/>
          <a:ext cx="268431" cy="1298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434686</xdr:colOff>
      <xdr:row>44</xdr:row>
      <xdr:rowOff>180110</xdr:rowOff>
    </xdr:from>
    <xdr:to>
      <xdr:col>8</xdr:col>
      <xdr:colOff>297872</xdr:colOff>
      <xdr:row>47</xdr:row>
      <xdr:rowOff>84860</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4282786" y="8219210"/>
          <a:ext cx="1082386" cy="285750"/>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wrap="square" rtlCol="0" anchor="t"/>
        <a:lstStyle/>
        <a:p>
          <a:r>
            <a:rPr lang="en-US" sz="1200" b="0" cap="none" spc="0">
              <a:ln w="0"/>
              <a:solidFill>
                <a:schemeClr val="accent1"/>
              </a:solidFill>
              <a:effectLst>
                <a:outerShdw blurRad="38100" dist="25400" dir="5400000" algn="ctr" rotWithShape="0">
                  <a:srgbClr val="6E747A">
                    <a:alpha val="43000"/>
                  </a:srgbClr>
                </a:outerShdw>
              </a:effectLst>
            </a:rPr>
            <a:t>Dropdown list</a:t>
          </a:r>
        </a:p>
      </xdr:txBody>
    </xdr:sp>
    <xdr:clientData/>
  </xdr:twoCellAnchor>
  <xdr:twoCellAnchor>
    <xdr:from>
      <xdr:col>6</xdr:col>
      <xdr:colOff>200025</xdr:colOff>
      <xdr:row>34</xdr:row>
      <xdr:rowOff>161925</xdr:rowOff>
    </xdr:from>
    <xdr:to>
      <xdr:col>6</xdr:col>
      <xdr:colOff>468456</xdr:colOff>
      <xdr:row>35</xdr:row>
      <xdr:rowOff>101312</xdr:rowOff>
    </xdr:to>
    <xdr:cxnSp macro="">
      <xdr:nvCxnSpPr>
        <xdr:cNvPr id="15" name="Straight Arrow Connector 14">
          <a:extLst>
            <a:ext uri="{FF2B5EF4-FFF2-40B4-BE49-F238E27FC236}">
              <a16:creationId xmlns:a16="http://schemas.microsoft.com/office/drawing/2014/main" id="{00000000-0008-0000-0800-00000F000000}"/>
            </a:ext>
          </a:extLst>
        </xdr:cNvPr>
        <xdr:cNvCxnSpPr>
          <a:cxnSpLocks/>
        </xdr:cNvCxnSpPr>
      </xdr:nvCxnSpPr>
      <xdr:spPr>
        <a:xfrm flipH="1" flipV="1">
          <a:off x="4048125" y="6715125"/>
          <a:ext cx="268431" cy="1298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425161</xdr:colOff>
      <xdr:row>34</xdr:row>
      <xdr:rowOff>170585</xdr:rowOff>
    </xdr:from>
    <xdr:to>
      <xdr:col>8</xdr:col>
      <xdr:colOff>288347</xdr:colOff>
      <xdr:row>36</xdr:row>
      <xdr:rowOff>75335</xdr:rowOff>
    </xdr:to>
    <xdr:sp macro="" textlink="">
      <xdr:nvSpPr>
        <xdr:cNvPr id="16" name="TextBox 15">
          <a:extLst>
            <a:ext uri="{FF2B5EF4-FFF2-40B4-BE49-F238E27FC236}">
              <a16:creationId xmlns:a16="http://schemas.microsoft.com/office/drawing/2014/main" id="{00000000-0008-0000-0800-000010000000}"/>
            </a:ext>
          </a:extLst>
        </xdr:cNvPr>
        <xdr:cNvSpPr txBox="1"/>
      </xdr:nvSpPr>
      <xdr:spPr>
        <a:xfrm>
          <a:off x="4273261" y="6723785"/>
          <a:ext cx="1082386" cy="285750"/>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wrap="square" rtlCol="0" anchor="t"/>
        <a:lstStyle/>
        <a:p>
          <a:r>
            <a:rPr lang="en-US" sz="1200" b="0" cap="none" spc="0">
              <a:ln w="0"/>
              <a:solidFill>
                <a:schemeClr val="accent1"/>
              </a:solidFill>
              <a:effectLst>
                <a:outerShdw blurRad="38100" dist="25400" dir="5400000" algn="ctr" rotWithShape="0">
                  <a:srgbClr val="6E747A">
                    <a:alpha val="43000"/>
                  </a:srgbClr>
                </a:outerShdw>
              </a:effectLst>
            </a:rPr>
            <a:t>Dropdown list</a:t>
          </a:r>
        </a:p>
      </xdr:txBody>
    </xdr:sp>
    <xdr:clientData/>
  </xdr:twoCellAnchor>
  <xdr:twoCellAnchor editAs="oneCell">
    <xdr:from>
      <xdr:col>0</xdr:col>
      <xdr:colOff>542925</xdr:colOff>
      <xdr:row>1</xdr:row>
      <xdr:rowOff>28575</xdr:rowOff>
    </xdr:from>
    <xdr:to>
      <xdr:col>3</xdr:col>
      <xdr:colOff>662918</xdr:colOff>
      <xdr:row>3</xdr:row>
      <xdr:rowOff>57194</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542925" y="219075"/>
          <a:ext cx="1948793" cy="40961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1200150</xdr:colOff>
          <xdr:row>22</xdr:row>
          <xdr:rowOff>76200</xdr:rowOff>
        </xdr:from>
        <xdr:to>
          <xdr:col>13</xdr:col>
          <xdr:colOff>2209800</xdr:colOff>
          <xdr:row>24</xdr:row>
          <xdr:rowOff>28575</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900-00000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see parameter descriptions and unit (s)</a:t>
              </a:r>
            </a:p>
          </xdr:txBody>
        </xdr:sp>
        <xdr:clientData fPrintsWithSheet="0"/>
      </xdr:twoCellAnchor>
    </mc:Choice>
    <mc:Fallback/>
  </mc:AlternateContent>
  <xdr:twoCellAnchor editAs="oneCell">
    <xdr:from>
      <xdr:col>0</xdr:col>
      <xdr:colOff>542925</xdr:colOff>
      <xdr:row>1</xdr:row>
      <xdr:rowOff>28575</xdr:rowOff>
    </xdr:from>
    <xdr:to>
      <xdr:col>3</xdr:col>
      <xdr:colOff>662918</xdr:colOff>
      <xdr:row>3</xdr:row>
      <xdr:rowOff>57194</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tretch>
          <a:fillRect/>
        </a:stretch>
      </xdr:blipFill>
      <xdr:spPr>
        <a:xfrm>
          <a:off x="542925" y="219075"/>
          <a:ext cx="1948793" cy="40961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18</xdr:row>
          <xdr:rowOff>152400</xdr:rowOff>
        </xdr:from>
        <xdr:to>
          <xdr:col>7</xdr:col>
          <xdr:colOff>2247900</xdr:colOff>
          <xdr:row>20</xdr:row>
          <xdr:rowOff>104775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A00-00000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see parameter descriptions and unit (s)</a:t>
              </a:r>
            </a:p>
          </xdr:txBody>
        </xdr:sp>
        <xdr:clientData fPrintsWithSheet="0"/>
      </xdr:twoCellAnchor>
    </mc:Choice>
    <mc:Fallback/>
  </mc:AlternateContent>
  <xdr:twoCellAnchor editAs="oneCell">
    <xdr:from>
      <xdr:col>0</xdr:col>
      <xdr:colOff>542925</xdr:colOff>
      <xdr:row>1</xdr:row>
      <xdr:rowOff>28575</xdr:rowOff>
    </xdr:from>
    <xdr:to>
      <xdr:col>3</xdr:col>
      <xdr:colOff>662918</xdr:colOff>
      <xdr:row>3</xdr:row>
      <xdr:rowOff>57194</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542925" y="219075"/>
          <a:ext cx="1948793" cy="40961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18</xdr:row>
          <xdr:rowOff>152400</xdr:rowOff>
        </xdr:from>
        <xdr:to>
          <xdr:col>8</xdr:col>
          <xdr:colOff>0</xdr:colOff>
          <xdr:row>20</xdr:row>
          <xdr:rowOff>104775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see parameter descriptions and unit (s)</a:t>
              </a:r>
            </a:p>
          </xdr:txBody>
        </xdr:sp>
        <xdr:clientData fPrintsWithSheet="0"/>
      </xdr:twoCellAnchor>
    </mc:Choice>
    <mc:Fallback/>
  </mc:AlternateContent>
  <xdr:twoCellAnchor editAs="oneCell">
    <xdr:from>
      <xdr:col>0</xdr:col>
      <xdr:colOff>542925</xdr:colOff>
      <xdr:row>1</xdr:row>
      <xdr:rowOff>28575</xdr:rowOff>
    </xdr:from>
    <xdr:to>
      <xdr:col>3</xdr:col>
      <xdr:colOff>662918</xdr:colOff>
      <xdr:row>3</xdr:row>
      <xdr:rowOff>57194</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42925" y="219075"/>
          <a:ext cx="1948793" cy="40961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952500</xdr:colOff>
          <xdr:row>18</xdr:row>
          <xdr:rowOff>133350</xdr:rowOff>
        </xdr:from>
        <xdr:to>
          <xdr:col>7</xdr:col>
          <xdr:colOff>3171825</xdr:colOff>
          <xdr:row>20</xdr:row>
          <xdr:rowOff>85725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C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see parameter descriptions and unit (s)</a:t>
              </a:r>
            </a:p>
          </xdr:txBody>
        </xdr:sp>
        <xdr:clientData fPrintsWithSheet="0"/>
      </xdr:twoCellAnchor>
    </mc:Choice>
    <mc:Fallback/>
  </mc:AlternateContent>
  <xdr:twoCellAnchor editAs="oneCell">
    <xdr:from>
      <xdr:col>0</xdr:col>
      <xdr:colOff>542924</xdr:colOff>
      <xdr:row>1</xdr:row>
      <xdr:rowOff>28575</xdr:rowOff>
    </xdr:from>
    <xdr:to>
      <xdr:col>3</xdr:col>
      <xdr:colOff>662917</xdr:colOff>
      <xdr:row>3</xdr:row>
      <xdr:rowOff>57194</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542924" y="219075"/>
          <a:ext cx="1948793" cy="40961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323850</xdr:colOff>
          <xdr:row>12</xdr:row>
          <xdr:rowOff>161925</xdr:rowOff>
        </xdr:from>
        <xdr:to>
          <xdr:col>15</xdr:col>
          <xdr:colOff>200025</xdr:colOff>
          <xdr:row>14</xdr:row>
          <xdr:rowOff>209550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D00-00000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see more about project sinks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333375</xdr:colOff>
          <xdr:row>15</xdr:row>
          <xdr:rowOff>85725</xdr:rowOff>
        </xdr:from>
        <xdr:to>
          <xdr:col>15</xdr:col>
          <xdr:colOff>209550</xdr:colOff>
          <xdr:row>17</xdr:row>
          <xdr:rowOff>95250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D00-000007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see more about project emissions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333375</xdr:colOff>
          <xdr:row>18</xdr:row>
          <xdr:rowOff>28575</xdr:rowOff>
        </xdr:from>
        <xdr:to>
          <xdr:col>15</xdr:col>
          <xdr:colOff>209550</xdr:colOff>
          <xdr:row>20</xdr:row>
          <xdr:rowOff>47625</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D00-00000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see more about leakage emissions</a:t>
              </a:r>
            </a:p>
          </xdr:txBody>
        </xdr:sp>
        <xdr:clientData fPrintsWithSheet="0"/>
      </xdr:twoCellAnchor>
    </mc:Choice>
    <mc:Fallback/>
  </mc:AlternateContent>
  <xdr:twoCellAnchor editAs="oneCell">
    <xdr:from>
      <xdr:col>0</xdr:col>
      <xdr:colOff>581025</xdr:colOff>
      <xdr:row>1</xdr:row>
      <xdr:rowOff>66674</xdr:rowOff>
    </xdr:from>
    <xdr:to>
      <xdr:col>6</xdr:col>
      <xdr:colOff>302652</xdr:colOff>
      <xdr:row>3</xdr:row>
      <xdr:rowOff>57149</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581025" y="257174"/>
          <a:ext cx="3379227" cy="37147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27</xdr:row>
      <xdr:rowOff>0</xdr:rowOff>
    </xdr:from>
    <xdr:to>
      <xdr:col>5</xdr:col>
      <xdr:colOff>1362075</xdr:colOff>
      <xdr:row>61</xdr:row>
      <xdr:rowOff>1123950</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0" y="15173325"/>
          <a:ext cx="6191250" cy="8353425"/>
        </a:xfrm>
        <a:prstGeom prst="rect">
          <a:avLst/>
        </a:prstGeom>
      </xdr:spPr>
    </xdr:pic>
    <xdr:clientData/>
  </xdr:twoCellAnchor>
  <xdr:twoCellAnchor editAs="oneCell">
    <xdr:from>
      <xdr:col>0</xdr:col>
      <xdr:colOff>0</xdr:colOff>
      <xdr:row>83</xdr:row>
      <xdr:rowOff>0</xdr:rowOff>
    </xdr:from>
    <xdr:to>
      <xdr:col>5</xdr:col>
      <xdr:colOff>1762125</xdr:colOff>
      <xdr:row>124</xdr:row>
      <xdr:rowOff>142875</xdr:rowOff>
    </xdr:to>
    <xdr:pic>
      <xdr:nvPicPr>
        <xdr:cNvPr id="3" name="Picture 2">
          <a:extLst>
            <a:ext uri="{FF2B5EF4-FFF2-40B4-BE49-F238E27FC236}">
              <a16:creationId xmlns:a16="http://schemas.microsoft.com/office/drawing/2014/main" id="{00000000-0008-0000-0E00-000003000000}"/>
            </a:ext>
            <a:ext uri="{147F2762-F138-4A5C-976F-8EAC2B608ADB}">
              <a16:predDERef xmlns:a16="http://schemas.microsoft.com/office/drawing/2014/main" pred="{27F5C1CF-995F-F21A-1878-15878197620D}"/>
            </a:ext>
          </a:extLst>
        </xdr:cNvPr>
        <xdr:cNvPicPr>
          <a:picLocks noChangeAspect="1"/>
        </xdr:cNvPicPr>
      </xdr:nvPicPr>
      <xdr:blipFill>
        <a:blip xmlns:r="http://schemas.openxmlformats.org/officeDocument/2006/relationships" r:embed="rId2"/>
        <a:stretch>
          <a:fillRect/>
        </a:stretch>
      </xdr:blipFill>
      <xdr:spPr>
        <a:xfrm>
          <a:off x="0" y="35737800"/>
          <a:ext cx="6591300" cy="795337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Jailine Molina" id="{CAA5B468-94D1-43D2-A212-C4E67BA7EDE6}" userId="S::jailine.molina@envisionblockchain.com::dcbde9ba-19ec-4293-81b0-e7f5b6f86adb" providerId="AD"/>
  <person displayName="Luiz Hernandez" id="{59DADE73-7662-4053-8B54-AC1FD433604A}" userId="S::luiz.hernandez@envisionblockchain.com::18725e9c-2f54-407d-8eb5-9ce1c3438bcf"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20" dT="2024-01-04T19:28:39.27" personId="{CAA5B468-94D1-43D2-A212-C4E67BA7EDE6}" id="{AD1C9E75-53B0-4C83-87B0-3A5ADE01A1E8}">
    <text>Equation 1 or Equation 2</text>
  </threadedComment>
  <threadedComment ref="D47" dT="2024-01-04T19:28:39.27" personId="{CAA5B468-94D1-43D2-A212-C4E67BA7EDE6}" id="{8BE7EA6D-3868-4146-89A9-BC2DEA0556B6}">
    <text>Equation 1</text>
  </threadedComment>
  <threadedComment ref="D62" dT="2024-01-04T19:28:39.27" personId="{CAA5B468-94D1-43D2-A212-C4E67BA7EDE6}" id="{6EEFCF56-6508-470A-B3A3-0B21984D861A}">
    <text>Equation 2</text>
  </threadedComment>
  <threadedComment ref="D110" dT="2024-01-04T21:08:23.44" personId="{CAA5B468-94D1-43D2-A212-C4E67BA7EDE6}" id="{F0EB1006-F7D2-4990-9111-D5C8368E4DDB}">
    <text>Equation 5</text>
  </threadedComment>
  <threadedComment ref="D112" dT="2024-01-04T21:02:16.66" personId="{CAA5B468-94D1-43D2-A212-C4E67BA7EDE6}" id="{1EE897E1-4744-4FE8-B385-852014B6670A}">
    <text>Equation 3</text>
  </threadedComment>
  <threadedComment ref="D123" dT="2024-01-04T19:28:39.27" personId="{CAA5B468-94D1-43D2-A212-C4E67BA7EDE6}" id="{B296AE45-F9D0-4A5E-A73E-F5358857B8A4}">
    <text>Equation 2</text>
  </threadedComment>
  <threadedComment ref="D145" dT="2024-01-04T21:08:23.44" personId="{CAA5B468-94D1-43D2-A212-C4E67BA7EDE6}" id="{A9AE7799-200D-4297-9BBF-EBB111A87DD3}">
    <text>Equation 5</text>
  </threadedComment>
  <threadedComment ref="D155" dT="2024-01-04T21:08:23.44" personId="{CAA5B468-94D1-43D2-A212-C4E67BA7EDE6}" id="{AA32574C-B7B9-4568-828D-BB6F43B7430C}">
    <text>Equation 2</text>
  </threadedComment>
</ThreadedComments>
</file>

<file path=xl/threadedComments/threadedComment2.xml><?xml version="1.0" encoding="utf-8"?>
<ThreadedComments xmlns="http://schemas.microsoft.com/office/spreadsheetml/2018/threadedcomments" xmlns:x="http://schemas.openxmlformats.org/spreadsheetml/2006/main">
  <threadedComment ref="D58" dT="2024-01-04T19:28:39.27" personId="{CAA5B468-94D1-43D2-A212-C4E67BA7EDE6}" id="{F1CD6E12-ECB9-4785-A52E-4E35EF05132D}">
    <text>Equation 6</text>
  </threadedComment>
  <threadedComment ref="D60" dT="2024-01-11T21:36:57.07" personId="{CAA5B468-94D1-43D2-A212-C4E67BA7EDE6}" id="{E38A7D64-FB6B-4BE3-B798-2F9544E45CE1}">
    <text>Equation 7</text>
  </threadedComment>
  <threadedComment ref="D62" dT="2024-01-11T21:36:41.66" personId="{CAA5B468-94D1-43D2-A212-C4E67BA7EDE6}" id="{4889830D-D138-4D4E-B522-61B88E250744}">
    <text>Equation 8</text>
  </threadedComment>
  <threadedComment ref="D64" dT="2024-01-11T21:36:28.93" personId="{CAA5B468-94D1-43D2-A212-C4E67BA7EDE6}" id="{06FF7492-7333-43A8-A7BA-71D3BE4DE5AE}">
    <text>Equation 9</text>
  </threadedComment>
</ThreadedComments>
</file>

<file path=xl/threadedComments/threadedComment3.xml><?xml version="1.0" encoding="utf-8"?>
<ThreadedComments xmlns="http://schemas.microsoft.com/office/spreadsheetml/2018/threadedcomments" xmlns:x="http://schemas.openxmlformats.org/spreadsheetml/2006/main">
  <threadedComment ref="D14" dT="2024-01-09T19:08:37.68" personId="{CAA5B468-94D1-43D2-A212-C4E67BA7EDE6}" id="{488C2ABA-426F-45C2-A404-FC7AB92F210D}">
    <text>Partial Equation 7</text>
  </threadedComment>
  <threadedComment ref="D16" dT="2024-01-09T19:08:49.41" personId="{CAA5B468-94D1-43D2-A212-C4E67BA7EDE6}" id="{636DFBE5-751B-4A26-8C94-D810145BDF8D}">
    <text>Partial Equation 8</text>
  </threadedComment>
</ThreadedComments>
</file>

<file path=xl/threadedComments/threadedComment4.xml><?xml version="1.0" encoding="utf-8"?>
<ThreadedComments xmlns="http://schemas.microsoft.com/office/spreadsheetml/2018/threadedcomments" xmlns:x="http://schemas.openxmlformats.org/spreadsheetml/2006/main">
  <threadedComment ref="D51" dT="2024-01-04T19:28:39.27" personId="{CAA5B468-94D1-43D2-A212-C4E67BA7EDE6}" id="{38472B7F-6D29-4BDA-9708-A35B856C5EA3}">
    <text>Equation 10</text>
  </threadedComment>
  <threadedComment ref="D65" dT="2024-01-16T19:19:45.15" personId="{CAA5B468-94D1-43D2-A212-C4E67BA7EDE6}" id="{907354D2-489F-48DD-8F00-C66D695B406C}">
    <text>Equation 11</text>
  </threadedComment>
  <threadedComment ref="D95" dT="2024-01-16T19:19:52.96" personId="{CAA5B468-94D1-43D2-A212-C4E67BA7EDE6}" id="{E5427C35-DE3D-4CD5-ABB4-5EA8D4ABBFE5}">
    <text>Equation 12</text>
  </threadedComment>
  <threadedComment ref="D125" dT="2024-01-16T19:20:00.39" personId="{CAA5B468-94D1-43D2-A212-C4E67BA7EDE6}" id="{A98EA112-956B-4FFB-AD16-F45354E1F784}">
    <text>Equation 13</text>
  </threadedComment>
  <threadedComment ref="D155" dT="2024-01-16T19:20:06.85" personId="{CAA5B468-94D1-43D2-A212-C4E67BA7EDE6}" id="{FD882CBD-72F7-4021-9E24-762DAEB9F7EB}">
    <text>Equation 14</text>
  </threadedComment>
  <threadedComment ref="D185" dT="2024-01-16T19:06:39.01" personId="{CAA5B468-94D1-43D2-A212-C4E67BA7EDE6}" id="{B0A8BED5-ABDA-410B-ADE4-4D415DB8B9EF}">
    <text>Equation 15</text>
  </threadedComment>
  <threadedComment ref="D222" dT="2024-01-16T19:11:09.26" personId="{CAA5B468-94D1-43D2-A212-C4E67BA7EDE6}" id="{580F2E08-FC8B-4520-91C2-C64C19B813BD}">
    <text>Equation 16</text>
  </threadedComment>
  <threadedComment ref="D222" dT="2024-01-16T23:19:44.65" personId="{CAA5B468-94D1-43D2-A212-C4E67BA7EDE6}" id="{CDBFA08B-C385-4FBA-BF01-8BB9FCE2E8AF}" parentId="{580F2E08-FC8B-4520-91C2-C64C19B813BD}">
    <text>If D45 is "Yes" then this parameter = 0</text>
  </threadedComment>
  <threadedComment ref="D250" dT="2024-01-16T19:11:36.83" personId="{CAA5B468-94D1-43D2-A212-C4E67BA7EDE6}" id="{2E874CFC-EE49-43F2-84E6-DA5487691118}">
    <text>Equation 17</text>
  </threadedComment>
</ThreadedComments>
</file>

<file path=xl/threadedComments/threadedComment5.xml><?xml version="1.0" encoding="utf-8"?>
<ThreadedComments xmlns="http://schemas.microsoft.com/office/spreadsheetml/2018/threadedcomments" xmlns:x="http://schemas.openxmlformats.org/spreadsheetml/2006/main">
  <threadedComment ref="D14" dT="2024-01-09T19:08:37.68" personId="{CAA5B468-94D1-43D2-A212-C4E67BA7EDE6}" id="{A608D61C-0DB1-43A5-B31F-68CD0AA9CF44}">
    <text>Partial Equation 11</text>
  </threadedComment>
  <threadedComment ref="D16" dT="2024-01-09T19:08:37.68" personId="{CAA5B468-94D1-43D2-A212-C4E67BA7EDE6}" id="{1A82786A-E363-451C-9800-5C81E74513E1}">
    <text>Partial Equation 12</text>
  </threadedComment>
  <threadedComment ref="D18" dT="2024-01-09T19:08:37.68" personId="{CAA5B468-94D1-43D2-A212-C4E67BA7EDE6}" id="{58EFFDCD-31AF-43FB-B9C3-AC0A68B17436}">
    <text>Partial Equation 13</text>
  </threadedComment>
  <threadedComment ref="D20" dT="2024-01-09T19:08:49.41" personId="{CAA5B468-94D1-43D2-A212-C4E67BA7EDE6}" id="{9667FAFA-E775-4287-9C73-92E56BCD7298}">
    <text>Partial Equation 14</text>
  </threadedComment>
</ThreadedComments>
</file>

<file path=xl/threadedComments/threadedComment6.xml><?xml version="1.0" encoding="utf-8"?>
<ThreadedComments xmlns="http://schemas.microsoft.com/office/spreadsheetml/2018/threadedcomments" xmlns:x="http://schemas.openxmlformats.org/spreadsheetml/2006/main">
  <threadedComment ref="D17" dT="2024-01-09T19:08:37.68" personId="{CAA5B468-94D1-43D2-A212-C4E67BA7EDE6}" id="{1162D3B2-D0C6-4B06-A2A3-5EF2976AB0A4}">
    <text>Equation 15</text>
  </threadedComment>
</ThreadedComments>
</file>

<file path=xl/threadedComments/threadedComment7.xml><?xml version="1.0" encoding="utf-8"?>
<ThreadedComments xmlns="http://schemas.microsoft.com/office/spreadsheetml/2018/threadedcomments" xmlns:x="http://schemas.openxmlformats.org/spreadsheetml/2006/main">
  <threadedComment ref="D17" dT="2024-01-09T19:08:37.68" personId="{CAA5B468-94D1-43D2-A212-C4E67BA7EDE6}" id="{0C722CE3-4BC7-4F68-B719-73A032429191}">
    <text>Equation 16</text>
  </threadedComment>
</ThreadedComments>
</file>

<file path=xl/threadedComments/threadedComment8.xml><?xml version="1.0" encoding="utf-8"?>
<ThreadedComments xmlns="http://schemas.microsoft.com/office/spreadsheetml/2018/threadedcomments" xmlns:x="http://schemas.openxmlformats.org/spreadsheetml/2006/main">
  <threadedComment ref="D17" dT="2024-01-09T19:08:37.68" personId="{CAA5B468-94D1-43D2-A212-C4E67BA7EDE6}" id="{D3B80DAE-1C09-438C-B0FC-8F206BFA72E5}">
    <text>Equation 17</text>
  </threadedComment>
</ThreadedComments>
</file>

<file path=xl/threadedComments/threadedComment9.xml><?xml version="1.0" encoding="utf-8"?>
<ThreadedComments xmlns="http://schemas.microsoft.com/office/spreadsheetml/2018/threadedcomments" xmlns:x="http://schemas.openxmlformats.org/spreadsheetml/2006/main">
  <threadedComment ref="D15" dT="2024-01-04T19:28:39.27" personId="{CAA5B468-94D1-43D2-A212-C4E67BA7EDE6}" id="{EB37B988-E124-4309-94DE-7C762649E513}">
    <text>Equation 1 or Equation 2</text>
  </threadedComment>
  <threadedComment ref="D17" dT="2024-01-16T19:19:45.15" personId="{CAA5B468-94D1-43D2-A212-C4E67BA7EDE6}" id="{A4A72285-445E-484B-B015-00D3C7A3BFDE}">
    <text>Equation 6</text>
  </threadedComment>
  <threadedComment ref="D19" dT="2024-01-16T19:19:45.15" personId="{CAA5B468-94D1-43D2-A212-C4E67BA7EDE6}" id="{CC8AD4B8-0D52-40F5-A69C-F4052F871579}">
    <text>Equation 10</text>
  </threadedComment>
  <threadedComment ref="D24" dT="2024-01-16T19:19:45.15" personId="{CAA5B468-94D1-43D2-A212-C4E67BA7EDE6}" id="{ABB4F612-6683-4876-B5DC-DF14B08827A4}">
    <text>Equation 18</text>
  </threadedComment>
</ThreadedComments>
</file>

<file path=xl/threadedComments/threadedComment10.xml><?xml version="1.0" encoding="utf-8"?>
<ThreadedComments xmlns="http://schemas.microsoft.com/office/spreadsheetml/2018/threadedcomments" xmlns:x="http://schemas.openxmlformats.org/spreadsheetml/2006/main">
  <threadedComment ref="H23" dT="2023-09-06T00:34:53.72" personId="{59DADE73-7662-4053-8B54-AC1FD433604A}" id="{85D371F9-7343-4386-B09E-01FCF4365A69}">
    <text>Possibly need to include Tool 24: Methodological tool: Common practice</text>
  </threadedComment>
  <threadedComment ref="H25" dT="2023-09-06T00:34:53.72" personId="{59DADE73-7662-4053-8B54-AC1FD433604A}" id="{6EF8BF2C-4C60-4B88-9165-886F203E0309}">
    <text>Possibly need to include Tool 24: Methodological tool: Common practice</text>
  </threadedComment>
  <threadedComment ref="H81" dT="2023-09-06T00:34:53.72" personId="{59DADE73-7662-4053-8B54-AC1FD433604A}" id="{D39B02C0-C139-41A4-8D39-46A9BA516459}">
    <text>Possibly need to include Tool 24: Methodological tool: Common practice</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2.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1" Type="http://schemas.openxmlformats.org/officeDocument/2006/relationships/hyperlink" Target="mailto:JT.renew@gmail.com"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6.vml"/><Relationship Id="rId1" Type="http://schemas.openxmlformats.org/officeDocument/2006/relationships/drawing" Target="../drawings/drawing7.xm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7.vml"/><Relationship Id="rId1" Type="http://schemas.openxmlformats.org/officeDocument/2006/relationships/drawing" Target="../drawings/drawing8.xm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28.xml"/><Relationship Id="rId11" Type="http://schemas.microsoft.com/office/2017/10/relationships/threadedComment" Target="../threadedComments/threadedComment4.xml"/><Relationship Id="rId5" Type="http://schemas.openxmlformats.org/officeDocument/2006/relationships/ctrlProp" Target="../ctrlProps/ctrlProp27.xml"/><Relationship Id="rId10" Type="http://schemas.openxmlformats.org/officeDocument/2006/relationships/comments" Target="../comments4.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9.vml"/><Relationship Id="rId1" Type="http://schemas.openxmlformats.org/officeDocument/2006/relationships/drawing" Target="../drawings/drawing10.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10.vml"/><Relationship Id="rId1" Type="http://schemas.openxmlformats.org/officeDocument/2006/relationships/drawing" Target="../drawings/drawing11.x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1.vml"/><Relationship Id="rId1" Type="http://schemas.openxmlformats.org/officeDocument/2006/relationships/drawing" Target="../drawings/drawing12.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12.vml"/><Relationship Id="rId1" Type="http://schemas.openxmlformats.org/officeDocument/2006/relationships/drawing" Target="../drawings/drawing13.xml"/><Relationship Id="rId5" Type="http://schemas.microsoft.com/office/2017/10/relationships/threadedComment" Target="../threadedComments/threadedComment8.xml"/><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6.xml"/><Relationship Id="rId7" Type="http://schemas.microsoft.com/office/2017/10/relationships/threadedComment" Target="../threadedComments/threadedComment9.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omments" Target="../comments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drawing" Target="../drawings/drawing15.xml"/><Relationship Id="rId4"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FDAEC-47C8-4B7D-BCA6-397EADF6A41E}">
  <sheetPr codeName="Sheet13"/>
  <dimension ref="A1:R55"/>
  <sheetViews>
    <sheetView workbookViewId="0">
      <selection activeCell="W7" sqref="W7"/>
    </sheetView>
  </sheetViews>
  <sheetFormatPr defaultRowHeight="15" x14ac:dyDescent="0.25"/>
  <cols>
    <col min="1" max="16384" width="9.140625" style="1"/>
  </cols>
  <sheetData>
    <row r="1" spans="1:18" x14ac:dyDescent="0.25">
      <c r="A1" s="2"/>
      <c r="B1" s="2"/>
      <c r="C1" s="2"/>
      <c r="D1" s="2"/>
      <c r="E1" s="2"/>
      <c r="F1" s="2"/>
      <c r="G1" s="2"/>
      <c r="H1" s="2"/>
      <c r="I1" s="2"/>
      <c r="J1" s="2"/>
      <c r="K1" s="2"/>
      <c r="L1" s="2"/>
      <c r="M1" s="2"/>
      <c r="N1" s="2"/>
      <c r="O1" s="2"/>
      <c r="P1" s="2"/>
      <c r="Q1" s="2"/>
      <c r="R1" s="2"/>
    </row>
    <row r="2" spans="1:18" x14ac:dyDescent="0.25">
      <c r="A2" s="2"/>
      <c r="B2" s="2"/>
      <c r="C2" s="2"/>
      <c r="D2" s="2"/>
      <c r="E2" s="2"/>
      <c r="F2" s="2"/>
      <c r="G2" s="2"/>
      <c r="H2" s="2"/>
      <c r="I2" s="2"/>
      <c r="J2" s="2"/>
      <c r="K2" s="2"/>
      <c r="L2" s="2"/>
      <c r="M2" s="2"/>
      <c r="N2" s="2"/>
      <c r="O2" s="2"/>
      <c r="P2" s="2"/>
      <c r="Q2" s="2"/>
      <c r="R2" s="2"/>
    </row>
    <row r="3" spans="1:18" x14ac:dyDescent="0.25">
      <c r="A3" s="2"/>
      <c r="B3" s="2"/>
      <c r="C3" s="2"/>
      <c r="D3" s="2"/>
      <c r="E3" s="2"/>
      <c r="F3" s="2"/>
      <c r="G3" s="2"/>
      <c r="H3" s="2"/>
      <c r="I3" s="2"/>
      <c r="J3" s="2"/>
      <c r="K3" s="2"/>
      <c r="L3" s="2"/>
      <c r="M3" s="2"/>
      <c r="N3" s="2"/>
      <c r="O3" s="2"/>
      <c r="P3" s="2"/>
      <c r="Q3" s="2"/>
      <c r="R3" s="2"/>
    </row>
    <row r="4" spans="1:18" ht="18.75" x14ac:dyDescent="0.3">
      <c r="A4" s="2"/>
      <c r="B4" s="2"/>
      <c r="C4" s="2"/>
      <c r="D4" s="20"/>
      <c r="E4" s="2"/>
      <c r="F4" s="2"/>
      <c r="G4" s="2"/>
      <c r="H4" s="2"/>
      <c r="I4" s="2"/>
      <c r="J4" s="2"/>
      <c r="K4" s="2"/>
      <c r="L4" s="2"/>
      <c r="M4" s="2"/>
      <c r="N4" s="2"/>
      <c r="O4" s="2"/>
      <c r="P4" s="2"/>
      <c r="Q4" s="2"/>
      <c r="R4" s="2"/>
    </row>
    <row r="5" spans="1:18" x14ac:dyDescent="0.25">
      <c r="A5" s="2"/>
      <c r="B5" s="2"/>
      <c r="C5" s="2"/>
      <c r="D5" s="2"/>
      <c r="E5" s="2"/>
      <c r="F5" s="2"/>
      <c r="G5" s="2"/>
      <c r="H5" s="2"/>
      <c r="I5" s="2"/>
      <c r="J5" s="2"/>
      <c r="K5" s="2"/>
      <c r="L5" s="2"/>
      <c r="M5" s="2"/>
      <c r="N5" s="2"/>
      <c r="O5" s="2"/>
      <c r="P5" s="2"/>
      <c r="Q5" s="2"/>
      <c r="R5" s="2"/>
    </row>
    <row r="6" spans="1:18" x14ac:dyDescent="0.25">
      <c r="A6" s="2"/>
      <c r="B6" s="2"/>
      <c r="C6" s="2"/>
      <c r="D6" s="2"/>
      <c r="E6" s="2"/>
      <c r="F6" s="2"/>
      <c r="G6" s="2"/>
      <c r="H6" s="2"/>
      <c r="I6" s="2"/>
      <c r="J6" s="2"/>
      <c r="K6" s="2"/>
      <c r="L6" s="2"/>
      <c r="M6" s="2"/>
      <c r="N6" s="2"/>
      <c r="O6" s="2"/>
      <c r="P6" s="2"/>
      <c r="Q6" s="2"/>
      <c r="R6" s="2"/>
    </row>
    <row r="7" spans="1:18" x14ac:dyDescent="0.25">
      <c r="A7" s="2"/>
      <c r="B7" s="2"/>
      <c r="C7" s="2"/>
      <c r="D7" s="2"/>
      <c r="E7" s="2"/>
      <c r="F7" s="2"/>
      <c r="G7" s="2"/>
      <c r="H7" s="2"/>
      <c r="I7" s="2"/>
      <c r="J7" s="2"/>
      <c r="K7" s="2"/>
      <c r="L7" s="2"/>
      <c r="M7" s="2"/>
      <c r="N7" s="2"/>
      <c r="O7" s="2"/>
      <c r="P7" s="2"/>
      <c r="Q7" s="2"/>
      <c r="R7" s="2"/>
    </row>
    <row r="8" spans="1:18" ht="15.75" thickBot="1" x14ac:dyDescent="0.3">
      <c r="A8" s="2"/>
      <c r="B8" s="2"/>
      <c r="C8" s="2"/>
      <c r="D8" s="2"/>
      <c r="E8" s="2"/>
      <c r="F8" s="2"/>
      <c r="G8" s="2"/>
      <c r="H8" s="2"/>
      <c r="I8" s="2"/>
      <c r="J8" s="2"/>
      <c r="K8" s="2"/>
      <c r="L8" s="2"/>
      <c r="M8" s="2"/>
      <c r="N8" s="2"/>
      <c r="O8" s="2"/>
      <c r="P8" s="2"/>
      <c r="Q8" s="2"/>
      <c r="R8" s="2"/>
    </row>
    <row r="9" spans="1:18" x14ac:dyDescent="0.25">
      <c r="A9" s="2"/>
      <c r="B9" s="129" t="s">
        <v>299</v>
      </c>
      <c r="C9" s="130"/>
      <c r="D9" s="130"/>
      <c r="E9" s="130"/>
      <c r="F9" s="130"/>
      <c r="G9" s="130"/>
      <c r="H9" s="130"/>
      <c r="I9" s="130"/>
      <c r="J9" s="130"/>
      <c r="K9" s="130"/>
      <c r="L9" s="130"/>
      <c r="M9" s="130"/>
      <c r="N9" s="130"/>
      <c r="O9" s="130"/>
      <c r="P9" s="130"/>
      <c r="Q9" s="131"/>
      <c r="R9" s="2"/>
    </row>
    <row r="10" spans="1:18" x14ac:dyDescent="0.25">
      <c r="A10" s="2"/>
      <c r="B10" s="132"/>
      <c r="C10" s="133"/>
      <c r="D10" s="133"/>
      <c r="E10" s="133"/>
      <c r="F10" s="133"/>
      <c r="G10" s="133"/>
      <c r="H10" s="133"/>
      <c r="I10" s="133"/>
      <c r="J10" s="133"/>
      <c r="K10" s="133"/>
      <c r="L10" s="133"/>
      <c r="M10" s="133"/>
      <c r="N10" s="133"/>
      <c r="O10" s="133"/>
      <c r="P10" s="133"/>
      <c r="Q10" s="134"/>
      <c r="R10" s="2"/>
    </row>
    <row r="11" spans="1:18" ht="33" customHeight="1" thickBot="1" x14ac:dyDescent="0.3">
      <c r="A11" s="2"/>
      <c r="B11" s="135"/>
      <c r="C11" s="136"/>
      <c r="D11" s="136"/>
      <c r="E11" s="136"/>
      <c r="F11" s="136"/>
      <c r="G11" s="136"/>
      <c r="H11" s="136"/>
      <c r="I11" s="136"/>
      <c r="J11" s="136"/>
      <c r="K11" s="136"/>
      <c r="L11" s="136"/>
      <c r="M11" s="136"/>
      <c r="N11" s="136"/>
      <c r="O11" s="136"/>
      <c r="P11" s="136"/>
      <c r="Q11" s="137"/>
      <c r="R11" s="2"/>
    </row>
    <row r="12" spans="1:18" ht="15.75" thickTop="1" x14ac:dyDescent="0.25">
      <c r="A12" s="2"/>
      <c r="B12" s="11"/>
      <c r="C12" s="8"/>
      <c r="D12" s="8"/>
      <c r="E12" s="8"/>
      <c r="F12" s="8"/>
      <c r="G12" s="8"/>
      <c r="H12" s="8"/>
      <c r="I12" s="8"/>
      <c r="J12" s="8"/>
      <c r="K12" s="8"/>
      <c r="L12" s="8"/>
      <c r="M12" s="8"/>
      <c r="N12" s="8"/>
      <c r="O12" s="8"/>
      <c r="P12" s="8"/>
      <c r="Q12" s="12"/>
      <c r="R12" s="2"/>
    </row>
    <row r="13" spans="1:18" x14ac:dyDescent="0.25">
      <c r="A13" s="2"/>
      <c r="B13" s="11"/>
      <c r="C13" s="61"/>
      <c r="D13" s="8"/>
      <c r="E13" s="8"/>
      <c r="F13" s="8"/>
      <c r="G13" s="8"/>
      <c r="H13" s="8"/>
      <c r="I13" s="8"/>
      <c r="J13" s="8"/>
      <c r="K13" s="8"/>
      <c r="L13" s="8"/>
      <c r="M13" s="8"/>
      <c r="N13" s="8"/>
      <c r="O13" s="8"/>
      <c r="P13" s="8"/>
      <c r="Q13" s="12"/>
      <c r="R13" s="2"/>
    </row>
    <row r="14" spans="1:18" x14ac:dyDescent="0.25">
      <c r="A14" s="2"/>
      <c r="B14" s="11"/>
      <c r="C14" s="62" t="s">
        <v>287</v>
      </c>
      <c r="D14" s="8"/>
      <c r="E14" s="8"/>
      <c r="F14" s="8"/>
      <c r="G14" s="8"/>
      <c r="H14" s="8"/>
      <c r="I14" s="8"/>
      <c r="J14" s="8"/>
      <c r="K14" s="8"/>
      <c r="L14" s="8"/>
      <c r="M14" s="8"/>
      <c r="N14" s="8"/>
      <c r="O14" s="8"/>
      <c r="P14" s="8"/>
      <c r="Q14" s="12"/>
      <c r="R14" s="2"/>
    </row>
    <row r="15" spans="1:18" x14ac:dyDescent="0.25">
      <c r="A15" s="2"/>
      <c r="B15" s="11"/>
      <c r="C15" s="8"/>
      <c r="D15" s="8"/>
      <c r="E15" s="8"/>
      <c r="F15" s="8"/>
      <c r="G15" s="8"/>
      <c r="H15" s="8"/>
      <c r="I15" s="8"/>
      <c r="J15" s="8"/>
      <c r="K15" s="8"/>
      <c r="L15" s="8"/>
      <c r="M15" s="8"/>
      <c r="N15" s="8"/>
      <c r="O15" s="8"/>
      <c r="P15" s="8"/>
      <c r="Q15" s="12"/>
      <c r="R15" s="2"/>
    </row>
    <row r="16" spans="1:18" ht="15" customHeight="1" x14ac:dyDescent="0.25">
      <c r="A16" s="2"/>
      <c r="B16" s="11"/>
      <c r="C16" s="128" t="s">
        <v>288</v>
      </c>
      <c r="D16" s="128"/>
      <c r="E16" s="128"/>
      <c r="F16" s="128"/>
      <c r="G16" s="128"/>
      <c r="H16" s="128"/>
      <c r="I16" s="128"/>
      <c r="J16" s="128"/>
      <c r="K16" s="128"/>
      <c r="L16" s="128"/>
      <c r="M16" s="128"/>
      <c r="N16" s="128"/>
      <c r="O16" s="128"/>
      <c r="P16" s="128"/>
      <c r="Q16" s="12"/>
      <c r="R16" s="2"/>
    </row>
    <row r="17" spans="1:18" x14ac:dyDescent="0.25">
      <c r="A17" s="2"/>
      <c r="B17" s="11"/>
      <c r="C17" s="128"/>
      <c r="D17" s="128"/>
      <c r="E17" s="128"/>
      <c r="F17" s="128"/>
      <c r="G17" s="128"/>
      <c r="H17" s="128"/>
      <c r="I17" s="128"/>
      <c r="J17" s="128"/>
      <c r="K17" s="128"/>
      <c r="L17" s="128"/>
      <c r="M17" s="128"/>
      <c r="N17" s="128"/>
      <c r="O17" s="128"/>
      <c r="P17" s="128"/>
      <c r="Q17" s="12"/>
      <c r="R17" s="2"/>
    </row>
    <row r="18" spans="1:18" x14ac:dyDescent="0.25">
      <c r="A18" s="2"/>
      <c r="B18" s="11"/>
      <c r="C18" s="128"/>
      <c r="D18" s="128"/>
      <c r="E18" s="128"/>
      <c r="F18" s="128"/>
      <c r="G18" s="128"/>
      <c r="H18" s="128"/>
      <c r="I18" s="128"/>
      <c r="J18" s="128"/>
      <c r="K18" s="128"/>
      <c r="L18" s="128"/>
      <c r="M18" s="128"/>
      <c r="N18" s="128"/>
      <c r="O18" s="128"/>
      <c r="P18" s="128"/>
      <c r="Q18" s="12"/>
      <c r="R18" s="2"/>
    </row>
    <row r="19" spans="1:18" x14ac:dyDescent="0.25">
      <c r="A19" s="2"/>
      <c r="B19" s="11"/>
      <c r="C19" s="128"/>
      <c r="D19" s="128"/>
      <c r="E19" s="128"/>
      <c r="F19" s="128"/>
      <c r="G19" s="128"/>
      <c r="H19" s="128"/>
      <c r="I19" s="128"/>
      <c r="J19" s="128"/>
      <c r="K19" s="128"/>
      <c r="L19" s="128"/>
      <c r="M19" s="128"/>
      <c r="N19" s="128"/>
      <c r="O19" s="128"/>
      <c r="P19" s="128"/>
      <c r="Q19" s="12"/>
      <c r="R19" s="2"/>
    </row>
    <row r="20" spans="1:18" x14ac:dyDescent="0.25">
      <c r="A20" s="2"/>
      <c r="B20" s="11"/>
      <c r="C20" s="128" t="s">
        <v>300</v>
      </c>
      <c r="D20" s="128"/>
      <c r="E20" s="128"/>
      <c r="F20" s="128"/>
      <c r="G20" s="128"/>
      <c r="H20" s="128"/>
      <c r="I20" s="128"/>
      <c r="J20" s="128"/>
      <c r="K20" s="128"/>
      <c r="L20" s="128"/>
      <c r="M20" s="128"/>
      <c r="N20" s="128"/>
      <c r="O20" s="128"/>
      <c r="P20" s="128"/>
      <c r="Q20" s="12"/>
      <c r="R20" s="2"/>
    </row>
    <row r="21" spans="1:18" x14ac:dyDescent="0.25">
      <c r="A21" s="2"/>
      <c r="B21" s="11"/>
      <c r="C21" s="128"/>
      <c r="D21" s="128"/>
      <c r="E21" s="128"/>
      <c r="F21" s="128"/>
      <c r="G21" s="128"/>
      <c r="H21" s="128"/>
      <c r="I21" s="128"/>
      <c r="J21" s="128"/>
      <c r="K21" s="128"/>
      <c r="L21" s="128"/>
      <c r="M21" s="128"/>
      <c r="N21" s="128"/>
      <c r="O21" s="128"/>
      <c r="P21" s="128"/>
      <c r="Q21" s="12"/>
      <c r="R21" s="2"/>
    </row>
    <row r="22" spans="1:18" x14ac:dyDescent="0.25">
      <c r="A22" s="2"/>
      <c r="B22" s="11"/>
      <c r="C22" s="8"/>
      <c r="D22" s="8"/>
      <c r="E22" s="8"/>
      <c r="F22" s="8"/>
      <c r="G22" s="8"/>
      <c r="H22" s="8"/>
      <c r="I22" s="8"/>
      <c r="J22" s="8"/>
      <c r="K22" s="8"/>
      <c r="L22" s="8"/>
      <c r="M22" s="8"/>
      <c r="N22" s="8"/>
      <c r="O22" s="8"/>
      <c r="P22" s="8"/>
      <c r="Q22" s="12"/>
      <c r="R22" s="2"/>
    </row>
    <row r="23" spans="1:18" x14ac:dyDescent="0.25">
      <c r="A23" s="2"/>
      <c r="B23" s="11"/>
      <c r="C23" s="62" t="s">
        <v>289</v>
      </c>
      <c r="D23" s="8"/>
      <c r="E23" s="8"/>
      <c r="F23" s="8"/>
      <c r="G23" s="8"/>
      <c r="H23" s="8"/>
      <c r="I23" s="8"/>
      <c r="J23" s="8"/>
      <c r="K23" s="8"/>
      <c r="L23" s="8"/>
      <c r="M23" s="8"/>
      <c r="N23" s="8"/>
      <c r="O23" s="8"/>
      <c r="P23" s="8"/>
      <c r="Q23" s="12"/>
      <c r="R23" s="2"/>
    </row>
    <row r="24" spans="1:18" x14ac:dyDescent="0.25">
      <c r="A24" s="2"/>
      <c r="B24" s="11"/>
      <c r="C24" s="8" t="s">
        <v>290</v>
      </c>
      <c r="D24" s="8"/>
      <c r="E24" s="8"/>
      <c r="F24" s="8"/>
      <c r="G24" s="8"/>
      <c r="H24" s="8"/>
      <c r="I24" s="8"/>
      <c r="J24" s="8"/>
      <c r="K24" s="8"/>
      <c r="L24" s="8"/>
      <c r="M24" s="8"/>
      <c r="N24" s="8"/>
      <c r="O24" s="8"/>
      <c r="P24" s="8"/>
      <c r="Q24" s="12"/>
      <c r="R24" s="2"/>
    </row>
    <row r="25" spans="1:18" x14ac:dyDescent="0.25">
      <c r="A25" s="2"/>
      <c r="B25" s="11"/>
      <c r="C25" s="8"/>
      <c r="D25" s="8"/>
      <c r="E25" s="8"/>
      <c r="F25" s="8"/>
      <c r="G25" s="8"/>
      <c r="H25" s="8"/>
      <c r="I25" s="8"/>
      <c r="J25" s="8"/>
      <c r="K25" s="8"/>
      <c r="L25" s="8"/>
      <c r="M25" s="8"/>
      <c r="N25" s="8"/>
      <c r="O25" s="8"/>
      <c r="P25" s="8"/>
      <c r="Q25" s="12"/>
      <c r="R25" s="2"/>
    </row>
    <row r="26" spans="1:18" x14ac:dyDescent="0.25">
      <c r="A26" s="2"/>
      <c r="B26" s="11"/>
      <c r="C26" s="62" t="s">
        <v>291</v>
      </c>
      <c r="D26" s="8"/>
      <c r="E26" s="8"/>
      <c r="F26" s="8"/>
      <c r="G26" s="8"/>
      <c r="H26" s="8"/>
      <c r="I26" s="8"/>
      <c r="J26" s="8"/>
      <c r="K26" s="8"/>
      <c r="L26" s="8"/>
      <c r="M26" s="8"/>
      <c r="N26" s="8"/>
      <c r="O26" s="8"/>
      <c r="P26" s="8"/>
      <c r="Q26" s="12"/>
      <c r="R26" s="2"/>
    </row>
    <row r="27" spans="1:18" x14ac:dyDescent="0.25">
      <c r="A27" s="2"/>
      <c r="B27" s="11"/>
      <c r="C27" s="8" t="s">
        <v>292</v>
      </c>
      <c r="D27" s="8"/>
      <c r="E27" s="8"/>
      <c r="F27" s="8"/>
      <c r="G27" s="8"/>
      <c r="H27" s="8"/>
      <c r="I27" s="8"/>
      <c r="J27" s="8"/>
      <c r="K27" s="8"/>
      <c r="L27" s="8"/>
      <c r="M27" s="8"/>
      <c r="N27" s="8"/>
      <c r="O27" s="8"/>
      <c r="P27" s="8"/>
      <c r="Q27" s="12"/>
      <c r="R27" s="2"/>
    </row>
    <row r="28" spans="1:18" x14ac:dyDescent="0.25">
      <c r="A28" s="2"/>
      <c r="B28" s="11"/>
      <c r="C28" s="8"/>
      <c r="D28" s="8"/>
      <c r="E28" s="8"/>
      <c r="F28" s="8"/>
      <c r="G28" s="8"/>
      <c r="H28" s="8"/>
      <c r="I28" s="8"/>
      <c r="J28" s="8"/>
      <c r="K28" s="8"/>
      <c r="L28" s="8"/>
      <c r="M28" s="8"/>
      <c r="N28" s="8"/>
      <c r="O28" s="8"/>
      <c r="P28" s="8"/>
      <c r="Q28" s="12"/>
      <c r="R28" s="2"/>
    </row>
    <row r="29" spans="1:18" x14ac:dyDescent="0.25">
      <c r="A29" s="2"/>
      <c r="B29" s="11"/>
      <c r="C29" s="138" t="s">
        <v>293</v>
      </c>
      <c r="D29" s="138"/>
      <c r="E29" s="138"/>
      <c r="F29" s="138"/>
      <c r="G29" s="138"/>
      <c r="H29" s="138"/>
      <c r="I29" s="138"/>
      <c r="J29" s="138"/>
      <c r="K29" s="138"/>
      <c r="L29" s="138"/>
      <c r="M29" s="138"/>
      <c r="N29" s="138"/>
      <c r="O29" s="138"/>
      <c r="P29" s="138"/>
      <c r="Q29" s="12"/>
      <c r="R29" s="2"/>
    </row>
    <row r="30" spans="1:18" x14ac:dyDescent="0.25">
      <c r="A30" s="2"/>
      <c r="B30" s="11"/>
      <c r="C30" s="138"/>
      <c r="D30" s="138"/>
      <c r="E30" s="138"/>
      <c r="F30" s="138"/>
      <c r="G30" s="138"/>
      <c r="H30" s="138"/>
      <c r="I30" s="138"/>
      <c r="J30" s="138"/>
      <c r="K30" s="138"/>
      <c r="L30" s="138"/>
      <c r="M30" s="138"/>
      <c r="N30" s="138"/>
      <c r="O30" s="138"/>
      <c r="P30" s="138"/>
      <c r="Q30" s="12"/>
      <c r="R30" s="2"/>
    </row>
    <row r="31" spans="1:18" x14ac:dyDescent="0.25">
      <c r="A31" s="2"/>
      <c r="B31" s="11"/>
      <c r="C31" s="8"/>
      <c r="D31" s="8"/>
      <c r="E31" s="8"/>
      <c r="F31" s="8"/>
      <c r="G31" s="8"/>
      <c r="H31" s="8"/>
      <c r="I31" s="8"/>
      <c r="J31" s="8"/>
      <c r="K31" s="8"/>
      <c r="L31" s="8"/>
      <c r="M31" s="8"/>
      <c r="N31" s="8"/>
      <c r="O31" s="8"/>
      <c r="P31" s="8"/>
      <c r="Q31" s="12"/>
      <c r="R31" s="2"/>
    </row>
    <row r="32" spans="1:18" x14ac:dyDescent="0.25">
      <c r="A32" s="2"/>
      <c r="B32" s="11"/>
      <c r="C32" s="8" t="s">
        <v>294</v>
      </c>
      <c r="D32" s="8"/>
      <c r="E32" s="8"/>
      <c r="F32" s="8"/>
      <c r="G32" s="8"/>
      <c r="H32" s="8"/>
      <c r="I32" s="8"/>
      <c r="J32" s="8"/>
      <c r="K32" s="8"/>
      <c r="L32" s="8"/>
      <c r="M32" s="8"/>
      <c r="N32" s="8"/>
      <c r="O32" s="8"/>
      <c r="P32" s="8"/>
      <c r="Q32" s="12"/>
      <c r="R32" s="2"/>
    </row>
    <row r="33" spans="1:18" x14ac:dyDescent="0.25">
      <c r="A33" s="2"/>
      <c r="B33" s="11"/>
      <c r="C33" s="8"/>
      <c r="D33" s="8"/>
      <c r="E33" s="8"/>
      <c r="F33" s="8"/>
      <c r="G33" s="8"/>
      <c r="H33" s="8"/>
      <c r="I33" s="8"/>
      <c r="J33" s="8"/>
      <c r="K33" s="8"/>
      <c r="L33" s="8"/>
      <c r="M33" s="8"/>
      <c r="N33" s="8"/>
      <c r="O33" s="8"/>
      <c r="P33" s="8"/>
      <c r="Q33" s="12"/>
      <c r="R33" s="2"/>
    </row>
    <row r="34" spans="1:18" ht="15" customHeight="1" x14ac:dyDescent="0.25">
      <c r="A34" s="2"/>
      <c r="B34" s="11"/>
      <c r="C34" s="128" t="s">
        <v>295</v>
      </c>
      <c r="D34" s="128"/>
      <c r="E34" s="128"/>
      <c r="F34" s="128"/>
      <c r="G34" s="128"/>
      <c r="H34" s="128"/>
      <c r="I34" s="128"/>
      <c r="J34" s="128"/>
      <c r="K34" s="128"/>
      <c r="L34" s="128"/>
      <c r="M34" s="128"/>
      <c r="N34" s="128"/>
      <c r="O34" s="128"/>
      <c r="P34" s="128"/>
      <c r="Q34" s="12"/>
      <c r="R34" s="2"/>
    </row>
    <row r="35" spans="1:18" x14ac:dyDescent="0.25">
      <c r="A35" s="2"/>
      <c r="B35" s="11"/>
      <c r="C35" s="128"/>
      <c r="D35" s="128"/>
      <c r="E35" s="128"/>
      <c r="F35" s="128"/>
      <c r="G35" s="128"/>
      <c r="H35" s="128"/>
      <c r="I35" s="128"/>
      <c r="J35" s="128"/>
      <c r="K35" s="128"/>
      <c r="L35" s="128"/>
      <c r="M35" s="128"/>
      <c r="N35" s="128"/>
      <c r="O35" s="128"/>
      <c r="P35" s="128"/>
      <c r="Q35" s="12"/>
      <c r="R35" s="2"/>
    </row>
    <row r="36" spans="1:18" x14ac:dyDescent="0.25">
      <c r="A36" s="2"/>
      <c r="B36" s="11"/>
      <c r="C36" s="128"/>
      <c r="D36" s="128"/>
      <c r="E36" s="128"/>
      <c r="F36" s="128"/>
      <c r="G36" s="128"/>
      <c r="H36" s="128"/>
      <c r="I36" s="128"/>
      <c r="J36" s="128"/>
      <c r="K36" s="128"/>
      <c r="L36" s="128"/>
      <c r="M36" s="128"/>
      <c r="N36" s="128"/>
      <c r="O36" s="128"/>
      <c r="P36" s="128"/>
      <c r="Q36" s="12"/>
      <c r="R36" s="2"/>
    </row>
    <row r="37" spans="1:18" x14ac:dyDescent="0.25">
      <c r="A37" s="2"/>
      <c r="B37" s="11"/>
      <c r="C37" s="128"/>
      <c r="D37" s="128"/>
      <c r="E37" s="128"/>
      <c r="F37" s="128"/>
      <c r="G37" s="128"/>
      <c r="H37" s="128"/>
      <c r="I37" s="128"/>
      <c r="J37" s="128"/>
      <c r="K37" s="128"/>
      <c r="L37" s="128"/>
      <c r="M37" s="128"/>
      <c r="N37" s="128"/>
      <c r="O37" s="128"/>
      <c r="P37" s="128"/>
      <c r="Q37" s="12"/>
      <c r="R37" s="2"/>
    </row>
    <row r="38" spans="1:18" x14ac:dyDescent="0.25">
      <c r="A38" s="2"/>
      <c r="B38" s="11"/>
      <c r="C38" s="128" t="s">
        <v>298</v>
      </c>
      <c r="D38" s="128"/>
      <c r="E38" s="128"/>
      <c r="F38" s="128"/>
      <c r="G38" s="128"/>
      <c r="H38" s="128"/>
      <c r="I38" s="128"/>
      <c r="J38" s="128"/>
      <c r="K38" s="128"/>
      <c r="L38" s="128"/>
      <c r="M38" s="128"/>
      <c r="N38" s="128"/>
      <c r="O38" s="128"/>
      <c r="P38" s="128"/>
      <c r="Q38" s="12"/>
      <c r="R38" s="2"/>
    </row>
    <row r="39" spans="1:18" x14ac:dyDescent="0.25">
      <c r="A39" s="2"/>
      <c r="B39" s="11"/>
      <c r="C39" s="128"/>
      <c r="D39" s="128"/>
      <c r="E39" s="128"/>
      <c r="F39" s="128"/>
      <c r="G39" s="128"/>
      <c r="H39" s="128"/>
      <c r="I39" s="128"/>
      <c r="J39" s="128"/>
      <c r="K39" s="128"/>
      <c r="L39" s="128"/>
      <c r="M39" s="128"/>
      <c r="N39" s="128"/>
      <c r="O39" s="128"/>
      <c r="P39" s="128"/>
      <c r="Q39" s="12"/>
      <c r="R39" s="2"/>
    </row>
    <row r="40" spans="1:18" ht="15.75" thickBot="1" x14ac:dyDescent="0.3">
      <c r="A40" s="2"/>
      <c r="B40" s="11"/>
      <c r="C40" s="8"/>
      <c r="D40" s="8"/>
      <c r="E40" s="8"/>
      <c r="F40" s="8"/>
      <c r="G40" s="8"/>
      <c r="H40" s="8"/>
      <c r="I40" s="8"/>
      <c r="J40" s="8"/>
      <c r="K40" s="8"/>
      <c r="L40" s="8"/>
      <c r="M40" s="8"/>
      <c r="N40" s="8"/>
      <c r="O40" s="8"/>
      <c r="P40" s="8"/>
      <c r="Q40" s="12"/>
      <c r="R40" s="2"/>
    </row>
    <row r="41" spans="1:18" ht="16.5" thickTop="1" thickBot="1" x14ac:dyDescent="0.3">
      <c r="A41" s="2"/>
      <c r="B41" s="11"/>
      <c r="C41" s="31"/>
      <c r="D41" s="39" t="s">
        <v>281</v>
      </c>
      <c r="E41" s="8"/>
      <c r="F41" s="8"/>
      <c r="G41" s="8"/>
      <c r="H41" s="8"/>
      <c r="I41" s="8"/>
      <c r="J41" s="8"/>
      <c r="K41" s="8"/>
      <c r="L41" s="8"/>
      <c r="M41" s="8"/>
      <c r="N41" s="8"/>
      <c r="O41" s="8"/>
      <c r="P41" s="8"/>
      <c r="Q41" s="12"/>
      <c r="R41" s="2"/>
    </row>
    <row r="42" spans="1:18" ht="15.75" thickTop="1" x14ac:dyDescent="0.25">
      <c r="A42" s="2"/>
      <c r="B42" s="11"/>
      <c r="C42" s="39"/>
      <c r="D42" s="39"/>
      <c r="E42" s="8"/>
      <c r="F42" s="8"/>
      <c r="G42" s="8"/>
      <c r="H42" s="8"/>
      <c r="I42" s="8"/>
      <c r="J42" s="8"/>
      <c r="K42" s="8"/>
      <c r="L42" s="8"/>
      <c r="M42" s="8"/>
      <c r="N42" s="8"/>
      <c r="O42" s="8"/>
      <c r="P42" s="8"/>
      <c r="Q42" s="12"/>
      <c r="R42" s="2"/>
    </row>
    <row r="43" spans="1:18" x14ac:dyDescent="0.25">
      <c r="A43" s="2"/>
      <c r="B43" s="11"/>
      <c r="C43" s="43"/>
      <c r="D43" s="39" t="s">
        <v>280</v>
      </c>
      <c r="E43" s="8"/>
      <c r="F43" s="8"/>
      <c r="G43" s="8"/>
      <c r="H43" s="8"/>
      <c r="I43" s="8"/>
      <c r="J43" s="8"/>
      <c r="K43" s="8"/>
      <c r="L43" s="8"/>
      <c r="M43" s="8"/>
      <c r="N43" s="8"/>
      <c r="O43" s="8"/>
      <c r="P43" s="8"/>
      <c r="Q43" s="12"/>
      <c r="R43" s="2"/>
    </row>
    <row r="44" spans="1:18" x14ac:dyDescent="0.25">
      <c r="A44" s="2"/>
      <c r="B44" s="11"/>
      <c r="C44" s="8"/>
      <c r="D44" s="8"/>
      <c r="E44" s="8"/>
      <c r="F44" s="8"/>
      <c r="G44" s="8"/>
      <c r="H44" s="8"/>
      <c r="I44" s="8"/>
      <c r="J44" s="8"/>
      <c r="K44" s="8"/>
      <c r="L44" s="8"/>
      <c r="M44" s="8"/>
      <c r="N44" s="8"/>
      <c r="O44" s="8"/>
      <c r="P44" s="8"/>
      <c r="Q44" s="12"/>
      <c r="R44" s="2"/>
    </row>
    <row r="45" spans="1:18" x14ac:dyDescent="0.25">
      <c r="A45" s="2"/>
      <c r="B45" s="11"/>
      <c r="C45" s="30"/>
      <c r="D45" s="39" t="s">
        <v>103</v>
      </c>
      <c r="E45" s="8"/>
      <c r="F45" s="8"/>
      <c r="G45" s="8"/>
      <c r="H45" s="8"/>
      <c r="I45" s="8"/>
      <c r="J45" s="8"/>
      <c r="K45" s="8"/>
      <c r="L45" s="8"/>
      <c r="M45" s="8"/>
      <c r="N45" s="8"/>
      <c r="O45" s="8"/>
      <c r="P45" s="8"/>
      <c r="Q45" s="12"/>
      <c r="R45" s="2"/>
    </row>
    <row r="46" spans="1:18" x14ac:dyDescent="0.25">
      <c r="A46" s="2"/>
      <c r="B46" s="11"/>
      <c r="C46" s="8"/>
      <c r="D46" s="8"/>
      <c r="E46" s="8"/>
      <c r="F46" s="8"/>
      <c r="G46" s="8"/>
      <c r="H46" s="8"/>
      <c r="I46" s="8"/>
      <c r="J46" s="8"/>
      <c r="K46" s="8"/>
      <c r="L46" s="8"/>
      <c r="M46" s="8"/>
      <c r="N46" s="8"/>
      <c r="O46" s="8"/>
      <c r="P46" s="8"/>
      <c r="Q46" s="12"/>
      <c r="R46" s="2"/>
    </row>
    <row r="47" spans="1:18" x14ac:dyDescent="0.25">
      <c r="A47" s="2"/>
      <c r="B47" s="11"/>
      <c r="C47" s="8"/>
      <c r="D47" s="8"/>
      <c r="E47" s="8"/>
      <c r="F47" s="8"/>
      <c r="G47" s="8"/>
      <c r="H47" s="8"/>
      <c r="I47" s="8"/>
      <c r="J47" s="8"/>
      <c r="K47" s="8"/>
      <c r="L47" s="8"/>
      <c r="M47" s="8"/>
      <c r="N47" s="8"/>
      <c r="O47" s="8"/>
      <c r="P47" s="8"/>
      <c r="Q47" s="12"/>
      <c r="R47" s="2"/>
    </row>
    <row r="48" spans="1:18" x14ac:dyDescent="0.25">
      <c r="A48" s="2"/>
      <c r="B48" s="11"/>
      <c r="C48" s="62" t="s">
        <v>296</v>
      </c>
      <c r="D48" s="48"/>
      <c r="E48" s="48"/>
      <c r="F48" s="48"/>
      <c r="G48" s="48"/>
      <c r="H48" s="48"/>
      <c r="I48" s="48"/>
      <c r="J48" s="48"/>
      <c r="K48" s="48"/>
      <c r="L48" s="48"/>
      <c r="M48" s="48"/>
      <c r="N48" s="48"/>
      <c r="O48" s="48"/>
      <c r="P48" s="48"/>
      <c r="Q48" s="12"/>
      <c r="R48" s="2"/>
    </row>
    <row r="49" spans="1:18" x14ac:dyDescent="0.25">
      <c r="A49" s="2"/>
      <c r="B49" s="11"/>
      <c r="C49" s="128" t="s">
        <v>297</v>
      </c>
      <c r="D49" s="128"/>
      <c r="E49" s="128"/>
      <c r="F49" s="128"/>
      <c r="G49" s="128"/>
      <c r="H49" s="128"/>
      <c r="I49" s="128"/>
      <c r="J49" s="128"/>
      <c r="K49" s="128"/>
      <c r="L49" s="128"/>
      <c r="M49" s="128"/>
      <c r="N49" s="128"/>
      <c r="O49" s="128"/>
      <c r="P49" s="128"/>
      <c r="Q49" s="12"/>
      <c r="R49" s="2"/>
    </row>
    <row r="50" spans="1:18" x14ac:dyDescent="0.25">
      <c r="A50" s="2"/>
      <c r="B50" s="11"/>
      <c r="C50" s="128"/>
      <c r="D50" s="128"/>
      <c r="E50" s="128"/>
      <c r="F50" s="128"/>
      <c r="G50" s="128"/>
      <c r="H50" s="128"/>
      <c r="I50" s="128"/>
      <c r="J50" s="128"/>
      <c r="K50" s="128"/>
      <c r="L50" s="128"/>
      <c r="M50" s="128"/>
      <c r="N50" s="128"/>
      <c r="O50" s="128"/>
      <c r="P50" s="128"/>
      <c r="Q50" s="12"/>
      <c r="R50" s="2"/>
    </row>
    <row r="51" spans="1:18" x14ac:dyDescent="0.25">
      <c r="A51" s="2"/>
      <c r="B51" s="11"/>
      <c r="C51" s="48"/>
      <c r="D51" s="48"/>
      <c r="E51" s="48"/>
      <c r="F51" s="48"/>
      <c r="G51" s="48"/>
      <c r="H51" s="48"/>
      <c r="I51" s="48"/>
      <c r="J51" s="48"/>
      <c r="K51" s="48"/>
      <c r="L51" s="48"/>
      <c r="M51" s="48"/>
      <c r="N51" s="48"/>
      <c r="O51" s="48"/>
      <c r="P51" s="48"/>
      <c r="Q51" s="12"/>
      <c r="R51" s="2"/>
    </row>
    <row r="52" spans="1:18" ht="15.75" thickBot="1" x14ac:dyDescent="0.3">
      <c r="A52" s="2"/>
      <c r="B52" s="13"/>
      <c r="C52" s="63"/>
      <c r="D52" s="63"/>
      <c r="E52" s="63"/>
      <c r="F52" s="63"/>
      <c r="G52" s="63"/>
      <c r="H52" s="63"/>
      <c r="I52" s="63"/>
      <c r="J52" s="63"/>
      <c r="K52" s="63"/>
      <c r="L52" s="63"/>
      <c r="M52" s="63"/>
      <c r="N52" s="63"/>
      <c r="O52" s="63"/>
      <c r="P52" s="63"/>
      <c r="Q52" s="16"/>
      <c r="R52" s="2"/>
    </row>
    <row r="53" spans="1:18" x14ac:dyDescent="0.25">
      <c r="A53" s="2"/>
      <c r="B53" s="2"/>
      <c r="C53" s="2"/>
      <c r="D53" s="2"/>
      <c r="E53" s="2"/>
      <c r="F53" s="2"/>
      <c r="G53" s="2"/>
      <c r="H53" s="2"/>
      <c r="I53" s="2"/>
      <c r="J53" s="2"/>
      <c r="K53" s="2"/>
      <c r="L53" s="2"/>
      <c r="M53" s="2"/>
      <c r="N53" s="2"/>
      <c r="O53" s="2"/>
      <c r="P53" s="2"/>
      <c r="Q53" s="2"/>
      <c r="R53" s="2"/>
    </row>
    <row r="54" spans="1:18" x14ac:dyDescent="0.25">
      <c r="A54" s="2"/>
      <c r="B54" s="2"/>
      <c r="C54" s="2"/>
      <c r="D54" s="2"/>
      <c r="E54" s="2"/>
      <c r="F54" s="2"/>
      <c r="G54" s="2"/>
      <c r="H54" s="2"/>
      <c r="I54" s="2"/>
      <c r="J54" s="2"/>
      <c r="K54" s="2"/>
      <c r="L54" s="2"/>
      <c r="M54" s="2"/>
      <c r="N54" s="2"/>
      <c r="O54" s="2"/>
      <c r="P54" s="2"/>
      <c r="Q54" s="2"/>
      <c r="R54" s="2"/>
    </row>
    <row r="55" spans="1:18" x14ac:dyDescent="0.25">
      <c r="A55" s="2"/>
      <c r="B55" s="2"/>
      <c r="C55" s="2"/>
      <c r="D55" s="2"/>
      <c r="E55" s="2"/>
      <c r="F55" s="2"/>
      <c r="G55" s="2"/>
      <c r="H55" s="2"/>
      <c r="I55" s="2"/>
      <c r="J55" s="2"/>
      <c r="K55" s="2"/>
      <c r="L55" s="2"/>
      <c r="M55" s="2"/>
      <c r="N55" s="2"/>
      <c r="O55" s="2"/>
      <c r="P55" s="2"/>
      <c r="Q55" s="2"/>
      <c r="R55" s="2"/>
    </row>
  </sheetData>
  <mergeCells count="7">
    <mergeCell ref="C49:P50"/>
    <mergeCell ref="C38:P39"/>
    <mergeCell ref="B9:Q11"/>
    <mergeCell ref="C16:P19"/>
    <mergeCell ref="C20:P21"/>
    <mergeCell ref="C29:P30"/>
    <mergeCell ref="C34:P3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9B91B-92F9-4666-BA9B-C9764B387EB5}">
  <sheetPr codeName="Sheet1"/>
  <dimension ref="A1:G76"/>
  <sheetViews>
    <sheetView tabSelected="1" zoomScaleNormal="100" workbookViewId="0">
      <selection activeCell="J9" sqref="J9"/>
    </sheetView>
  </sheetViews>
  <sheetFormatPr defaultRowHeight="15" x14ac:dyDescent="0.25"/>
  <cols>
    <col min="1" max="3" width="4.7109375" style="1" customWidth="1"/>
    <col min="4" max="4" width="43.140625" style="1" customWidth="1"/>
    <col min="5" max="5" width="79.85546875" style="1" customWidth="1"/>
    <col min="6" max="16384" width="9.140625" style="1"/>
  </cols>
  <sheetData>
    <row r="1" spans="1:7" x14ac:dyDescent="0.25">
      <c r="A1" s="2"/>
      <c r="B1" s="2"/>
      <c r="C1" s="2"/>
      <c r="D1" s="2"/>
      <c r="E1" s="2"/>
      <c r="F1" s="2"/>
      <c r="G1" s="2"/>
    </row>
    <row r="2" spans="1:7" x14ac:dyDescent="0.25">
      <c r="A2" s="2"/>
      <c r="B2" s="2"/>
      <c r="C2" s="2"/>
      <c r="D2" s="2"/>
      <c r="E2" s="2"/>
      <c r="F2" s="2"/>
      <c r="G2" s="2"/>
    </row>
    <row r="3" spans="1:7" x14ac:dyDescent="0.25">
      <c r="A3" s="2"/>
      <c r="B3" s="2"/>
      <c r="C3" s="2"/>
      <c r="D3" s="2"/>
      <c r="E3" s="2"/>
      <c r="F3" s="2"/>
      <c r="G3" s="2"/>
    </row>
    <row r="4" spans="1:7" ht="18.75" x14ac:dyDescent="0.3">
      <c r="A4" s="2"/>
      <c r="B4" s="2"/>
      <c r="C4" s="2"/>
      <c r="D4" s="2"/>
      <c r="E4" s="20"/>
      <c r="F4" s="2"/>
      <c r="G4" s="2"/>
    </row>
    <row r="5" spans="1:7" x14ac:dyDescent="0.25">
      <c r="A5" s="2"/>
      <c r="B5" s="2"/>
      <c r="C5" s="2"/>
      <c r="D5" s="2"/>
      <c r="E5" s="2"/>
      <c r="F5" s="2"/>
      <c r="G5" s="2"/>
    </row>
    <row r="6" spans="1:7" x14ac:dyDescent="0.25">
      <c r="A6" s="2"/>
      <c r="B6" s="2"/>
      <c r="C6" s="2"/>
      <c r="D6" s="2"/>
      <c r="E6" s="2"/>
      <c r="F6" s="2"/>
      <c r="G6" s="2"/>
    </row>
    <row r="7" spans="1:7" x14ac:dyDescent="0.25">
      <c r="A7" s="2"/>
      <c r="B7" s="2"/>
      <c r="C7" s="2"/>
      <c r="D7" s="2"/>
      <c r="E7" s="2"/>
      <c r="F7" s="2"/>
      <c r="G7" s="2"/>
    </row>
    <row r="8" spans="1:7" ht="15.75" thickBot="1" x14ac:dyDescent="0.3">
      <c r="A8" s="2"/>
      <c r="B8" s="2"/>
      <c r="C8" s="2"/>
      <c r="D8" s="2"/>
      <c r="E8" s="2"/>
      <c r="F8" s="2"/>
      <c r="G8" s="2"/>
    </row>
    <row r="9" spans="1:7" ht="15" customHeight="1" x14ac:dyDescent="0.25">
      <c r="A9" s="2"/>
      <c r="B9" s="139" t="s">
        <v>0</v>
      </c>
      <c r="C9" s="140"/>
      <c r="D9" s="140"/>
      <c r="E9" s="140"/>
      <c r="F9" s="141"/>
      <c r="G9" s="2"/>
    </row>
    <row r="10" spans="1:7" ht="15.75" customHeight="1" thickBot="1" x14ac:dyDescent="0.3">
      <c r="A10" s="2"/>
      <c r="B10" s="142"/>
      <c r="C10" s="143"/>
      <c r="D10" s="143"/>
      <c r="E10" s="143"/>
      <c r="F10" s="144"/>
      <c r="G10" s="2"/>
    </row>
    <row r="11" spans="1:7" ht="15.75" customHeight="1" thickTop="1" x14ac:dyDescent="0.25">
      <c r="A11" s="2"/>
      <c r="B11" s="11"/>
      <c r="C11" s="8"/>
      <c r="D11" s="9"/>
      <c r="E11" s="9"/>
      <c r="F11" s="17"/>
      <c r="G11" s="2"/>
    </row>
    <row r="12" spans="1:7" ht="38.25" customHeight="1" x14ac:dyDescent="0.3">
      <c r="A12" s="2"/>
      <c r="B12" s="11"/>
      <c r="C12" s="8"/>
      <c r="D12" s="18" t="s">
        <v>1</v>
      </c>
      <c r="E12" s="67"/>
      <c r="F12" s="12"/>
      <c r="G12" s="2"/>
    </row>
    <row r="13" spans="1:7" ht="18.75" x14ac:dyDescent="0.3">
      <c r="A13" s="2"/>
      <c r="B13" s="11"/>
      <c r="C13" s="8"/>
      <c r="D13" s="7"/>
      <c r="E13" s="3"/>
      <c r="F13" s="12"/>
      <c r="G13" s="2"/>
    </row>
    <row r="14" spans="1:7" ht="54.75" customHeight="1" x14ac:dyDescent="0.3">
      <c r="A14" s="2"/>
      <c r="B14" s="11"/>
      <c r="C14" s="8"/>
      <c r="D14" s="18" t="s">
        <v>2</v>
      </c>
      <c r="E14" s="68"/>
      <c r="F14" s="12"/>
      <c r="G14" s="2"/>
    </row>
    <row r="15" spans="1:7" ht="18.75" x14ac:dyDescent="0.3">
      <c r="A15" s="2"/>
      <c r="B15" s="11"/>
      <c r="C15" s="8"/>
      <c r="D15" s="7"/>
      <c r="E15" s="3"/>
      <c r="F15" s="12"/>
      <c r="G15" s="2"/>
    </row>
    <row r="16" spans="1:7" ht="37.5" x14ac:dyDescent="0.3">
      <c r="A16" s="2"/>
      <c r="B16" s="11"/>
      <c r="C16" s="8"/>
      <c r="D16" s="19" t="s">
        <v>3</v>
      </c>
      <c r="E16" s="69" t="s">
        <v>4</v>
      </c>
      <c r="F16" s="12"/>
      <c r="G16" s="2"/>
    </row>
    <row r="17" spans="1:7" ht="18.75" x14ac:dyDescent="0.3">
      <c r="A17" s="2"/>
      <c r="B17" s="11"/>
      <c r="C17" s="8"/>
      <c r="D17" s="7"/>
      <c r="E17" s="4"/>
      <c r="F17" s="12"/>
      <c r="G17" s="2"/>
    </row>
    <row r="18" spans="1:7" ht="18.75" x14ac:dyDescent="0.3">
      <c r="A18" s="2"/>
      <c r="B18" s="11"/>
      <c r="C18" s="8"/>
      <c r="D18" s="18" t="s">
        <v>5</v>
      </c>
      <c r="E18" s="70" t="s">
        <v>6</v>
      </c>
      <c r="F18" s="12"/>
      <c r="G18" s="2"/>
    </row>
    <row r="19" spans="1:7" ht="18.75" x14ac:dyDescent="0.3">
      <c r="A19" s="2"/>
      <c r="B19" s="11"/>
      <c r="C19" s="8"/>
      <c r="D19" s="7"/>
      <c r="E19" s="3"/>
      <c r="F19" s="12"/>
      <c r="G19" s="2"/>
    </row>
    <row r="20" spans="1:7" ht="18.75" x14ac:dyDescent="0.3">
      <c r="A20" s="2"/>
      <c r="B20" s="11"/>
      <c r="C20" s="8"/>
      <c r="D20" s="18" t="s">
        <v>7</v>
      </c>
      <c r="E20" s="67" t="s">
        <v>6</v>
      </c>
      <c r="F20" s="12"/>
      <c r="G20" s="2"/>
    </row>
    <row r="21" spans="1:7" ht="18.75" x14ac:dyDescent="0.3">
      <c r="A21" s="2"/>
      <c r="B21" s="11"/>
      <c r="C21" s="8"/>
      <c r="D21" s="7"/>
      <c r="E21" s="3"/>
      <c r="F21" s="12"/>
      <c r="G21" s="2"/>
    </row>
    <row r="22" spans="1:7" ht="18.75" x14ac:dyDescent="0.3">
      <c r="A22" s="2"/>
      <c r="B22" s="11"/>
      <c r="C22" s="8"/>
      <c r="D22" s="18" t="s">
        <v>8</v>
      </c>
      <c r="E22" s="67" t="s">
        <v>9</v>
      </c>
      <c r="F22" s="12"/>
      <c r="G22" s="2"/>
    </row>
    <row r="23" spans="1:7" ht="18.75" x14ac:dyDescent="0.3">
      <c r="A23" s="2"/>
      <c r="B23" s="11"/>
      <c r="C23" s="8"/>
      <c r="D23" s="7"/>
      <c r="E23" s="3"/>
      <c r="F23" s="12"/>
      <c r="G23" s="2"/>
    </row>
    <row r="24" spans="1:7" ht="18.75" x14ac:dyDescent="0.3">
      <c r="A24" s="2"/>
      <c r="B24" s="11"/>
      <c r="C24" s="8"/>
      <c r="D24" s="18" t="s">
        <v>10</v>
      </c>
      <c r="E24" s="67" t="s">
        <v>11</v>
      </c>
      <c r="F24" s="12"/>
      <c r="G24" s="2"/>
    </row>
    <row r="25" spans="1:7" ht="18.75" x14ac:dyDescent="0.3">
      <c r="A25" s="2"/>
      <c r="B25" s="11"/>
      <c r="C25" s="8"/>
      <c r="D25" s="7"/>
      <c r="E25" s="3"/>
      <c r="F25" s="12"/>
      <c r="G25" s="2"/>
    </row>
    <row r="26" spans="1:7" ht="18.75" x14ac:dyDescent="0.3">
      <c r="A26" s="2"/>
      <c r="B26" s="11"/>
      <c r="C26" s="8"/>
      <c r="D26" s="18" t="s">
        <v>12</v>
      </c>
      <c r="E26" s="69" t="s">
        <v>13</v>
      </c>
      <c r="F26" s="12"/>
      <c r="G26" s="2"/>
    </row>
    <row r="27" spans="1:7" ht="18.75" x14ac:dyDescent="0.3">
      <c r="A27" s="2"/>
      <c r="B27" s="11"/>
      <c r="C27" s="8"/>
      <c r="D27" s="7"/>
      <c r="E27" s="4"/>
      <c r="F27" s="12"/>
      <c r="G27" s="2"/>
    </row>
    <row r="28" spans="1:7" ht="56.25" x14ac:dyDescent="0.3">
      <c r="A28" s="2"/>
      <c r="B28" s="11"/>
      <c r="C28" s="8"/>
      <c r="D28" s="19" t="s">
        <v>14</v>
      </c>
      <c r="E28" s="67" t="s">
        <v>15</v>
      </c>
      <c r="F28" s="12"/>
      <c r="G28" s="2"/>
    </row>
    <row r="29" spans="1:7" ht="18.75" x14ac:dyDescent="0.3">
      <c r="A29" s="2"/>
      <c r="B29" s="11"/>
      <c r="C29" s="8"/>
      <c r="D29" s="5"/>
      <c r="E29" s="3"/>
      <c r="F29" s="12"/>
      <c r="G29" s="2"/>
    </row>
    <row r="30" spans="1:7" ht="18.75" x14ac:dyDescent="0.3">
      <c r="A30" s="2"/>
      <c r="B30" s="11"/>
      <c r="C30" s="8"/>
      <c r="D30" s="18" t="s">
        <v>16</v>
      </c>
      <c r="E30" s="71">
        <v>44866</v>
      </c>
      <c r="F30" s="12"/>
      <c r="G30" s="2"/>
    </row>
    <row r="31" spans="1:7" ht="18.75" x14ac:dyDescent="0.3">
      <c r="A31" s="2"/>
      <c r="B31" s="11"/>
      <c r="C31" s="8"/>
      <c r="D31" s="7"/>
      <c r="E31" s="3"/>
      <c r="F31" s="12"/>
      <c r="G31" s="2"/>
    </row>
    <row r="32" spans="1:7" ht="18.75" x14ac:dyDescent="0.3">
      <c r="A32" s="2"/>
      <c r="B32" s="11"/>
      <c r="C32" s="8"/>
      <c r="D32" s="19" t="s">
        <v>17</v>
      </c>
      <c r="E32" s="72">
        <v>45231</v>
      </c>
      <c r="F32" s="12"/>
      <c r="G32" s="2"/>
    </row>
    <row r="33" spans="1:7" ht="18.75" x14ac:dyDescent="0.3">
      <c r="A33" s="2"/>
      <c r="B33" s="11"/>
      <c r="C33" s="8"/>
      <c r="D33" s="5"/>
      <c r="E33" s="4"/>
      <c r="F33" s="12"/>
      <c r="G33" s="2"/>
    </row>
    <row r="34" spans="1:7" ht="18.75" x14ac:dyDescent="0.3">
      <c r="A34" s="2"/>
      <c r="B34" s="11"/>
      <c r="C34" s="8"/>
      <c r="D34" s="18" t="s">
        <v>18</v>
      </c>
      <c r="E34" s="73">
        <v>4</v>
      </c>
      <c r="F34" s="12"/>
      <c r="G34" s="2"/>
    </row>
    <row r="35" spans="1:7" ht="18.75" x14ac:dyDescent="0.3">
      <c r="A35" s="2"/>
      <c r="B35" s="11"/>
      <c r="C35" s="8"/>
      <c r="D35" s="7"/>
      <c r="E35" s="4"/>
      <c r="F35" s="12"/>
      <c r="G35" s="2"/>
    </row>
    <row r="36" spans="1:7" ht="18.75" x14ac:dyDescent="0.3">
      <c r="A36" s="2"/>
      <c r="B36" s="11"/>
      <c r="C36" s="8"/>
      <c r="D36" s="18" t="s">
        <v>19</v>
      </c>
      <c r="E36" s="72">
        <v>45200</v>
      </c>
      <c r="F36" s="12"/>
      <c r="G36" s="2"/>
    </row>
    <row r="37" spans="1:7" ht="18.75" x14ac:dyDescent="0.3">
      <c r="A37" s="2"/>
      <c r="B37" s="11"/>
      <c r="C37" s="8"/>
      <c r="D37" s="7"/>
      <c r="E37" s="4"/>
      <c r="F37" s="12"/>
      <c r="G37" s="2"/>
    </row>
    <row r="38" spans="1:7" ht="18.75" x14ac:dyDescent="0.3">
      <c r="A38" s="2"/>
      <c r="B38" s="11"/>
      <c r="C38" s="8"/>
      <c r="D38" s="18" t="s">
        <v>20</v>
      </c>
      <c r="E38" s="69" t="s">
        <v>21</v>
      </c>
      <c r="F38" s="12"/>
      <c r="G38" s="2"/>
    </row>
    <row r="39" spans="1:7" ht="18.75" x14ac:dyDescent="0.3">
      <c r="A39" s="2"/>
      <c r="B39" s="11"/>
      <c r="C39" s="8"/>
      <c r="D39" s="7"/>
      <c r="E39" s="3"/>
      <c r="F39" s="12"/>
      <c r="G39" s="2"/>
    </row>
    <row r="40" spans="1:7" ht="18.75" x14ac:dyDescent="0.3">
      <c r="A40" s="2"/>
      <c r="B40" s="11"/>
      <c r="C40" s="8"/>
      <c r="D40" s="19" t="s">
        <v>22</v>
      </c>
      <c r="E40" s="69" t="s">
        <v>21</v>
      </c>
      <c r="F40" s="12"/>
      <c r="G40" s="2"/>
    </row>
    <row r="41" spans="1:7" ht="18.75" x14ac:dyDescent="0.3">
      <c r="A41" s="2"/>
      <c r="B41" s="11"/>
      <c r="C41" s="8"/>
      <c r="D41" s="5"/>
      <c r="E41" s="4"/>
      <c r="F41" s="12"/>
      <c r="G41" s="2"/>
    </row>
    <row r="42" spans="1:7" ht="37.5" x14ac:dyDescent="0.3">
      <c r="A42" s="2"/>
      <c r="B42" s="11"/>
      <c r="C42" s="8"/>
      <c r="D42" s="19" t="s">
        <v>23</v>
      </c>
      <c r="E42" s="69" t="s">
        <v>21</v>
      </c>
      <c r="F42" s="12"/>
      <c r="G42" s="2"/>
    </row>
    <row r="43" spans="1:7" ht="18.75" x14ac:dyDescent="0.3">
      <c r="A43" s="2"/>
      <c r="B43" s="11"/>
      <c r="C43" s="8"/>
      <c r="D43" s="7"/>
      <c r="E43" s="4"/>
      <c r="F43" s="12"/>
      <c r="G43" s="2"/>
    </row>
    <row r="44" spans="1:7" ht="18.75" x14ac:dyDescent="0.3">
      <c r="A44" s="2"/>
      <c r="B44" s="11"/>
      <c r="C44" s="8"/>
      <c r="D44" s="18" t="s">
        <v>24</v>
      </c>
      <c r="E44" s="69" t="s">
        <v>25</v>
      </c>
      <c r="F44" s="12"/>
      <c r="G44" s="2"/>
    </row>
    <row r="45" spans="1:7" ht="18.75" x14ac:dyDescent="0.3">
      <c r="A45" s="2"/>
      <c r="B45" s="11"/>
      <c r="C45" s="8"/>
      <c r="D45" s="7"/>
      <c r="E45" s="4"/>
      <c r="F45" s="12"/>
      <c r="G45" s="2"/>
    </row>
    <row r="46" spans="1:7" ht="37.5" x14ac:dyDescent="0.3">
      <c r="A46" s="2"/>
      <c r="B46" s="11"/>
      <c r="C46" s="8"/>
      <c r="D46" s="19" t="s">
        <v>26</v>
      </c>
      <c r="E46" s="69" t="s">
        <v>27</v>
      </c>
      <c r="F46" s="12"/>
      <c r="G46" s="2"/>
    </row>
    <row r="47" spans="1:7" ht="18.75" x14ac:dyDescent="0.3">
      <c r="A47" s="2"/>
      <c r="B47" s="11"/>
      <c r="C47" s="8"/>
      <c r="D47" s="7"/>
      <c r="E47" s="4"/>
      <c r="F47" s="12"/>
      <c r="G47" s="2"/>
    </row>
    <row r="48" spans="1:7" ht="37.5" x14ac:dyDescent="0.3">
      <c r="A48" s="2"/>
      <c r="B48" s="11"/>
      <c r="C48" s="8"/>
      <c r="D48" s="19" t="s">
        <v>28</v>
      </c>
      <c r="E48" s="69" t="s">
        <v>27</v>
      </c>
      <c r="F48" s="12"/>
      <c r="G48" s="2"/>
    </row>
    <row r="49" spans="1:7" ht="18.75" x14ac:dyDescent="0.3">
      <c r="A49" s="2"/>
      <c r="B49" s="11"/>
      <c r="C49" s="8"/>
      <c r="D49" s="7"/>
      <c r="E49" s="4"/>
      <c r="F49" s="12"/>
      <c r="G49" s="2"/>
    </row>
    <row r="50" spans="1:7" ht="75" customHeight="1" x14ac:dyDescent="0.3">
      <c r="A50" s="2"/>
      <c r="B50" s="11"/>
      <c r="C50" s="8"/>
      <c r="D50" s="18" t="s">
        <v>29</v>
      </c>
      <c r="E50" s="69"/>
      <c r="F50" s="12"/>
      <c r="G50" s="2"/>
    </row>
    <row r="51" spans="1:7" ht="18.75" x14ac:dyDescent="0.3">
      <c r="A51" s="2"/>
      <c r="B51" s="11"/>
      <c r="C51" s="8"/>
      <c r="D51" s="7"/>
      <c r="E51" s="4"/>
      <c r="F51" s="12"/>
      <c r="G51" s="2"/>
    </row>
    <row r="52" spans="1:7" ht="18.75" x14ac:dyDescent="0.3">
      <c r="A52" s="2"/>
      <c r="B52" s="11"/>
      <c r="C52" s="8"/>
      <c r="D52" s="18" t="s">
        <v>30</v>
      </c>
      <c r="E52" s="74" t="s">
        <v>31</v>
      </c>
      <c r="F52" s="12"/>
      <c r="G52" s="2"/>
    </row>
    <row r="53" spans="1:7" ht="18.75" x14ac:dyDescent="0.3">
      <c r="A53" s="2"/>
      <c r="B53" s="11"/>
      <c r="C53" s="8"/>
      <c r="D53" s="7"/>
      <c r="E53" s="6"/>
      <c r="F53" s="12"/>
      <c r="G53" s="2"/>
    </row>
    <row r="54" spans="1:7" ht="37.5" x14ac:dyDescent="0.3">
      <c r="A54" s="2"/>
      <c r="B54" s="11"/>
      <c r="C54" s="8"/>
      <c r="D54" s="42" t="s">
        <v>32</v>
      </c>
      <c r="E54" s="67" t="s">
        <v>33</v>
      </c>
      <c r="F54" s="12"/>
      <c r="G54" s="2"/>
    </row>
    <row r="55" spans="1:7" ht="18.75" x14ac:dyDescent="0.3">
      <c r="A55" s="2"/>
      <c r="B55" s="11"/>
      <c r="C55" s="8"/>
      <c r="D55" s="7"/>
      <c r="E55" s="4"/>
      <c r="F55" s="12"/>
      <c r="G55" s="2"/>
    </row>
    <row r="56" spans="1:7" ht="55.5" customHeight="1" x14ac:dyDescent="0.3">
      <c r="A56" s="2"/>
      <c r="B56" s="11"/>
      <c r="C56" s="8"/>
      <c r="D56" s="19" t="s">
        <v>34</v>
      </c>
      <c r="E56" s="69"/>
      <c r="F56" s="12"/>
      <c r="G56" s="2"/>
    </row>
    <row r="57" spans="1:7" ht="18.75" x14ac:dyDescent="0.3">
      <c r="A57" s="2"/>
      <c r="B57" s="11"/>
      <c r="C57" s="8"/>
      <c r="D57" s="5"/>
      <c r="E57" s="4"/>
      <c r="F57" s="12"/>
      <c r="G57" s="2"/>
    </row>
    <row r="58" spans="1:7" ht="40.5" customHeight="1" x14ac:dyDescent="0.3">
      <c r="A58" s="2"/>
      <c r="B58" s="11"/>
      <c r="C58" s="8"/>
      <c r="D58" s="19" t="s">
        <v>35</v>
      </c>
      <c r="E58" s="69"/>
      <c r="F58" s="12"/>
      <c r="G58" s="2"/>
    </row>
    <row r="59" spans="1:7" ht="18.75" x14ac:dyDescent="0.3">
      <c r="A59" s="2"/>
      <c r="B59" s="11"/>
      <c r="C59" s="8"/>
      <c r="D59" s="5"/>
      <c r="E59" s="4"/>
      <c r="F59" s="12"/>
      <c r="G59" s="2"/>
    </row>
    <row r="60" spans="1:7" ht="37.5" x14ac:dyDescent="0.3">
      <c r="A60" s="2"/>
      <c r="B60" s="11"/>
      <c r="C60" s="8"/>
      <c r="D60" s="19" t="s">
        <v>36</v>
      </c>
      <c r="E60" s="69" t="s">
        <v>37</v>
      </c>
      <c r="F60" s="12"/>
      <c r="G60" s="2"/>
    </row>
    <row r="61" spans="1:7" ht="18.75" x14ac:dyDescent="0.3">
      <c r="A61" s="2"/>
      <c r="B61" s="11"/>
      <c r="C61" s="8"/>
      <c r="D61" s="5"/>
      <c r="E61" s="4"/>
      <c r="F61" s="12"/>
      <c r="G61" s="2"/>
    </row>
    <row r="62" spans="1:7" ht="45.75" x14ac:dyDescent="0.3">
      <c r="A62" s="2"/>
      <c r="B62" s="11"/>
      <c r="C62" s="8"/>
      <c r="D62" s="19" t="s">
        <v>38</v>
      </c>
      <c r="E62" s="71" t="s">
        <v>39</v>
      </c>
      <c r="F62" s="12"/>
      <c r="G62" s="2"/>
    </row>
    <row r="63" spans="1:7" ht="18.75" x14ac:dyDescent="0.3">
      <c r="A63" s="2"/>
      <c r="B63" s="11"/>
      <c r="C63" s="8"/>
      <c r="D63" s="5"/>
      <c r="E63" s="3"/>
      <c r="F63" s="12"/>
      <c r="G63" s="2"/>
    </row>
    <row r="64" spans="1:7" ht="37.5" x14ac:dyDescent="0.3">
      <c r="A64" s="2"/>
      <c r="B64" s="11"/>
      <c r="C64" s="8"/>
      <c r="D64" s="19" t="s">
        <v>40</v>
      </c>
      <c r="E64" s="71" t="s">
        <v>27</v>
      </c>
      <c r="F64" s="12"/>
      <c r="G64" s="2"/>
    </row>
    <row r="65" spans="1:7" ht="18.75" x14ac:dyDescent="0.3">
      <c r="A65" s="2"/>
      <c r="B65" s="11"/>
      <c r="C65" s="8"/>
      <c r="D65" s="7"/>
      <c r="E65" s="10"/>
      <c r="F65" s="12"/>
      <c r="G65" s="2"/>
    </row>
    <row r="66" spans="1:7" ht="75" x14ac:dyDescent="0.3">
      <c r="A66" s="2"/>
      <c r="B66" s="11"/>
      <c r="C66" s="8"/>
      <c r="D66" s="19" t="s">
        <v>41</v>
      </c>
      <c r="E66" s="69" t="s">
        <v>27</v>
      </c>
      <c r="F66" s="12"/>
      <c r="G66" s="2"/>
    </row>
    <row r="67" spans="1:7" ht="18.75" x14ac:dyDescent="0.3">
      <c r="A67" s="2"/>
      <c r="B67" s="11"/>
      <c r="C67" s="8"/>
      <c r="D67" s="7"/>
      <c r="E67" s="10"/>
      <c r="F67" s="12"/>
      <c r="G67" s="2"/>
    </row>
    <row r="68" spans="1:7" ht="30.75" x14ac:dyDescent="0.3">
      <c r="A68" s="2"/>
      <c r="B68" s="11"/>
      <c r="C68" s="8"/>
      <c r="D68" s="18" t="s">
        <v>42</v>
      </c>
      <c r="E68" s="67" t="s">
        <v>43</v>
      </c>
      <c r="F68" s="12"/>
      <c r="G68" s="2"/>
    </row>
    <row r="69" spans="1:7" ht="18.75" x14ac:dyDescent="0.3">
      <c r="A69" s="2"/>
      <c r="B69" s="11"/>
      <c r="C69" s="8"/>
      <c r="D69" s="7"/>
      <c r="E69" s="4"/>
      <c r="F69" s="12"/>
      <c r="G69" s="2"/>
    </row>
    <row r="70" spans="1:7" ht="18.75" x14ac:dyDescent="0.3">
      <c r="A70" s="2"/>
      <c r="B70" s="11"/>
      <c r="C70" s="8"/>
      <c r="D70" s="18" t="s">
        <v>2</v>
      </c>
      <c r="E70" s="69" t="s">
        <v>44</v>
      </c>
      <c r="F70" s="12"/>
      <c r="G70" s="2"/>
    </row>
    <row r="71" spans="1:7" ht="18.75" x14ac:dyDescent="0.3">
      <c r="A71" s="2"/>
      <c r="B71" s="11"/>
      <c r="C71" s="8"/>
      <c r="D71" s="7"/>
      <c r="E71" s="4"/>
      <c r="F71" s="12"/>
      <c r="G71" s="2"/>
    </row>
    <row r="72" spans="1:7" ht="18.75" x14ac:dyDescent="0.3">
      <c r="A72" s="2"/>
      <c r="B72" s="11"/>
      <c r="C72" s="8"/>
      <c r="D72" s="18" t="s">
        <v>45</v>
      </c>
      <c r="E72" s="69" t="s">
        <v>46</v>
      </c>
      <c r="F72" s="12"/>
      <c r="G72" s="2"/>
    </row>
    <row r="73" spans="1:7" ht="18.75" x14ac:dyDescent="0.3">
      <c r="A73" s="2"/>
      <c r="B73" s="11"/>
      <c r="C73" s="8"/>
      <c r="D73" s="7"/>
      <c r="E73" s="4"/>
      <c r="F73" s="12"/>
      <c r="G73" s="2"/>
    </row>
    <row r="74" spans="1:7" ht="18.75" x14ac:dyDescent="0.3">
      <c r="A74" s="2"/>
      <c r="B74" s="11"/>
      <c r="C74" s="8"/>
      <c r="D74" s="18" t="s">
        <v>47</v>
      </c>
      <c r="E74" s="75" t="s">
        <v>27</v>
      </c>
      <c r="F74" s="12"/>
      <c r="G74" s="2"/>
    </row>
    <row r="75" spans="1:7" ht="19.5" thickBot="1" x14ac:dyDescent="0.35">
      <c r="A75" s="2"/>
      <c r="B75" s="13"/>
      <c r="C75" s="24"/>
      <c r="D75" s="14"/>
      <c r="E75" s="15"/>
      <c r="F75" s="16"/>
      <c r="G75" s="2"/>
    </row>
    <row r="76" spans="1:7" x14ac:dyDescent="0.25">
      <c r="A76" s="2"/>
      <c r="B76" s="2"/>
      <c r="C76" s="2"/>
      <c r="D76" s="2"/>
      <c r="E76" s="2"/>
      <c r="F76" s="2"/>
      <c r="G76" s="2"/>
    </row>
  </sheetData>
  <mergeCells count="1">
    <mergeCell ref="B9:F10"/>
  </mergeCells>
  <hyperlinks>
    <hyperlink ref="E52" r:id="rId1" display="mailto:JT.renew@gmail.com" xr:uid="{0B68630C-43AC-43ED-B18D-BD25E7FF7376}"/>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anchor moveWithCells="1">
                  <from>
                    <xdr:col>4</xdr:col>
                    <xdr:colOff>47625</xdr:colOff>
                    <xdr:row>11</xdr:row>
                    <xdr:rowOff>57150</xdr:rowOff>
                  </from>
                  <to>
                    <xdr:col>4</xdr:col>
                    <xdr:colOff>1352550</xdr:colOff>
                    <xdr:row>11</xdr:row>
                    <xdr:rowOff>276225</xdr:rowOff>
                  </to>
                </anchor>
              </controlPr>
            </control>
          </mc:Choice>
        </mc:AlternateContent>
        <mc:AlternateContent xmlns:mc="http://schemas.openxmlformats.org/markup-compatibility/2006">
          <mc:Choice Requires="x14">
            <control shapeId="1026" r:id="rId6" name="Check Box 2">
              <controlPr defaultSize="0" autoFill="0" autoLine="0" autoPict="0">
                <anchor moveWithCells="1">
                  <from>
                    <xdr:col>4</xdr:col>
                    <xdr:colOff>47625</xdr:colOff>
                    <xdr:row>11</xdr:row>
                    <xdr:rowOff>228600</xdr:rowOff>
                  </from>
                  <to>
                    <xdr:col>4</xdr:col>
                    <xdr:colOff>1352550</xdr:colOff>
                    <xdr:row>11</xdr:row>
                    <xdr:rowOff>447675</xdr:rowOff>
                  </to>
                </anchor>
              </controlPr>
            </control>
          </mc:Choice>
        </mc:AlternateContent>
        <mc:AlternateContent xmlns:mc="http://schemas.openxmlformats.org/markup-compatibility/2006">
          <mc:Choice Requires="x14">
            <control shapeId="1027" r:id="rId7" name="Check Box 3">
              <controlPr defaultSize="0" autoFill="0" autoLine="0" autoPict="0">
                <anchor moveWithCells="1">
                  <from>
                    <xdr:col>4</xdr:col>
                    <xdr:colOff>28575</xdr:colOff>
                    <xdr:row>13</xdr:row>
                    <xdr:rowOff>28575</xdr:rowOff>
                  </from>
                  <to>
                    <xdr:col>4</xdr:col>
                    <xdr:colOff>1333500</xdr:colOff>
                    <xdr:row>13</xdr:row>
                    <xdr:rowOff>247650</xdr:rowOff>
                  </to>
                </anchor>
              </controlPr>
            </control>
          </mc:Choice>
        </mc:AlternateContent>
        <mc:AlternateContent xmlns:mc="http://schemas.openxmlformats.org/markup-compatibility/2006">
          <mc:Choice Requires="x14">
            <control shapeId="1028" r:id="rId8" name="Check Box 4">
              <controlPr defaultSize="0" autoFill="0" autoLine="0" autoPict="0">
                <anchor moveWithCells="1">
                  <from>
                    <xdr:col>4</xdr:col>
                    <xdr:colOff>38100</xdr:colOff>
                    <xdr:row>13</xdr:row>
                    <xdr:rowOff>438150</xdr:rowOff>
                  </from>
                  <to>
                    <xdr:col>4</xdr:col>
                    <xdr:colOff>1343025</xdr:colOff>
                    <xdr:row>13</xdr:row>
                    <xdr:rowOff>657225</xdr:rowOff>
                  </to>
                </anchor>
              </controlPr>
            </control>
          </mc:Choice>
        </mc:AlternateContent>
        <mc:AlternateContent xmlns:mc="http://schemas.openxmlformats.org/markup-compatibility/2006">
          <mc:Choice Requires="x14">
            <control shapeId="1029" r:id="rId9" name="Check Box 5">
              <controlPr defaultSize="0" autoFill="0" autoLine="0" autoPict="0">
                <anchor moveWithCells="1">
                  <from>
                    <xdr:col>4</xdr:col>
                    <xdr:colOff>28575</xdr:colOff>
                    <xdr:row>13</xdr:row>
                    <xdr:rowOff>238125</xdr:rowOff>
                  </from>
                  <to>
                    <xdr:col>4</xdr:col>
                    <xdr:colOff>1333500</xdr:colOff>
                    <xdr:row>13</xdr:row>
                    <xdr:rowOff>457200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4</xdr:col>
                    <xdr:colOff>47625</xdr:colOff>
                    <xdr:row>49</xdr:row>
                    <xdr:rowOff>57150</xdr:rowOff>
                  </from>
                  <to>
                    <xdr:col>4</xdr:col>
                    <xdr:colOff>2066925</xdr:colOff>
                    <xdr:row>49</xdr:row>
                    <xdr:rowOff>276225</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4</xdr:col>
                    <xdr:colOff>47625</xdr:colOff>
                    <xdr:row>49</xdr:row>
                    <xdr:rowOff>276225</xdr:rowOff>
                  </from>
                  <to>
                    <xdr:col>4</xdr:col>
                    <xdr:colOff>1800225</xdr:colOff>
                    <xdr:row>49</xdr:row>
                    <xdr:rowOff>495300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4</xdr:col>
                    <xdr:colOff>47625</xdr:colOff>
                    <xdr:row>49</xdr:row>
                    <xdr:rowOff>485775</xdr:rowOff>
                  </from>
                  <to>
                    <xdr:col>4</xdr:col>
                    <xdr:colOff>3524250</xdr:colOff>
                    <xdr:row>49</xdr:row>
                    <xdr:rowOff>704850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4</xdr:col>
                    <xdr:colOff>47625</xdr:colOff>
                    <xdr:row>49</xdr:row>
                    <xdr:rowOff>695325</xdr:rowOff>
                  </from>
                  <to>
                    <xdr:col>4</xdr:col>
                    <xdr:colOff>1800225</xdr:colOff>
                    <xdr:row>49</xdr:row>
                    <xdr:rowOff>914400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4</xdr:col>
                    <xdr:colOff>47625</xdr:colOff>
                    <xdr:row>55</xdr:row>
                    <xdr:rowOff>57150</xdr:rowOff>
                  </from>
                  <to>
                    <xdr:col>4</xdr:col>
                    <xdr:colOff>2228850</xdr:colOff>
                    <xdr:row>55</xdr:row>
                    <xdr:rowOff>276225</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4</xdr:col>
                    <xdr:colOff>47625</xdr:colOff>
                    <xdr:row>55</xdr:row>
                    <xdr:rowOff>238125</xdr:rowOff>
                  </from>
                  <to>
                    <xdr:col>4</xdr:col>
                    <xdr:colOff>2066925</xdr:colOff>
                    <xdr:row>55</xdr:row>
                    <xdr:rowOff>457200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4</xdr:col>
                    <xdr:colOff>47625</xdr:colOff>
                    <xdr:row>55</xdr:row>
                    <xdr:rowOff>428625</xdr:rowOff>
                  </from>
                  <to>
                    <xdr:col>4</xdr:col>
                    <xdr:colOff>2066925</xdr:colOff>
                    <xdr:row>55</xdr:row>
                    <xdr:rowOff>647700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4</xdr:col>
                    <xdr:colOff>47625</xdr:colOff>
                    <xdr:row>57</xdr:row>
                    <xdr:rowOff>57150</xdr:rowOff>
                  </from>
                  <to>
                    <xdr:col>4</xdr:col>
                    <xdr:colOff>2228850</xdr:colOff>
                    <xdr:row>57</xdr:row>
                    <xdr:rowOff>276225</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4</xdr:col>
                    <xdr:colOff>47625</xdr:colOff>
                    <xdr:row>57</xdr:row>
                    <xdr:rowOff>247650</xdr:rowOff>
                  </from>
                  <to>
                    <xdr:col>4</xdr:col>
                    <xdr:colOff>2228850</xdr:colOff>
                    <xdr:row>57</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41915-A7C5-4250-AC95-F70D3B9C45A2}">
  <sheetPr codeName="Sheet2"/>
  <dimension ref="A1:U160"/>
  <sheetViews>
    <sheetView topLeftCell="A21" zoomScaleNormal="100" workbookViewId="0">
      <selection activeCell="D15" sqref="D15:E15"/>
    </sheetView>
  </sheetViews>
  <sheetFormatPr defaultRowHeight="15" x14ac:dyDescent="0.25"/>
  <cols>
    <col min="1" max="19" width="9.140625" style="1"/>
    <col min="20" max="20" width="11.140625" style="1" customWidth="1"/>
    <col min="21" max="16384" width="9.140625" style="1"/>
  </cols>
  <sheetData>
    <row r="1" spans="1:21" x14ac:dyDescent="0.25">
      <c r="A1" s="2"/>
      <c r="B1" s="2"/>
      <c r="C1" s="2"/>
      <c r="D1" s="2"/>
      <c r="E1" s="2"/>
      <c r="F1" s="2"/>
      <c r="G1" s="2"/>
      <c r="H1" s="2"/>
      <c r="I1" s="2"/>
      <c r="J1" s="2"/>
      <c r="K1" s="2"/>
      <c r="L1" s="2"/>
      <c r="M1" s="2"/>
      <c r="N1" s="2"/>
      <c r="O1" s="2"/>
      <c r="P1" s="2"/>
      <c r="Q1" s="2"/>
      <c r="R1" s="2"/>
      <c r="S1" s="2"/>
      <c r="T1" s="2"/>
      <c r="U1" s="2"/>
    </row>
    <row r="2" spans="1:21" x14ac:dyDescent="0.25">
      <c r="A2" s="2"/>
      <c r="B2" s="2"/>
      <c r="C2" s="2"/>
      <c r="D2" s="2"/>
      <c r="E2" s="2"/>
      <c r="F2" s="2"/>
      <c r="G2" s="2"/>
      <c r="H2" s="2"/>
      <c r="I2" s="2"/>
      <c r="J2" s="2"/>
      <c r="K2" s="2"/>
      <c r="L2" s="2"/>
      <c r="M2" s="2"/>
      <c r="N2" s="2"/>
      <c r="O2" s="2"/>
      <c r="P2" s="2"/>
      <c r="Q2" s="2"/>
      <c r="R2" s="2"/>
      <c r="S2" s="2"/>
      <c r="T2" s="2"/>
      <c r="U2" s="2"/>
    </row>
    <row r="3" spans="1:21" ht="15.75" thickBot="1" x14ac:dyDescent="0.3">
      <c r="A3" s="2"/>
      <c r="B3" s="2"/>
      <c r="C3" s="2"/>
      <c r="D3" s="2"/>
      <c r="E3" s="2"/>
      <c r="F3" s="2"/>
      <c r="G3" s="2"/>
      <c r="H3" s="2"/>
      <c r="I3" s="2"/>
      <c r="J3" s="2"/>
      <c r="K3" s="2"/>
      <c r="L3" s="2"/>
      <c r="M3" s="2"/>
      <c r="N3" s="2"/>
      <c r="O3" s="2"/>
      <c r="P3" s="2"/>
      <c r="Q3" s="2"/>
      <c r="R3" s="2"/>
      <c r="S3" s="2"/>
      <c r="T3" s="2"/>
      <c r="U3" s="2"/>
    </row>
    <row r="4" spans="1:21" x14ac:dyDescent="0.25">
      <c r="A4" s="2"/>
      <c r="B4" s="129" t="s">
        <v>48</v>
      </c>
      <c r="C4" s="130"/>
      <c r="D4" s="130"/>
      <c r="E4" s="130"/>
      <c r="F4" s="130"/>
      <c r="G4" s="130"/>
      <c r="H4" s="130"/>
      <c r="I4" s="130"/>
      <c r="J4" s="130"/>
      <c r="K4" s="130"/>
      <c r="L4" s="130"/>
      <c r="M4" s="130"/>
      <c r="N4" s="130"/>
      <c r="O4" s="130"/>
      <c r="P4" s="130"/>
      <c r="Q4" s="130"/>
      <c r="R4" s="130"/>
      <c r="S4" s="130"/>
      <c r="T4" s="131"/>
      <c r="U4" s="2"/>
    </row>
    <row r="5" spans="1:21" x14ac:dyDescent="0.25">
      <c r="A5" s="2"/>
      <c r="B5" s="132"/>
      <c r="C5" s="133"/>
      <c r="D5" s="133"/>
      <c r="E5" s="133"/>
      <c r="F5" s="133"/>
      <c r="G5" s="133"/>
      <c r="H5" s="133"/>
      <c r="I5" s="133"/>
      <c r="J5" s="133"/>
      <c r="K5" s="133"/>
      <c r="L5" s="133"/>
      <c r="M5" s="133"/>
      <c r="N5" s="133"/>
      <c r="O5" s="133"/>
      <c r="P5" s="133"/>
      <c r="Q5" s="133"/>
      <c r="R5" s="133"/>
      <c r="S5" s="133"/>
      <c r="T5" s="134"/>
      <c r="U5" s="2"/>
    </row>
    <row r="6" spans="1:21" ht="15.75" thickBot="1" x14ac:dyDescent="0.3">
      <c r="A6" s="2"/>
      <c r="B6" s="135"/>
      <c r="C6" s="136"/>
      <c r="D6" s="136"/>
      <c r="E6" s="136"/>
      <c r="F6" s="136"/>
      <c r="G6" s="136"/>
      <c r="H6" s="136"/>
      <c r="I6" s="136"/>
      <c r="J6" s="136"/>
      <c r="K6" s="136"/>
      <c r="L6" s="136"/>
      <c r="M6" s="136"/>
      <c r="N6" s="136"/>
      <c r="O6" s="136"/>
      <c r="P6" s="136"/>
      <c r="Q6" s="136"/>
      <c r="R6" s="136"/>
      <c r="S6" s="136"/>
      <c r="T6" s="137"/>
      <c r="U6" s="2"/>
    </row>
    <row r="7" spans="1:21" ht="15.75" thickTop="1" x14ac:dyDescent="0.25">
      <c r="A7" s="2"/>
      <c r="B7" s="11"/>
      <c r="C7" s="8"/>
      <c r="D7" s="8"/>
      <c r="E7" s="8"/>
      <c r="F7" s="8"/>
      <c r="G7" s="8"/>
      <c r="H7" s="8"/>
      <c r="I7" s="8"/>
      <c r="J7" s="8"/>
      <c r="K7" s="8"/>
      <c r="L7" s="8"/>
      <c r="M7" s="8"/>
      <c r="N7" s="8"/>
      <c r="O7" s="8"/>
      <c r="P7" s="8"/>
      <c r="Q7" s="8"/>
      <c r="R7" s="8"/>
      <c r="S7" s="8"/>
      <c r="T7" s="12"/>
      <c r="U7" s="2"/>
    </row>
    <row r="8" spans="1:21" ht="15.75" x14ac:dyDescent="0.25">
      <c r="A8" s="2"/>
      <c r="B8" s="11"/>
      <c r="C8" s="22" t="s">
        <v>49</v>
      </c>
      <c r="D8" s="8"/>
      <c r="E8" s="8"/>
      <c r="F8" s="8"/>
      <c r="G8" s="8"/>
      <c r="H8" s="8"/>
      <c r="I8" s="8"/>
      <c r="J8" s="8"/>
      <c r="K8" s="8"/>
      <c r="L8" s="8"/>
      <c r="M8" s="8"/>
      <c r="N8" s="8"/>
      <c r="O8" s="8"/>
      <c r="P8" s="8"/>
      <c r="Q8" s="8"/>
      <c r="R8" s="8"/>
      <c r="S8" s="8"/>
      <c r="T8" s="12"/>
      <c r="U8" s="2"/>
    </row>
    <row r="9" spans="1:21" x14ac:dyDescent="0.25">
      <c r="A9" s="2"/>
      <c r="B9" s="11"/>
      <c r="C9" s="138" t="s">
        <v>50</v>
      </c>
      <c r="D9" s="138"/>
      <c r="E9" s="138"/>
      <c r="F9" s="138"/>
      <c r="G9" s="138"/>
      <c r="H9" s="138"/>
      <c r="I9" s="138"/>
      <c r="J9" s="138"/>
      <c r="K9" s="138"/>
      <c r="L9" s="138"/>
      <c r="M9" s="138"/>
      <c r="N9" s="138"/>
      <c r="O9" s="138"/>
      <c r="P9" s="138"/>
      <c r="Q9" s="138"/>
      <c r="R9" s="138"/>
      <c r="S9" s="138"/>
      <c r="T9" s="12"/>
      <c r="U9" s="2"/>
    </row>
    <row r="10" spans="1:21" x14ac:dyDescent="0.25">
      <c r="A10" s="2"/>
      <c r="B10" s="11"/>
      <c r="C10" s="138"/>
      <c r="D10" s="138"/>
      <c r="E10" s="138"/>
      <c r="F10" s="138"/>
      <c r="G10" s="138"/>
      <c r="H10" s="138"/>
      <c r="I10" s="138"/>
      <c r="J10" s="138"/>
      <c r="K10" s="138"/>
      <c r="L10" s="138"/>
      <c r="M10" s="138"/>
      <c r="N10" s="138"/>
      <c r="O10" s="138"/>
      <c r="P10" s="138"/>
      <c r="Q10" s="138"/>
      <c r="R10" s="138"/>
      <c r="S10" s="138"/>
      <c r="T10" s="12"/>
      <c r="U10" s="2"/>
    </row>
    <row r="11" spans="1:21" x14ac:dyDescent="0.25">
      <c r="A11" s="2"/>
      <c r="B11" s="11"/>
      <c r="C11" s="138"/>
      <c r="D11" s="138"/>
      <c r="E11" s="138"/>
      <c r="F11" s="138"/>
      <c r="G11" s="138"/>
      <c r="H11" s="138"/>
      <c r="I11" s="138"/>
      <c r="J11" s="138"/>
      <c r="K11" s="138"/>
      <c r="L11" s="138"/>
      <c r="M11" s="138"/>
      <c r="N11" s="138"/>
      <c r="O11" s="138"/>
      <c r="P11" s="138"/>
      <c r="Q11" s="138"/>
      <c r="R11" s="138"/>
      <c r="S11" s="138"/>
      <c r="T11" s="12"/>
      <c r="U11" s="2"/>
    </row>
    <row r="12" spans="1:21" x14ac:dyDescent="0.25">
      <c r="A12" s="2"/>
      <c r="B12" s="11"/>
      <c r="C12" s="8"/>
      <c r="D12" s="8"/>
      <c r="E12" s="8"/>
      <c r="F12" s="8"/>
      <c r="G12" s="8"/>
      <c r="H12" s="8"/>
      <c r="I12" s="8"/>
      <c r="J12" s="8"/>
      <c r="K12" s="8"/>
      <c r="L12" s="8"/>
      <c r="M12" s="8"/>
      <c r="N12" s="8"/>
      <c r="O12" s="8"/>
      <c r="P12" s="8"/>
      <c r="Q12" s="8"/>
      <c r="R12" s="8"/>
      <c r="S12" s="8"/>
      <c r="T12" s="12"/>
      <c r="U12" s="2"/>
    </row>
    <row r="13" spans="1:21" x14ac:dyDescent="0.25">
      <c r="A13" s="2"/>
      <c r="B13" s="11"/>
      <c r="C13" s="23" t="s">
        <v>51</v>
      </c>
      <c r="D13" s="8"/>
      <c r="E13" s="8"/>
      <c r="F13" s="8"/>
      <c r="G13" s="8"/>
      <c r="H13" s="8"/>
      <c r="I13" s="8"/>
      <c r="J13" s="8"/>
      <c r="K13" s="8"/>
      <c r="L13" s="8"/>
      <c r="M13" s="8"/>
      <c r="N13" s="8"/>
      <c r="O13" s="8"/>
      <c r="P13" s="8"/>
      <c r="Q13" s="8"/>
      <c r="R13" s="8"/>
      <c r="S13" s="8"/>
      <c r="T13" s="12"/>
      <c r="U13" s="2"/>
    </row>
    <row r="14" spans="1:21" x14ac:dyDescent="0.25">
      <c r="A14" s="2"/>
      <c r="B14" s="11"/>
      <c r="C14" s="8"/>
      <c r="D14" s="8"/>
      <c r="E14" s="8"/>
      <c r="F14" s="8"/>
      <c r="G14" s="8"/>
      <c r="H14" s="8"/>
      <c r="I14" s="8"/>
      <c r="J14" s="8"/>
      <c r="K14" s="8"/>
      <c r="L14" s="8"/>
      <c r="M14" s="8"/>
      <c r="N14" s="8"/>
      <c r="O14" s="8"/>
      <c r="P14" s="8"/>
      <c r="Q14" s="8"/>
      <c r="R14" s="8"/>
      <c r="S14" s="8"/>
      <c r="T14" s="12"/>
      <c r="U14" s="2"/>
    </row>
    <row r="15" spans="1:21" x14ac:dyDescent="0.25">
      <c r="A15" s="2"/>
      <c r="B15" s="11"/>
      <c r="C15" s="8"/>
      <c r="D15" s="147" t="s">
        <v>301</v>
      </c>
      <c r="E15" s="148"/>
      <c r="F15" s="8"/>
      <c r="G15" s="8"/>
      <c r="H15" s="8"/>
      <c r="I15" s="8"/>
      <c r="J15" s="8"/>
      <c r="K15" s="8"/>
      <c r="L15" s="8"/>
      <c r="M15" s="8"/>
      <c r="N15" s="8"/>
      <c r="O15" s="8"/>
      <c r="P15" s="8"/>
      <c r="Q15" s="8"/>
      <c r="R15" s="8"/>
      <c r="S15" s="8"/>
      <c r="T15" s="12"/>
      <c r="U15" s="2"/>
    </row>
    <row r="16" spans="1:21" x14ac:dyDescent="0.25">
      <c r="A16" s="2"/>
      <c r="B16" s="11"/>
      <c r="C16" s="8"/>
      <c r="D16" s="8"/>
      <c r="E16" s="8"/>
      <c r="F16" s="8"/>
      <c r="G16" s="8"/>
      <c r="H16" s="8"/>
      <c r="I16" s="8"/>
      <c r="J16" s="8"/>
      <c r="K16" s="8"/>
      <c r="L16" s="8"/>
      <c r="M16" s="8"/>
      <c r="N16" s="8"/>
      <c r="O16" s="8"/>
      <c r="P16" s="8"/>
      <c r="Q16" s="8"/>
      <c r="R16" s="8"/>
      <c r="S16" s="8"/>
      <c r="T16" s="12"/>
      <c r="U16" s="2"/>
    </row>
    <row r="17" spans="1:21" x14ac:dyDescent="0.25">
      <c r="A17" s="2"/>
      <c r="B17" s="11"/>
      <c r="C17" s="8"/>
      <c r="D17" s="8"/>
      <c r="E17" s="8"/>
      <c r="F17" s="8"/>
      <c r="G17" s="8"/>
      <c r="H17" s="8"/>
      <c r="I17" s="8"/>
      <c r="J17" s="8"/>
      <c r="K17" s="8"/>
      <c r="L17" s="8"/>
      <c r="M17" s="8"/>
      <c r="N17" s="8"/>
      <c r="O17" s="8"/>
      <c r="P17" s="8"/>
      <c r="Q17" s="8"/>
      <c r="R17" s="8"/>
      <c r="S17" s="8"/>
      <c r="T17" s="12"/>
      <c r="U17" s="2"/>
    </row>
    <row r="18" spans="1:21" x14ac:dyDescent="0.25">
      <c r="A18" s="2"/>
      <c r="B18" s="11"/>
      <c r="C18" s="23" t="s">
        <v>52</v>
      </c>
      <c r="D18" s="8"/>
      <c r="E18" s="8"/>
      <c r="F18" s="8"/>
      <c r="G18" s="8"/>
      <c r="H18" s="8"/>
      <c r="I18" s="8"/>
      <c r="J18" s="8"/>
      <c r="K18" s="8"/>
      <c r="L18" s="8"/>
      <c r="M18" s="8"/>
      <c r="N18" s="8"/>
      <c r="O18" s="8"/>
      <c r="P18" s="8"/>
      <c r="Q18" s="8"/>
      <c r="R18" s="8"/>
      <c r="S18" s="8"/>
      <c r="T18" s="12"/>
      <c r="U18" s="2"/>
    </row>
    <row r="19" spans="1:21" ht="15.75" thickBot="1" x14ac:dyDescent="0.3">
      <c r="A19" s="2"/>
      <c r="B19" s="11"/>
      <c r="C19" s="8"/>
      <c r="D19" s="8"/>
      <c r="E19" s="8"/>
      <c r="F19" s="8"/>
      <c r="G19" s="8"/>
      <c r="H19" s="8"/>
      <c r="I19" s="8"/>
      <c r="J19" s="8"/>
      <c r="K19" s="8"/>
      <c r="L19" s="8"/>
      <c r="M19" s="8"/>
      <c r="N19" s="8"/>
      <c r="O19" s="8"/>
      <c r="P19" s="8"/>
      <c r="Q19" s="8"/>
      <c r="R19" s="8"/>
      <c r="S19" s="8"/>
      <c r="T19" s="12"/>
      <c r="U19" s="2"/>
    </row>
    <row r="20" spans="1:21" ht="19.5" thickTop="1" thickBot="1" x14ac:dyDescent="0.4">
      <c r="A20" s="2"/>
      <c r="B20" s="11"/>
      <c r="C20" s="8"/>
      <c r="D20" s="31" t="s">
        <v>53</v>
      </c>
      <c r="E20" s="31">
        <f>IF(AND(D15="Ex-ante"),E47,IF(AND(D15="Ex-post"),E62))</f>
        <v>207.82</v>
      </c>
      <c r="F20" s="8" t="s">
        <v>54</v>
      </c>
      <c r="G20" s="8"/>
      <c r="H20" s="8"/>
      <c r="I20" s="8"/>
      <c r="J20" s="8"/>
      <c r="K20" s="8"/>
      <c r="L20" s="8"/>
      <c r="M20" s="8"/>
      <c r="N20" s="8"/>
      <c r="O20" s="8"/>
      <c r="P20" s="8"/>
      <c r="Q20" s="8"/>
      <c r="R20" s="8"/>
      <c r="S20" s="8"/>
      <c r="T20" s="12"/>
      <c r="U20" s="2"/>
    </row>
    <row r="21" spans="1:21" ht="15.75" thickTop="1" x14ac:dyDescent="0.25">
      <c r="A21" s="2"/>
      <c r="B21" s="11"/>
      <c r="C21" s="8"/>
      <c r="D21" s="8"/>
      <c r="E21" s="8"/>
      <c r="F21" s="8"/>
      <c r="G21" s="8"/>
      <c r="H21" s="8"/>
      <c r="I21" s="8"/>
      <c r="J21" s="8"/>
      <c r="K21" s="8"/>
      <c r="L21" s="8"/>
      <c r="M21" s="8"/>
      <c r="N21" s="8"/>
      <c r="O21" s="8"/>
      <c r="P21" s="8"/>
      <c r="Q21" s="8"/>
      <c r="R21" s="8"/>
      <c r="S21" s="8"/>
      <c r="T21" s="12"/>
      <c r="U21" s="2"/>
    </row>
    <row r="22" spans="1:21" ht="15.75" thickBot="1" x14ac:dyDescent="0.3">
      <c r="A22" s="2"/>
      <c r="B22" s="13"/>
      <c r="C22" s="24"/>
      <c r="D22" s="24"/>
      <c r="E22" s="24"/>
      <c r="F22" s="24"/>
      <c r="G22" s="24"/>
      <c r="H22" s="24"/>
      <c r="I22" s="24"/>
      <c r="J22" s="24"/>
      <c r="K22" s="24"/>
      <c r="L22" s="24"/>
      <c r="M22" s="24"/>
      <c r="N22" s="24"/>
      <c r="O22" s="24"/>
      <c r="P22" s="24"/>
      <c r="Q22" s="24"/>
      <c r="R22" s="24"/>
      <c r="S22" s="24"/>
      <c r="T22" s="16"/>
      <c r="U22" s="2"/>
    </row>
    <row r="23" spans="1:21" x14ac:dyDescent="0.25">
      <c r="A23" s="2"/>
      <c r="B23" s="150" t="s">
        <v>55</v>
      </c>
      <c r="C23" s="133"/>
      <c r="D23" s="133"/>
      <c r="E23" s="133"/>
      <c r="F23" s="133"/>
      <c r="G23" s="133"/>
      <c r="H23" s="133"/>
      <c r="I23" s="133"/>
      <c r="J23" s="133"/>
      <c r="K23" s="133"/>
      <c r="L23" s="133"/>
      <c r="M23" s="133"/>
      <c r="N23" s="133"/>
      <c r="O23" s="133"/>
      <c r="P23" s="133"/>
      <c r="Q23" s="133"/>
      <c r="R23" s="133"/>
      <c r="S23" s="133"/>
      <c r="T23" s="134"/>
      <c r="U23" s="2"/>
    </row>
    <row r="24" spans="1:21" x14ac:dyDescent="0.25">
      <c r="A24" s="2"/>
      <c r="B24" s="132"/>
      <c r="C24" s="133"/>
      <c r="D24" s="133"/>
      <c r="E24" s="133"/>
      <c r="F24" s="133"/>
      <c r="G24" s="133"/>
      <c r="H24" s="133"/>
      <c r="I24" s="133"/>
      <c r="J24" s="133"/>
      <c r="K24" s="133"/>
      <c r="L24" s="133"/>
      <c r="M24" s="133"/>
      <c r="N24" s="133"/>
      <c r="O24" s="133"/>
      <c r="P24" s="133"/>
      <c r="Q24" s="133"/>
      <c r="R24" s="133"/>
      <c r="S24" s="133"/>
      <c r="T24" s="134"/>
      <c r="U24" s="2"/>
    </row>
    <row r="25" spans="1:21" ht="26.25" customHeight="1" thickBot="1" x14ac:dyDescent="0.3">
      <c r="A25" s="2"/>
      <c r="B25" s="135"/>
      <c r="C25" s="136"/>
      <c r="D25" s="136"/>
      <c r="E25" s="136"/>
      <c r="F25" s="136"/>
      <c r="G25" s="136"/>
      <c r="H25" s="136"/>
      <c r="I25" s="136"/>
      <c r="J25" s="136"/>
      <c r="K25" s="136"/>
      <c r="L25" s="136"/>
      <c r="M25" s="136"/>
      <c r="N25" s="136"/>
      <c r="O25" s="136"/>
      <c r="P25" s="136"/>
      <c r="Q25" s="136"/>
      <c r="R25" s="136"/>
      <c r="S25" s="136"/>
      <c r="T25" s="137"/>
      <c r="U25" s="2"/>
    </row>
    <row r="26" spans="1:21" ht="15.75" thickTop="1" x14ac:dyDescent="0.25">
      <c r="A26" s="2"/>
      <c r="B26" s="11"/>
      <c r="C26" s="8"/>
      <c r="D26" s="8"/>
      <c r="E26" s="8"/>
      <c r="F26" s="8"/>
      <c r="G26" s="8"/>
      <c r="H26" s="8"/>
      <c r="I26" s="8"/>
      <c r="J26" s="8"/>
      <c r="K26" s="8"/>
      <c r="L26" s="8"/>
      <c r="M26" s="8"/>
      <c r="N26" s="8"/>
      <c r="O26" s="8"/>
      <c r="P26" s="8"/>
      <c r="Q26" s="8"/>
      <c r="R26" s="8"/>
      <c r="S26" s="8"/>
      <c r="T26" s="12"/>
      <c r="U26" s="2"/>
    </row>
    <row r="27" spans="1:21" ht="15.75" x14ac:dyDescent="0.25">
      <c r="A27" s="2"/>
      <c r="B27" s="11"/>
      <c r="C27" s="56" t="str">
        <f>IF(AND(D15="Ex-ante"),"The Following Data Points are Required.",IF(AND(D15="Ex-post"),"The Following Data Points are Not Required."))</f>
        <v>The Following Data Points are Required.</v>
      </c>
      <c r="D27" s="8"/>
      <c r="E27" s="8"/>
      <c r="F27" s="8"/>
      <c r="G27" s="8"/>
      <c r="H27" s="8"/>
      <c r="I27" s="8"/>
      <c r="J27" s="8"/>
      <c r="K27" s="8"/>
      <c r="L27" s="8"/>
      <c r="M27" s="8"/>
      <c r="N27" s="8"/>
      <c r="O27" s="8"/>
      <c r="P27" s="8"/>
      <c r="Q27" s="8"/>
      <c r="R27" s="8"/>
      <c r="S27" s="8"/>
      <c r="T27" s="12"/>
      <c r="U27" s="2"/>
    </row>
    <row r="28" spans="1:21" x14ac:dyDescent="0.25">
      <c r="A28" s="2"/>
      <c r="B28" s="11"/>
      <c r="C28" s="8"/>
      <c r="D28" s="8"/>
      <c r="E28" s="8"/>
      <c r="F28" s="8"/>
      <c r="G28" s="8"/>
      <c r="H28" s="8"/>
      <c r="I28" s="8"/>
      <c r="J28" s="8"/>
      <c r="K28" s="8"/>
      <c r="L28" s="8"/>
      <c r="M28" s="8"/>
      <c r="N28" s="8"/>
      <c r="O28" s="8"/>
      <c r="P28" s="8"/>
      <c r="Q28" s="8"/>
      <c r="R28" s="8"/>
      <c r="S28" s="8"/>
      <c r="T28" s="12"/>
      <c r="U28" s="2"/>
    </row>
    <row r="29" spans="1:21" ht="15.75" x14ac:dyDescent="0.25">
      <c r="A29" s="2"/>
      <c r="B29" s="11"/>
      <c r="C29" s="22" t="s">
        <v>56</v>
      </c>
      <c r="D29" s="22"/>
      <c r="E29" s="8"/>
      <c r="F29" s="8"/>
      <c r="G29" s="8"/>
      <c r="H29" s="8"/>
      <c r="I29" s="8"/>
      <c r="J29" s="8"/>
      <c r="K29" s="8"/>
      <c r="L29" s="8"/>
      <c r="M29" s="8"/>
      <c r="N29" s="8"/>
      <c r="O29" s="8"/>
      <c r="P29" s="8"/>
      <c r="Q29" s="8"/>
      <c r="R29" s="8"/>
      <c r="S29" s="8"/>
      <c r="T29" s="12"/>
      <c r="U29" s="2"/>
    </row>
    <row r="30" spans="1:21" x14ac:dyDescent="0.25">
      <c r="A30" s="2"/>
      <c r="B30" s="11"/>
      <c r="C30" s="8" t="s">
        <v>57</v>
      </c>
      <c r="D30" s="8"/>
      <c r="E30" s="8"/>
      <c r="F30" s="8"/>
      <c r="G30" s="8"/>
      <c r="H30" s="8"/>
      <c r="I30" s="8"/>
      <c r="J30" s="8"/>
      <c r="K30" s="8"/>
      <c r="L30" s="8"/>
      <c r="M30" s="8"/>
      <c r="N30" s="8"/>
      <c r="O30" s="8"/>
      <c r="P30" s="8"/>
      <c r="Q30" s="8"/>
      <c r="R30" s="8"/>
      <c r="S30" s="8"/>
      <c r="T30" s="12"/>
      <c r="U30" s="2"/>
    </row>
    <row r="31" spans="1:21" x14ac:dyDescent="0.25">
      <c r="A31" s="2"/>
      <c r="B31" s="11"/>
      <c r="C31" s="8"/>
      <c r="D31" s="8"/>
      <c r="E31" s="8"/>
      <c r="F31" s="8"/>
      <c r="G31" s="8"/>
      <c r="H31" s="8"/>
      <c r="I31" s="8"/>
      <c r="J31" s="8"/>
      <c r="K31" s="8"/>
      <c r="L31" s="8"/>
      <c r="M31" s="8"/>
      <c r="N31" s="8"/>
      <c r="O31" s="8"/>
      <c r="P31" s="8"/>
      <c r="Q31" s="8"/>
      <c r="R31" s="8"/>
      <c r="S31" s="8"/>
      <c r="T31" s="12"/>
      <c r="U31" s="2"/>
    </row>
    <row r="32" spans="1:21" x14ac:dyDescent="0.25">
      <c r="A32" s="2"/>
      <c r="B32" s="11"/>
      <c r="C32" s="8"/>
      <c r="D32" s="43" t="s">
        <v>104</v>
      </c>
      <c r="E32" s="8" t="s">
        <v>390</v>
      </c>
      <c r="F32" s="8"/>
      <c r="G32" s="8"/>
      <c r="H32" s="8"/>
      <c r="I32" s="8"/>
      <c r="J32" s="8"/>
      <c r="K32" s="8"/>
      <c r="L32" s="8"/>
      <c r="M32" s="8"/>
      <c r="N32" s="8"/>
      <c r="O32" s="8"/>
      <c r="P32" s="8"/>
      <c r="Q32" s="8"/>
      <c r="R32" s="8"/>
      <c r="S32" s="8"/>
      <c r="T32" s="12"/>
      <c r="U32" s="2"/>
    </row>
    <row r="33" spans="1:21" x14ac:dyDescent="0.25">
      <c r="A33" s="2"/>
      <c r="B33" s="11"/>
      <c r="C33" s="8"/>
      <c r="D33" s="8"/>
      <c r="E33" s="8"/>
      <c r="F33" s="8"/>
      <c r="G33" s="8"/>
      <c r="H33" s="8"/>
      <c r="I33" s="8"/>
      <c r="J33" s="8"/>
      <c r="K33" s="8"/>
      <c r="L33" s="8"/>
      <c r="M33" s="8"/>
      <c r="N33" s="8"/>
      <c r="O33" s="8"/>
      <c r="P33" s="8"/>
      <c r="Q33" s="8"/>
      <c r="R33" s="8"/>
      <c r="S33" s="8"/>
      <c r="T33" s="12"/>
      <c r="U33" s="2"/>
    </row>
    <row r="34" spans="1:21" ht="15" customHeight="1" x14ac:dyDescent="0.25">
      <c r="A34" s="2"/>
      <c r="B34" s="11"/>
      <c r="C34" s="8"/>
      <c r="D34" s="152" t="s">
        <v>105</v>
      </c>
      <c r="E34" s="153"/>
      <c r="F34" s="8" t="s">
        <v>391</v>
      </c>
      <c r="G34" s="8"/>
      <c r="H34" s="8"/>
      <c r="I34" s="8"/>
      <c r="J34" s="8"/>
      <c r="K34" s="8"/>
      <c r="L34" s="8"/>
      <c r="M34" s="8"/>
      <c r="N34" s="8"/>
      <c r="O34" s="8"/>
      <c r="P34" s="8"/>
      <c r="Q34" s="8"/>
      <c r="R34" s="8"/>
      <c r="S34" s="8"/>
      <c r="T34" s="12"/>
      <c r="U34" s="2"/>
    </row>
    <row r="35" spans="1:21" x14ac:dyDescent="0.25">
      <c r="A35" s="2"/>
      <c r="B35" s="11"/>
      <c r="C35" s="8"/>
      <c r="D35" s="8"/>
      <c r="E35" s="8"/>
      <c r="F35" s="8"/>
      <c r="G35" s="8"/>
      <c r="H35" s="8"/>
      <c r="I35" s="8"/>
      <c r="J35" s="8"/>
      <c r="K35" s="8"/>
      <c r="L35" s="8"/>
      <c r="M35" s="8"/>
      <c r="N35" s="8"/>
      <c r="O35" s="8"/>
      <c r="P35" s="8"/>
      <c r="Q35" s="8"/>
      <c r="R35" s="8"/>
      <c r="S35" s="8"/>
      <c r="T35" s="12"/>
      <c r="U35" s="2"/>
    </row>
    <row r="36" spans="1:21" x14ac:dyDescent="0.25">
      <c r="A36" s="2"/>
      <c r="B36" s="11"/>
      <c r="C36" s="8"/>
      <c r="D36" s="152" t="s">
        <v>107</v>
      </c>
      <c r="E36" s="153"/>
      <c r="F36" s="8" t="s">
        <v>392</v>
      </c>
      <c r="G36" s="8"/>
      <c r="H36" s="8"/>
      <c r="I36" s="8"/>
      <c r="J36" s="8"/>
      <c r="K36" s="8"/>
      <c r="L36" s="8"/>
      <c r="M36" s="8"/>
      <c r="N36" s="8"/>
      <c r="O36" s="8"/>
      <c r="P36" s="8"/>
      <c r="Q36" s="8"/>
      <c r="R36" s="8"/>
      <c r="S36" s="8"/>
      <c r="T36" s="12"/>
      <c r="U36" s="2"/>
    </row>
    <row r="37" spans="1:21" x14ac:dyDescent="0.25">
      <c r="A37" s="2"/>
      <c r="B37" s="11"/>
      <c r="C37" s="8"/>
      <c r="D37" s="8"/>
      <c r="E37" s="8"/>
      <c r="F37" s="8"/>
      <c r="G37" s="8"/>
      <c r="H37" s="8"/>
      <c r="I37" s="8"/>
      <c r="J37" s="8"/>
      <c r="K37" s="8"/>
      <c r="L37" s="8"/>
      <c r="M37" s="8"/>
      <c r="N37" s="8"/>
      <c r="O37" s="8"/>
      <c r="P37" s="8"/>
      <c r="Q37" s="8"/>
      <c r="R37" s="8"/>
      <c r="S37" s="8"/>
      <c r="T37" s="12"/>
      <c r="U37" s="2"/>
    </row>
    <row r="38" spans="1:21" ht="15" customHeight="1" x14ac:dyDescent="0.35">
      <c r="A38" s="2"/>
      <c r="B38" s="11"/>
      <c r="C38" s="8"/>
      <c r="D38" s="43" t="s">
        <v>58</v>
      </c>
      <c r="E38" s="8" t="s">
        <v>59</v>
      </c>
      <c r="F38" s="8"/>
      <c r="G38" s="8"/>
      <c r="H38" s="8"/>
      <c r="I38" s="8"/>
      <c r="J38" s="8"/>
      <c r="K38" s="8"/>
      <c r="L38" s="8"/>
      <c r="M38" s="8"/>
      <c r="N38" s="8"/>
      <c r="O38" s="8"/>
      <c r="P38" s="8"/>
      <c r="Q38" s="8"/>
      <c r="R38" s="8"/>
      <c r="S38" s="8"/>
      <c r="T38" s="12"/>
      <c r="U38" s="2"/>
    </row>
    <row r="39" spans="1:21" x14ac:dyDescent="0.25">
      <c r="A39" s="2"/>
      <c r="B39" s="11"/>
      <c r="C39" s="23"/>
      <c r="D39" s="8"/>
      <c r="E39" s="8"/>
      <c r="F39" s="8"/>
      <c r="G39" s="8"/>
      <c r="H39" s="8"/>
      <c r="I39" s="8"/>
      <c r="J39" s="8"/>
      <c r="K39" s="8"/>
      <c r="L39" s="8"/>
      <c r="M39" s="8"/>
      <c r="N39" s="8"/>
      <c r="O39" s="8"/>
      <c r="P39" s="8"/>
      <c r="Q39" s="8"/>
      <c r="R39" s="8"/>
      <c r="S39" s="8"/>
      <c r="T39" s="12"/>
      <c r="U39" s="2"/>
    </row>
    <row r="40" spans="1:21" ht="15" customHeight="1" x14ac:dyDescent="0.35">
      <c r="A40" s="2"/>
      <c r="B40" s="11"/>
      <c r="C40" s="8"/>
      <c r="D40" s="43" t="s">
        <v>60</v>
      </c>
      <c r="E40" s="8" t="s">
        <v>61</v>
      </c>
      <c r="F40" s="8"/>
      <c r="G40" s="8"/>
      <c r="H40" s="8"/>
      <c r="I40" s="8"/>
      <c r="J40" s="8"/>
      <c r="K40" s="8"/>
      <c r="L40" s="8"/>
      <c r="M40" s="8"/>
      <c r="N40" s="8"/>
      <c r="O40" s="8"/>
      <c r="P40" s="8"/>
      <c r="Q40" s="8"/>
      <c r="R40" s="8"/>
      <c r="S40" s="8"/>
      <c r="T40" s="12"/>
      <c r="U40" s="2"/>
    </row>
    <row r="41" spans="1:21" x14ac:dyDescent="0.25">
      <c r="A41" s="2"/>
      <c r="B41" s="11"/>
      <c r="C41" s="8"/>
      <c r="D41" s="8"/>
      <c r="E41" s="8"/>
      <c r="F41" s="8"/>
      <c r="G41" s="8"/>
      <c r="H41" s="8"/>
      <c r="I41" s="8"/>
      <c r="J41" s="8"/>
      <c r="K41" s="8"/>
      <c r="L41" s="8"/>
      <c r="M41" s="8"/>
      <c r="N41" s="8"/>
      <c r="O41" s="8"/>
      <c r="P41" s="8"/>
      <c r="Q41" s="8"/>
      <c r="R41" s="8"/>
      <c r="S41" s="8"/>
      <c r="T41" s="12"/>
      <c r="U41" s="2"/>
    </row>
    <row r="42" spans="1:21" x14ac:dyDescent="0.25">
      <c r="A42" s="2"/>
      <c r="B42" s="11"/>
      <c r="C42" s="8"/>
      <c r="D42" s="8"/>
      <c r="E42" s="8"/>
      <c r="F42" s="8"/>
      <c r="G42" s="8"/>
      <c r="H42" s="8"/>
      <c r="I42" s="8"/>
      <c r="J42" s="8"/>
      <c r="K42" s="8"/>
      <c r="L42" s="8"/>
      <c r="M42" s="8"/>
      <c r="N42" s="8"/>
      <c r="O42" s="8"/>
      <c r="P42" s="8"/>
      <c r="Q42" s="8"/>
      <c r="R42" s="8"/>
      <c r="S42" s="8"/>
      <c r="T42" s="12"/>
      <c r="U42" s="2"/>
    </row>
    <row r="43" spans="1:21" x14ac:dyDescent="0.25">
      <c r="A43" s="2"/>
      <c r="B43" s="11"/>
      <c r="C43" s="8"/>
      <c r="D43" s="8"/>
      <c r="E43" s="8"/>
      <c r="F43" s="8"/>
      <c r="G43" s="8"/>
      <c r="H43" s="8"/>
      <c r="I43" s="8"/>
      <c r="J43" s="8"/>
      <c r="K43" s="8"/>
      <c r="L43" s="8"/>
      <c r="M43" s="8"/>
      <c r="N43" s="8"/>
      <c r="O43" s="8"/>
      <c r="P43" s="8"/>
      <c r="Q43" s="8"/>
      <c r="R43" s="8"/>
      <c r="S43" s="8"/>
      <c r="T43" s="12"/>
      <c r="U43" s="2"/>
    </row>
    <row r="44" spans="1:21" x14ac:dyDescent="0.25">
      <c r="A44" s="2"/>
      <c r="B44" s="11"/>
      <c r="C44" s="8"/>
      <c r="D44" s="8"/>
      <c r="E44" s="8"/>
      <c r="F44" s="8"/>
      <c r="G44" s="8"/>
      <c r="H44" s="8"/>
      <c r="I44" s="8"/>
      <c r="J44" s="8"/>
      <c r="K44" s="8"/>
      <c r="L44" s="8"/>
      <c r="M44" s="8"/>
      <c r="N44" s="8"/>
      <c r="O44" s="8"/>
      <c r="P44" s="8"/>
      <c r="Q44" s="8"/>
      <c r="R44" s="8"/>
      <c r="S44" s="8"/>
      <c r="T44" s="12"/>
      <c r="U44" s="2"/>
    </row>
    <row r="45" spans="1:21" x14ac:dyDescent="0.25">
      <c r="A45" s="2"/>
      <c r="B45" s="11"/>
      <c r="C45" s="23" t="s">
        <v>62</v>
      </c>
      <c r="D45" s="8"/>
      <c r="E45" s="8"/>
      <c r="F45" s="8"/>
      <c r="G45" s="8"/>
      <c r="H45" s="8"/>
      <c r="I45" s="8"/>
      <c r="J45" s="8"/>
      <c r="K45" s="8"/>
      <c r="L45" s="8"/>
      <c r="M45" s="8"/>
      <c r="N45" s="8"/>
      <c r="O45" s="8"/>
      <c r="P45" s="8"/>
      <c r="Q45" s="8"/>
      <c r="R45" s="8"/>
      <c r="S45" s="8"/>
      <c r="T45" s="12"/>
      <c r="U45" s="2"/>
    </row>
    <row r="46" spans="1:21" ht="15.75" thickBot="1" x14ac:dyDescent="0.3">
      <c r="A46" s="2"/>
      <c r="B46" s="11"/>
      <c r="C46" s="8"/>
      <c r="D46" s="8"/>
      <c r="E46" s="8"/>
      <c r="F46" s="8"/>
      <c r="G46" s="8"/>
      <c r="H46" s="8"/>
      <c r="I46" s="8"/>
      <c r="J46" s="8"/>
      <c r="K46" s="8"/>
      <c r="L46" s="8"/>
      <c r="M46" s="8"/>
      <c r="N46" s="8"/>
      <c r="O46" s="8"/>
      <c r="P46" s="8"/>
      <c r="Q46" s="8"/>
      <c r="R46" s="8"/>
      <c r="S46" s="8"/>
      <c r="T46" s="12"/>
      <c r="U46" s="2"/>
    </row>
    <row r="47" spans="1:21" ht="19.5" thickTop="1" thickBot="1" x14ac:dyDescent="0.4">
      <c r="A47" s="2"/>
      <c r="B47" s="11"/>
      <c r="C47" s="8"/>
      <c r="D47" s="31" t="s">
        <v>63</v>
      </c>
      <c r="E47" s="31">
        <f>'Ex-ante Project Sinks'!E12</f>
        <v>207.82</v>
      </c>
      <c r="F47" s="8" t="s">
        <v>64</v>
      </c>
      <c r="G47" s="8"/>
      <c r="H47" s="8"/>
      <c r="I47" s="8"/>
      <c r="J47" s="8"/>
      <c r="K47" s="8"/>
      <c r="L47" s="8"/>
      <c r="M47" s="8"/>
      <c r="N47" s="8"/>
      <c r="O47" s="8"/>
      <c r="P47" s="8"/>
      <c r="Q47" s="8"/>
      <c r="R47" s="8"/>
      <c r="S47" s="8"/>
      <c r="T47" s="12"/>
      <c r="U47" s="2"/>
    </row>
    <row r="48" spans="1:21" ht="15.75" thickTop="1" x14ac:dyDescent="0.25">
      <c r="A48" s="2"/>
      <c r="B48" s="11"/>
      <c r="C48" s="8"/>
      <c r="D48" s="8"/>
      <c r="E48" s="8"/>
      <c r="F48" s="8"/>
      <c r="G48" s="8"/>
      <c r="H48" s="8"/>
      <c r="I48" s="8"/>
      <c r="J48" s="8"/>
      <c r="K48" s="8"/>
      <c r="L48" s="8"/>
      <c r="M48" s="8"/>
      <c r="N48" s="8"/>
      <c r="O48" s="8"/>
      <c r="P48" s="8"/>
      <c r="Q48" s="8"/>
      <c r="R48" s="8"/>
      <c r="S48" s="8"/>
      <c r="T48" s="12"/>
      <c r="U48" s="2"/>
    </row>
    <row r="49" spans="1:21" x14ac:dyDescent="0.25">
      <c r="A49" s="2"/>
      <c r="B49" s="11"/>
      <c r="C49" s="8"/>
      <c r="D49" s="8"/>
      <c r="E49" s="8"/>
      <c r="F49" s="8"/>
      <c r="G49" s="8"/>
      <c r="H49" s="8"/>
      <c r="I49" s="8"/>
      <c r="J49" s="8"/>
      <c r="K49" s="8"/>
      <c r="L49" s="8"/>
      <c r="M49" s="8"/>
      <c r="N49" s="8"/>
      <c r="O49" s="8"/>
      <c r="P49" s="8"/>
      <c r="Q49" s="8"/>
      <c r="R49" s="8"/>
      <c r="S49" s="8"/>
      <c r="T49" s="12"/>
      <c r="U49" s="2"/>
    </row>
    <row r="50" spans="1:21" ht="15.75" thickBot="1" x14ac:dyDescent="0.3">
      <c r="A50" s="2"/>
      <c r="B50" s="13"/>
      <c r="C50" s="24"/>
      <c r="D50" s="24"/>
      <c r="E50" s="24"/>
      <c r="F50" s="24"/>
      <c r="G50" s="24"/>
      <c r="H50" s="24"/>
      <c r="I50" s="24"/>
      <c r="J50" s="24"/>
      <c r="K50" s="24"/>
      <c r="L50" s="24"/>
      <c r="M50" s="24"/>
      <c r="N50" s="24"/>
      <c r="O50" s="24"/>
      <c r="P50" s="24"/>
      <c r="Q50" s="24"/>
      <c r="R50" s="24"/>
      <c r="S50" s="24"/>
      <c r="T50" s="16"/>
      <c r="U50" s="2"/>
    </row>
    <row r="51" spans="1:21" x14ac:dyDescent="0.25">
      <c r="A51" s="2"/>
      <c r="B51" s="151" t="s">
        <v>65</v>
      </c>
      <c r="C51" s="130"/>
      <c r="D51" s="130"/>
      <c r="E51" s="130"/>
      <c r="F51" s="130"/>
      <c r="G51" s="130"/>
      <c r="H51" s="130"/>
      <c r="I51" s="130"/>
      <c r="J51" s="130"/>
      <c r="K51" s="130"/>
      <c r="L51" s="130"/>
      <c r="M51" s="130"/>
      <c r="N51" s="130"/>
      <c r="O51" s="130"/>
      <c r="P51" s="130"/>
      <c r="Q51" s="130"/>
      <c r="R51" s="130"/>
      <c r="S51" s="130"/>
      <c r="T51" s="131"/>
      <c r="U51" s="2"/>
    </row>
    <row r="52" spans="1:21" x14ac:dyDescent="0.25">
      <c r="A52" s="2"/>
      <c r="B52" s="132"/>
      <c r="C52" s="133"/>
      <c r="D52" s="133"/>
      <c r="E52" s="133"/>
      <c r="F52" s="133"/>
      <c r="G52" s="133"/>
      <c r="H52" s="133"/>
      <c r="I52" s="133"/>
      <c r="J52" s="133"/>
      <c r="K52" s="133"/>
      <c r="L52" s="133"/>
      <c r="M52" s="133"/>
      <c r="N52" s="133"/>
      <c r="O52" s="133"/>
      <c r="P52" s="133"/>
      <c r="Q52" s="133"/>
      <c r="R52" s="133"/>
      <c r="S52" s="133"/>
      <c r="T52" s="134"/>
      <c r="U52" s="2"/>
    </row>
    <row r="53" spans="1:21" ht="15.75" thickBot="1" x14ac:dyDescent="0.3">
      <c r="A53" s="2"/>
      <c r="B53" s="135"/>
      <c r="C53" s="136"/>
      <c r="D53" s="136"/>
      <c r="E53" s="136"/>
      <c r="F53" s="136"/>
      <c r="G53" s="136"/>
      <c r="H53" s="136"/>
      <c r="I53" s="136"/>
      <c r="J53" s="136"/>
      <c r="K53" s="136"/>
      <c r="L53" s="136"/>
      <c r="M53" s="136"/>
      <c r="N53" s="136"/>
      <c r="O53" s="136"/>
      <c r="P53" s="136"/>
      <c r="Q53" s="136"/>
      <c r="R53" s="136"/>
      <c r="S53" s="136"/>
      <c r="T53" s="137"/>
      <c r="U53" s="2"/>
    </row>
    <row r="54" spans="1:21" ht="15.75" thickTop="1" x14ac:dyDescent="0.25">
      <c r="A54" s="2"/>
      <c r="B54" s="11"/>
      <c r="C54" s="8"/>
      <c r="D54" s="8"/>
      <c r="E54" s="8"/>
      <c r="F54" s="8"/>
      <c r="G54" s="8"/>
      <c r="H54" s="8"/>
      <c r="I54" s="8"/>
      <c r="J54" s="8"/>
      <c r="K54" s="8"/>
      <c r="L54" s="8"/>
      <c r="M54" s="8"/>
      <c r="N54" s="8"/>
      <c r="O54" s="8"/>
      <c r="P54" s="8"/>
      <c r="Q54" s="8"/>
      <c r="R54" s="8"/>
      <c r="S54" s="8"/>
      <c r="T54" s="12"/>
      <c r="U54" s="2"/>
    </row>
    <row r="55" spans="1:21" ht="15.75" x14ac:dyDescent="0.25">
      <c r="A55" s="2"/>
      <c r="B55" s="11"/>
      <c r="C55" s="56" t="str">
        <f>IF(AND(D15="Ex-post"),"The Following Data Points Including Sections for Direct or Indirect Mineral Carbonation are Required.",IF(AND(D15="Ex-ante"),"The Following Data Points Including Sections for Direct &amp; Indirect Mineral Carbonation are Not Required."))</f>
        <v>The Following Data Points Including Sections for Direct &amp; Indirect Mineral Carbonation are Not Required.</v>
      </c>
      <c r="D55" s="8"/>
      <c r="E55" s="8"/>
      <c r="F55" s="8"/>
      <c r="G55" s="8"/>
      <c r="H55" s="8"/>
      <c r="I55" s="8"/>
      <c r="J55" s="8"/>
      <c r="K55" s="8"/>
      <c r="L55" s="8"/>
      <c r="M55" s="8"/>
      <c r="N55" s="8"/>
      <c r="O55" s="8"/>
      <c r="P55" s="8"/>
      <c r="Q55" s="8"/>
      <c r="R55" s="8"/>
      <c r="S55" s="8"/>
      <c r="T55" s="12"/>
      <c r="U55" s="2"/>
    </row>
    <row r="56" spans="1:21" x14ac:dyDescent="0.25">
      <c r="A56" s="2"/>
      <c r="B56" s="11"/>
      <c r="C56" s="8"/>
      <c r="D56" s="8"/>
      <c r="E56" s="8"/>
      <c r="F56" s="8"/>
      <c r="G56" s="8"/>
      <c r="H56" s="8"/>
      <c r="I56" s="8"/>
      <c r="J56" s="8"/>
      <c r="K56" s="8"/>
      <c r="L56" s="8"/>
      <c r="M56" s="8"/>
      <c r="N56" s="8"/>
      <c r="O56" s="8"/>
      <c r="P56" s="8"/>
      <c r="Q56" s="8"/>
      <c r="R56" s="8"/>
      <c r="S56" s="8"/>
      <c r="T56" s="12"/>
      <c r="U56" s="2"/>
    </row>
    <row r="57" spans="1:21" ht="15.75" x14ac:dyDescent="0.25">
      <c r="A57" s="2"/>
      <c r="B57" s="11"/>
      <c r="C57" s="22" t="s">
        <v>56</v>
      </c>
      <c r="D57" s="8"/>
      <c r="E57" s="8"/>
      <c r="F57" s="8"/>
      <c r="G57" s="8"/>
      <c r="H57" s="8"/>
      <c r="I57" s="8"/>
      <c r="J57" s="8"/>
      <c r="K57" s="8"/>
      <c r="L57" s="8"/>
      <c r="M57" s="8"/>
      <c r="N57" s="8"/>
      <c r="O57" s="8"/>
      <c r="P57" s="8"/>
      <c r="Q57" s="8"/>
      <c r="R57" s="8"/>
      <c r="S57" s="8"/>
      <c r="T57" s="12"/>
      <c r="U57" s="2"/>
    </row>
    <row r="58" spans="1:21" x14ac:dyDescent="0.25">
      <c r="A58" s="2"/>
      <c r="B58" s="11"/>
      <c r="C58" s="8" t="s">
        <v>66</v>
      </c>
      <c r="D58" s="8"/>
      <c r="E58" s="8"/>
      <c r="F58" s="8"/>
      <c r="G58" s="8"/>
      <c r="H58" s="8"/>
      <c r="I58" s="8"/>
      <c r="J58" s="8"/>
      <c r="K58" s="8"/>
      <c r="L58" s="8"/>
      <c r="M58" s="8"/>
      <c r="N58" s="8"/>
      <c r="O58" s="8"/>
      <c r="P58" s="8"/>
      <c r="Q58" s="8"/>
      <c r="R58" s="8"/>
      <c r="S58" s="8"/>
      <c r="T58" s="12"/>
      <c r="U58" s="2"/>
    </row>
    <row r="59" spans="1:21" ht="18.75" customHeight="1" x14ac:dyDescent="0.25">
      <c r="A59" s="2"/>
      <c r="B59" s="11"/>
      <c r="C59" s="8"/>
      <c r="D59" s="8"/>
      <c r="E59" s="8"/>
      <c r="F59" s="8"/>
      <c r="G59" s="8"/>
      <c r="H59" s="8"/>
      <c r="I59" s="8"/>
      <c r="J59" s="8"/>
      <c r="K59" s="8"/>
      <c r="L59" s="8"/>
      <c r="M59" s="8"/>
      <c r="N59" s="8"/>
      <c r="O59" s="8"/>
      <c r="P59" s="8"/>
      <c r="Q59" s="8"/>
      <c r="R59" s="8"/>
      <c r="S59" s="8"/>
      <c r="T59" s="12"/>
      <c r="U59" s="2"/>
    </row>
    <row r="60" spans="1:21" ht="18.75" customHeight="1" x14ac:dyDescent="0.25">
      <c r="A60" s="2"/>
      <c r="B60" s="11"/>
      <c r="C60" s="23" t="s">
        <v>62</v>
      </c>
      <c r="D60" s="8"/>
      <c r="E60" s="8"/>
      <c r="F60" s="8"/>
      <c r="G60" s="8"/>
      <c r="H60" s="8"/>
      <c r="I60" s="8"/>
      <c r="J60" s="8"/>
      <c r="K60" s="8"/>
      <c r="L60" s="8"/>
      <c r="M60" s="8"/>
      <c r="N60" s="8"/>
      <c r="O60" s="8"/>
      <c r="P60" s="8"/>
      <c r="Q60" s="8"/>
      <c r="R60" s="8"/>
      <c r="S60" s="8"/>
      <c r="T60" s="12"/>
      <c r="U60" s="2"/>
    </row>
    <row r="61" spans="1:21" ht="15.75" thickBot="1" x14ac:dyDescent="0.3">
      <c r="A61" s="2"/>
      <c r="B61" s="11"/>
      <c r="C61" s="8"/>
      <c r="D61" s="8"/>
      <c r="E61" s="8"/>
      <c r="F61" s="8"/>
      <c r="G61" s="8"/>
      <c r="H61" s="8"/>
      <c r="I61" s="8"/>
      <c r="J61" s="8"/>
      <c r="K61" s="8"/>
      <c r="L61" s="8"/>
      <c r="M61" s="8"/>
      <c r="N61" s="8"/>
      <c r="O61" s="8"/>
      <c r="P61" s="8"/>
      <c r="Q61" s="8"/>
      <c r="R61" s="8"/>
      <c r="S61" s="8"/>
      <c r="T61" s="12"/>
      <c r="U61" s="2"/>
    </row>
    <row r="62" spans="1:21" ht="19.5" thickTop="1" thickBot="1" x14ac:dyDescent="0.4">
      <c r="A62" s="2"/>
      <c r="B62" s="11"/>
      <c r="C62" s="8"/>
      <c r="D62" s="31" t="s">
        <v>67</v>
      </c>
      <c r="E62" s="31" t="e">
        <f>IF(AND(D70="Direct Mineral Carbonation"),E123,IF(AND(D70="Indirect Mineral Carbonation"),E155))</f>
        <v>#DIV/0!</v>
      </c>
      <c r="F62" s="128" t="s">
        <v>68</v>
      </c>
      <c r="G62" s="128"/>
      <c r="H62" s="128"/>
      <c r="I62" s="128"/>
      <c r="J62" s="128"/>
      <c r="K62" s="128"/>
      <c r="L62" s="128"/>
      <c r="M62" s="128"/>
      <c r="N62" s="128"/>
      <c r="O62" s="128"/>
      <c r="P62" s="128"/>
      <c r="Q62" s="128"/>
      <c r="R62" s="128"/>
      <c r="S62" s="128"/>
      <c r="T62" s="12"/>
      <c r="U62" s="2"/>
    </row>
    <row r="63" spans="1:21" ht="15.75" thickTop="1" x14ac:dyDescent="0.25">
      <c r="A63" s="2"/>
      <c r="B63" s="11"/>
      <c r="C63" s="8"/>
      <c r="D63" s="8"/>
      <c r="E63" s="8"/>
      <c r="F63" s="128"/>
      <c r="G63" s="128"/>
      <c r="H63" s="128"/>
      <c r="I63" s="128"/>
      <c r="J63" s="128"/>
      <c r="K63" s="128"/>
      <c r="L63" s="128"/>
      <c r="M63" s="128"/>
      <c r="N63" s="128"/>
      <c r="O63" s="128"/>
      <c r="P63" s="128"/>
      <c r="Q63" s="128"/>
      <c r="R63" s="128"/>
      <c r="S63" s="128"/>
      <c r="T63" s="12"/>
      <c r="U63" s="2"/>
    </row>
    <row r="64" spans="1:21" x14ac:dyDescent="0.25">
      <c r="A64" s="2"/>
      <c r="B64" s="11"/>
      <c r="C64" s="8"/>
      <c r="D64" s="8"/>
      <c r="E64" s="8"/>
      <c r="F64" s="8"/>
      <c r="G64" s="8"/>
      <c r="H64" s="8"/>
      <c r="I64" s="8"/>
      <c r="J64" s="8"/>
      <c r="K64" s="8"/>
      <c r="L64" s="8"/>
      <c r="M64" s="8"/>
      <c r="N64" s="8"/>
      <c r="O64" s="8"/>
      <c r="P64" s="8"/>
      <c r="Q64" s="8"/>
      <c r="R64" s="8"/>
      <c r="S64" s="8"/>
      <c r="T64" s="12"/>
      <c r="U64" s="2"/>
    </row>
    <row r="65" spans="1:21" x14ac:dyDescent="0.25">
      <c r="A65" s="2"/>
      <c r="B65" s="11"/>
      <c r="C65" s="8"/>
      <c r="D65" s="8"/>
      <c r="E65" s="8"/>
      <c r="F65" s="8"/>
      <c r="G65" s="8"/>
      <c r="H65" s="8"/>
      <c r="I65" s="8"/>
      <c r="J65" s="8"/>
      <c r="K65" s="8"/>
      <c r="L65" s="8"/>
      <c r="M65" s="8"/>
      <c r="N65" s="8"/>
      <c r="O65" s="8"/>
      <c r="P65" s="8"/>
      <c r="Q65" s="8"/>
      <c r="R65" s="8"/>
      <c r="S65" s="8"/>
      <c r="T65" s="12"/>
      <c r="U65" s="2"/>
    </row>
    <row r="66" spans="1:21" ht="18.75" x14ac:dyDescent="0.35">
      <c r="A66" s="2"/>
      <c r="B66" s="11"/>
      <c r="C66" s="26" t="s">
        <v>69</v>
      </c>
      <c r="D66" s="8"/>
      <c r="E66" s="8"/>
      <c r="F66" s="8"/>
      <c r="G66" s="8"/>
      <c r="H66" s="8"/>
      <c r="I66" s="8"/>
      <c r="J66" s="8"/>
      <c r="K66" s="8"/>
      <c r="L66" s="8"/>
      <c r="M66" s="8"/>
      <c r="N66" s="8"/>
      <c r="O66" s="8"/>
      <c r="P66" s="8"/>
      <c r="Q66" s="8"/>
      <c r="R66" s="8"/>
      <c r="S66" s="8"/>
      <c r="T66" s="12"/>
      <c r="U66" s="2"/>
    </row>
    <row r="67" spans="1:21" x14ac:dyDescent="0.25">
      <c r="A67" s="2"/>
      <c r="B67" s="11"/>
      <c r="C67" s="23"/>
      <c r="D67" s="8"/>
      <c r="E67" s="8"/>
      <c r="F67" s="8"/>
      <c r="G67" s="8"/>
      <c r="H67" s="8"/>
      <c r="I67" s="8"/>
      <c r="J67" s="8"/>
      <c r="K67" s="8"/>
      <c r="L67" s="8"/>
      <c r="M67" s="8"/>
      <c r="N67" s="8"/>
      <c r="O67" s="8"/>
      <c r="P67" s="8"/>
      <c r="Q67" s="8"/>
      <c r="R67" s="8"/>
      <c r="S67" s="8"/>
      <c r="T67" s="12"/>
      <c r="U67" s="2"/>
    </row>
    <row r="68" spans="1:21" x14ac:dyDescent="0.25">
      <c r="A68" s="2"/>
      <c r="B68" s="11"/>
      <c r="C68" s="23" t="s">
        <v>70</v>
      </c>
      <c r="D68" s="8"/>
      <c r="E68" s="8"/>
      <c r="F68" s="8"/>
      <c r="G68" s="8"/>
      <c r="H68" s="8"/>
      <c r="I68" s="8"/>
      <c r="J68" s="8"/>
      <c r="K68" s="8"/>
      <c r="L68" s="8"/>
      <c r="M68" s="8"/>
      <c r="N68" s="8"/>
      <c r="O68" s="8"/>
      <c r="P68" s="8"/>
      <c r="Q68" s="8"/>
      <c r="R68" s="8"/>
      <c r="S68" s="8"/>
      <c r="T68" s="12"/>
      <c r="U68" s="2"/>
    </row>
    <row r="69" spans="1:21" x14ac:dyDescent="0.25">
      <c r="A69" s="2"/>
      <c r="B69" s="11"/>
      <c r="C69" s="23"/>
      <c r="D69" s="8"/>
      <c r="E69" s="8"/>
      <c r="F69" s="8"/>
      <c r="G69" s="8"/>
      <c r="H69" s="8"/>
      <c r="I69" s="8"/>
      <c r="J69" s="8"/>
      <c r="K69" s="8"/>
      <c r="L69" s="8"/>
      <c r="M69" s="8"/>
      <c r="N69" s="8"/>
      <c r="O69" s="8"/>
      <c r="P69" s="8"/>
      <c r="Q69" s="8"/>
      <c r="R69" s="8"/>
      <c r="S69" s="8"/>
      <c r="T69" s="12"/>
      <c r="U69" s="2"/>
    </row>
    <row r="70" spans="1:21" x14ac:dyDescent="0.25">
      <c r="A70" s="2"/>
      <c r="B70" s="11"/>
      <c r="C70" s="23"/>
      <c r="D70" s="147" t="s">
        <v>279</v>
      </c>
      <c r="E70" s="149"/>
      <c r="F70" s="148"/>
      <c r="G70" s="8"/>
      <c r="H70" s="8"/>
      <c r="I70" s="8"/>
      <c r="J70" s="8"/>
      <c r="K70" s="8"/>
      <c r="L70" s="8"/>
      <c r="M70" s="8"/>
      <c r="N70" s="8"/>
      <c r="O70" s="8"/>
      <c r="P70" s="8"/>
      <c r="Q70" s="8"/>
      <c r="R70" s="8"/>
      <c r="S70" s="8"/>
      <c r="T70" s="12"/>
      <c r="U70" s="2"/>
    </row>
    <row r="71" spans="1:21" x14ac:dyDescent="0.25">
      <c r="A71" s="2"/>
      <c r="B71" s="11"/>
      <c r="C71" s="23"/>
      <c r="D71" s="8"/>
      <c r="E71" s="8"/>
      <c r="F71" s="8"/>
      <c r="G71" s="8"/>
      <c r="H71" s="8"/>
      <c r="I71" s="8"/>
      <c r="J71" s="8"/>
      <c r="K71" s="8"/>
      <c r="L71" s="8"/>
      <c r="M71" s="8"/>
      <c r="N71" s="8"/>
      <c r="O71" s="8"/>
      <c r="P71" s="8"/>
      <c r="Q71" s="8"/>
      <c r="R71" s="8"/>
      <c r="S71" s="8"/>
      <c r="T71" s="12"/>
      <c r="U71" s="2"/>
    </row>
    <row r="72" spans="1:21" x14ac:dyDescent="0.25">
      <c r="A72" s="2"/>
      <c r="B72" s="11"/>
      <c r="C72" s="23"/>
      <c r="D72" s="8"/>
      <c r="E72" s="8"/>
      <c r="F72" s="8"/>
      <c r="G72" s="8"/>
      <c r="H72" s="8"/>
      <c r="I72" s="8"/>
      <c r="J72" s="8"/>
      <c r="K72" s="8"/>
      <c r="L72" s="8"/>
      <c r="M72" s="8"/>
      <c r="N72" s="8"/>
      <c r="O72" s="8"/>
      <c r="P72" s="8"/>
      <c r="Q72" s="8"/>
      <c r="R72" s="8"/>
      <c r="S72" s="8"/>
      <c r="T72" s="12"/>
      <c r="U72" s="2"/>
    </row>
    <row r="73" spans="1:21" x14ac:dyDescent="0.25">
      <c r="A73" s="2"/>
      <c r="B73" s="11"/>
      <c r="C73" s="23"/>
      <c r="D73" s="8"/>
      <c r="E73" s="8"/>
      <c r="F73" s="8"/>
      <c r="G73" s="8"/>
      <c r="H73" s="8"/>
      <c r="I73" s="8"/>
      <c r="J73" s="8"/>
      <c r="K73" s="8"/>
      <c r="L73" s="8"/>
      <c r="M73" s="8"/>
      <c r="N73" s="8"/>
      <c r="O73" s="8"/>
      <c r="P73" s="8"/>
      <c r="Q73" s="8"/>
      <c r="R73" s="8"/>
      <c r="S73" s="8"/>
      <c r="T73" s="12"/>
      <c r="U73" s="2"/>
    </row>
    <row r="74" spans="1:21" x14ac:dyDescent="0.25">
      <c r="A74" s="2"/>
      <c r="B74" s="11"/>
      <c r="C74" s="23"/>
      <c r="D74" s="8"/>
      <c r="E74" s="8"/>
      <c r="F74" s="8"/>
      <c r="G74" s="8"/>
      <c r="H74" s="8"/>
      <c r="I74" s="8"/>
      <c r="J74" s="8"/>
      <c r="K74" s="8"/>
      <c r="L74" s="8"/>
      <c r="M74" s="8"/>
      <c r="N74" s="8"/>
      <c r="O74" s="8"/>
      <c r="P74" s="8"/>
      <c r="Q74" s="8"/>
      <c r="R74" s="8"/>
      <c r="S74" s="8"/>
      <c r="T74" s="12"/>
      <c r="U74" s="2"/>
    </row>
    <row r="75" spans="1:21" x14ac:dyDescent="0.25">
      <c r="A75" s="2"/>
      <c r="B75" s="11"/>
      <c r="C75" s="23"/>
      <c r="D75" s="8"/>
      <c r="E75" s="8"/>
      <c r="F75" s="8"/>
      <c r="G75" s="8"/>
      <c r="H75" s="8"/>
      <c r="I75" s="8"/>
      <c r="J75" s="8"/>
      <c r="K75" s="8"/>
      <c r="L75" s="8"/>
      <c r="M75" s="8"/>
      <c r="N75" s="8"/>
      <c r="O75" s="8"/>
      <c r="P75" s="8"/>
      <c r="Q75" s="8"/>
      <c r="R75" s="8"/>
      <c r="S75" s="8"/>
      <c r="T75" s="12"/>
      <c r="U75" s="2"/>
    </row>
    <row r="76" spans="1:21" x14ac:dyDescent="0.25">
      <c r="A76" s="2"/>
      <c r="B76" s="11"/>
      <c r="C76" s="23"/>
      <c r="D76" s="8"/>
      <c r="E76" s="8"/>
      <c r="F76" s="8"/>
      <c r="G76" s="8"/>
      <c r="H76" s="8"/>
      <c r="I76" s="8"/>
      <c r="J76" s="8"/>
      <c r="K76" s="8"/>
      <c r="L76" s="8"/>
      <c r="M76" s="8"/>
      <c r="N76" s="8"/>
      <c r="O76" s="8"/>
      <c r="P76" s="8"/>
      <c r="Q76" s="8"/>
      <c r="R76" s="8"/>
      <c r="S76" s="8"/>
      <c r="T76" s="12"/>
      <c r="U76" s="2"/>
    </row>
    <row r="77" spans="1:21" ht="21" x14ac:dyDescent="0.35">
      <c r="A77" s="2"/>
      <c r="B77" s="11"/>
      <c r="C77" s="57" t="s">
        <v>71</v>
      </c>
      <c r="D77" s="8"/>
      <c r="E77" s="8"/>
      <c r="F77" s="8"/>
      <c r="G77" s="8"/>
      <c r="H77" s="8"/>
      <c r="I77" s="8"/>
      <c r="J77" s="8"/>
      <c r="K77" s="8"/>
      <c r="L77" s="8"/>
      <c r="M77" s="8"/>
      <c r="N77" s="8"/>
      <c r="O77" s="8"/>
      <c r="P77" s="8"/>
      <c r="Q77" s="8"/>
      <c r="R77" s="8"/>
      <c r="S77" s="8"/>
      <c r="T77" s="12"/>
      <c r="U77" s="2"/>
    </row>
    <row r="78" spans="1:21" ht="21" x14ac:dyDescent="0.35">
      <c r="A78" s="2"/>
      <c r="B78" s="11"/>
      <c r="C78" s="25"/>
      <c r="D78" s="8"/>
      <c r="E78" s="8"/>
      <c r="F78" s="8"/>
      <c r="G78" s="8"/>
      <c r="H78" s="8"/>
      <c r="I78" s="8"/>
      <c r="J78" s="8"/>
      <c r="K78" s="8"/>
      <c r="L78" s="8"/>
      <c r="M78" s="8"/>
      <c r="N78" s="8"/>
      <c r="O78" s="8"/>
      <c r="P78" s="8"/>
      <c r="Q78" s="8"/>
      <c r="R78" s="8"/>
      <c r="S78" s="8"/>
      <c r="T78" s="12"/>
      <c r="U78" s="2"/>
    </row>
    <row r="79" spans="1:21" ht="15.75" x14ac:dyDescent="0.25">
      <c r="A79" s="2"/>
      <c r="B79" s="11"/>
      <c r="C79" s="56" t="str">
        <f>IF(AND(D70="Direct Mineral Carbonation"),"The Following Data Points are Required.",IF(AND(D70="Indirect Mineral Carbonation"),"The Following Data Points are Not Required."))</f>
        <v>The Following Data Points are Required.</v>
      </c>
      <c r="D79" s="8"/>
      <c r="E79" s="8"/>
      <c r="F79" s="8"/>
      <c r="G79" s="8"/>
      <c r="H79" s="8"/>
      <c r="I79" s="8"/>
      <c r="J79" s="8"/>
      <c r="K79" s="8"/>
      <c r="L79" s="8"/>
      <c r="M79" s="8"/>
      <c r="N79" s="8"/>
      <c r="O79" s="8"/>
      <c r="P79" s="8"/>
      <c r="Q79" s="8"/>
      <c r="R79" s="8"/>
      <c r="S79" s="8"/>
      <c r="T79" s="12"/>
      <c r="U79" s="2"/>
    </row>
    <row r="80" spans="1:21" x14ac:dyDescent="0.25">
      <c r="A80" s="2"/>
      <c r="B80" s="11"/>
      <c r="C80" s="8"/>
      <c r="D80" s="8"/>
      <c r="E80" s="8"/>
      <c r="F80" s="8"/>
      <c r="G80" s="8"/>
      <c r="H80" s="8"/>
      <c r="I80" s="8"/>
      <c r="J80" s="8"/>
      <c r="K80" s="8"/>
      <c r="L80" s="8"/>
      <c r="M80" s="8"/>
      <c r="N80" s="8"/>
      <c r="O80" s="8"/>
      <c r="P80" s="8"/>
      <c r="Q80" s="8"/>
      <c r="R80" s="8"/>
      <c r="S80" s="8"/>
      <c r="T80" s="12"/>
      <c r="U80" s="2"/>
    </row>
    <row r="81" spans="1:21" ht="15.75" x14ac:dyDescent="0.25">
      <c r="A81" s="2"/>
      <c r="B81" s="11"/>
      <c r="C81" s="22" t="s">
        <v>56</v>
      </c>
      <c r="D81" s="8"/>
      <c r="E81" s="8"/>
      <c r="F81" s="8"/>
      <c r="G81" s="8"/>
      <c r="H81" s="8"/>
      <c r="I81" s="8"/>
      <c r="J81" s="8"/>
      <c r="K81" s="8"/>
      <c r="L81" s="8"/>
      <c r="M81" s="8"/>
      <c r="N81" s="8"/>
      <c r="O81" s="8"/>
      <c r="P81" s="8"/>
      <c r="Q81" s="8"/>
      <c r="R81" s="8"/>
      <c r="S81" s="8"/>
      <c r="T81" s="12"/>
      <c r="U81" s="2"/>
    </row>
    <row r="82" spans="1:21" x14ac:dyDescent="0.25">
      <c r="A82" s="2"/>
      <c r="B82" s="11"/>
      <c r="C82" s="8" t="s">
        <v>72</v>
      </c>
      <c r="D82" s="8"/>
      <c r="E82" s="8"/>
      <c r="F82" s="8"/>
      <c r="G82" s="8"/>
      <c r="H82" s="8"/>
      <c r="I82" s="8"/>
      <c r="J82" s="8"/>
      <c r="K82" s="8"/>
      <c r="L82" s="8"/>
      <c r="M82" s="8"/>
      <c r="N82" s="8"/>
      <c r="O82" s="8"/>
      <c r="P82" s="8"/>
      <c r="Q82" s="8"/>
      <c r="R82" s="8"/>
      <c r="S82" s="8"/>
      <c r="T82" s="12"/>
      <c r="U82" s="2"/>
    </row>
    <row r="83" spans="1:21" x14ac:dyDescent="0.25">
      <c r="A83" s="2"/>
      <c r="B83" s="11"/>
      <c r="C83" s="8"/>
      <c r="D83" s="8"/>
      <c r="E83" s="8"/>
      <c r="F83" s="8"/>
      <c r="G83" s="8"/>
      <c r="H83" s="8"/>
      <c r="I83" s="8"/>
      <c r="J83" s="8"/>
      <c r="K83" s="8"/>
      <c r="L83" s="8"/>
      <c r="M83" s="8"/>
      <c r="N83" s="8"/>
      <c r="O83" s="8"/>
      <c r="P83" s="8"/>
      <c r="Q83" s="8"/>
      <c r="R83" s="8"/>
      <c r="S83" s="8"/>
      <c r="T83" s="12"/>
      <c r="U83" s="2"/>
    </row>
    <row r="84" spans="1:21" x14ac:dyDescent="0.25">
      <c r="A84" s="2"/>
      <c r="B84" s="11"/>
      <c r="C84" s="8"/>
      <c r="D84" s="43" t="s">
        <v>104</v>
      </c>
      <c r="E84" s="8" t="s">
        <v>390</v>
      </c>
      <c r="F84" s="8"/>
      <c r="G84" s="8"/>
      <c r="H84" s="8"/>
      <c r="I84" s="8"/>
      <c r="J84" s="8"/>
      <c r="K84" s="8"/>
      <c r="L84" s="8"/>
      <c r="M84" s="8"/>
      <c r="N84" s="8"/>
      <c r="O84" s="8"/>
      <c r="P84" s="8"/>
      <c r="Q84" s="8"/>
      <c r="R84" s="8"/>
      <c r="S84" s="8"/>
      <c r="T84" s="12"/>
      <c r="U84" s="2"/>
    </row>
    <row r="85" spans="1:21" x14ac:dyDescent="0.25">
      <c r="A85" s="2"/>
      <c r="B85" s="11"/>
      <c r="C85" s="8"/>
      <c r="D85" s="8"/>
      <c r="E85" s="8"/>
      <c r="F85" s="8"/>
      <c r="G85" s="8"/>
      <c r="H85" s="8"/>
      <c r="I85" s="8"/>
      <c r="J85" s="8"/>
      <c r="K85" s="8"/>
      <c r="L85" s="8"/>
      <c r="M85" s="8"/>
      <c r="N85" s="8"/>
      <c r="O85" s="8"/>
      <c r="P85" s="8"/>
      <c r="Q85" s="8"/>
      <c r="R85" s="8"/>
      <c r="S85" s="8"/>
      <c r="T85" s="12"/>
      <c r="U85" s="2"/>
    </row>
    <row r="86" spans="1:21" ht="15" customHeight="1" x14ac:dyDescent="0.25">
      <c r="A86" s="2"/>
      <c r="B86" s="11"/>
      <c r="C86" s="8"/>
      <c r="D86" s="152" t="s">
        <v>105</v>
      </c>
      <c r="E86" s="153"/>
      <c r="F86" s="8" t="s">
        <v>404</v>
      </c>
      <c r="G86" s="8"/>
      <c r="H86" s="8"/>
      <c r="I86" s="8"/>
      <c r="J86" s="8"/>
      <c r="K86" s="8"/>
      <c r="L86" s="8"/>
      <c r="M86" s="8"/>
      <c r="N86" s="8"/>
      <c r="O86" s="8"/>
      <c r="P86" s="8"/>
      <c r="Q86" s="8"/>
      <c r="R86" s="8"/>
      <c r="S86" s="8"/>
      <c r="T86" s="12"/>
      <c r="U86" s="2"/>
    </row>
    <row r="87" spans="1:21" x14ac:dyDescent="0.25">
      <c r="A87" s="2"/>
      <c r="B87" s="11"/>
      <c r="C87" s="8"/>
      <c r="D87" s="8"/>
      <c r="E87" s="8"/>
      <c r="F87" s="8"/>
      <c r="G87" s="8"/>
      <c r="H87" s="8"/>
      <c r="I87" s="8"/>
      <c r="J87" s="8"/>
      <c r="K87" s="8"/>
      <c r="L87" s="8"/>
      <c r="M87" s="8"/>
      <c r="N87" s="8"/>
      <c r="O87" s="8"/>
      <c r="P87" s="8"/>
      <c r="Q87" s="8"/>
      <c r="R87" s="8"/>
      <c r="S87" s="8"/>
      <c r="T87" s="12"/>
      <c r="U87" s="2"/>
    </row>
    <row r="88" spans="1:21" x14ac:dyDescent="0.25">
      <c r="A88" s="2"/>
      <c r="B88" s="11"/>
      <c r="C88" s="8"/>
      <c r="D88" s="152" t="s">
        <v>107</v>
      </c>
      <c r="E88" s="153"/>
      <c r="F88" s="8" t="s">
        <v>392</v>
      </c>
      <c r="G88" s="8"/>
      <c r="H88" s="8"/>
      <c r="I88" s="8"/>
      <c r="J88" s="8"/>
      <c r="K88" s="8"/>
      <c r="L88" s="8"/>
      <c r="M88" s="8"/>
      <c r="N88" s="8"/>
      <c r="O88" s="8"/>
      <c r="P88" s="8"/>
      <c r="Q88" s="8"/>
      <c r="R88" s="8"/>
      <c r="S88" s="8"/>
      <c r="T88" s="12"/>
      <c r="U88" s="2"/>
    </row>
    <row r="89" spans="1:21" x14ac:dyDescent="0.25">
      <c r="A89" s="2"/>
      <c r="B89" s="11"/>
      <c r="C89" s="8"/>
      <c r="D89" s="8"/>
      <c r="E89" s="8"/>
      <c r="F89" s="8"/>
      <c r="G89" s="8"/>
      <c r="H89" s="8"/>
      <c r="I89" s="8"/>
      <c r="J89" s="8"/>
      <c r="K89" s="8"/>
      <c r="L89" s="8"/>
      <c r="M89" s="8"/>
      <c r="N89" s="8"/>
      <c r="O89" s="8"/>
      <c r="P89" s="8"/>
      <c r="Q89" s="8"/>
      <c r="R89" s="8"/>
      <c r="S89" s="8"/>
      <c r="T89" s="12"/>
      <c r="U89" s="2"/>
    </row>
    <row r="90" spans="1:21" ht="18" x14ac:dyDescent="0.25">
      <c r="A90" s="2"/>
      <c r="B90" s="11"/>
      <c r="C90" s="8"/>
      <c r="D90" s="44" t="s">
        <v>73</v>
      </c>
      <c r="E90" s="8" t="s">
        <v>74</v>
      </c>
      <c r="F90" s="8"/>
      <c r="G90" s="8"/>
      <c r="H90" s="8"/>
      <c r="I90" s="8"/>
      <c r="J90" s="8"/>
      <c r="K90" s="8"/>
      <c r="L90" s="8"/>
      <c r="M90" s="8"/>
      <c r="N90" s="8"/>
      <c r="O90" s="8"/>
      <c r="P90" s="8"/>
      <c r="Q90" s="8"/>
      <c r="R90" s="8"/>
      <c r="S90" s="8"/>
      <c r="T90" s="12"/>
      <c r="U90" s="2"/>
    </row>
    <row r="91" spans="1:21" x14ac:dyDescent="0.25">
      <c r="A91" s="2"/>
      <c r="B91" s="11"/>
      <c r="C91" s="8"/>
      <c r="D91" s="8"/>
      <c r="E91" s="8"/>
      <c r="F91" s="8"/>
      <c r="G91" s="8"/>
      <c r="H91" s="8"/>
      <c r="I91" s="8"/>
      <c r="J91" s="8"/>
      <c r="K91" s="8"/>
      <c r="L91" s="8"/>
      <c r="M91" s="8"/>
      <c r="N91" s="8"/>
      <c r="O91" s="8"/>
      <c r="P91" s="8"/>
      <c r="Q91" s="8"/>
      <c r="R91" s="8"/>
      <c r="S91" s="8"/>
      <c r="T91" s="12"/>
      <c r="U91" s="2"/>
    </row>
    <row r="92" spans="1:21" ht="18" x14ac:dyDescent="0.25">
      <c r="A92" s="2"/>
      <c r="B92" s="11"/>
      <c r="C92" s="8"/>
      <c r="D92" s="44" t="s">
        <v>75</v>
      </c>
      <c r="E92" s="8" t="s">
        <v>76</v>
      </c>
      <c r="F92" s="8"/>
      <c r="G92" s="8"/>
      <c r="H92" s="8"/>
      <c r="I92" s="8"/>
      <c r="J92" s="8"/>
      <c r="K92" s="8"/>
      <c r="L92" s="8"/>
      <c r="M92" s="8"/>
      <c r="N92" s="8"/>
      <c r="O92" s="8"/>
      <c r="P92" s="8"/>
      <c r="Q92" s="8"/>
      <c r="R92" s="8"/>
      <c r="S92" s="8"/>
      <c r="T92" s="12"/>
      <c r="U92" s="2"/>
    </row>
    <row r="93" spans="1:21" x14ac:dyDescent="0.25">
      <c r="A93" s="2"/>
      <c r="B93" s="11"/>
      <c r="C93" s="8"/>
      <c r="D93" s="8"/>
      <c r="E93" s="8"/>
      <c r="F93" s="8"/>
      <c r="G93" s="8"/>
      <c r="H93" s="8"/>
      <c r="I93" s="8"/>
      <c r="J93" s="8"/>
      <c r="K93" s="8"/>
      <c r="L93" s="8"/>
      <c r="M93" s="8"/>
      <c r="N93" s="8"/>
      <c r="O93" s="8"/>
      <c r="P93" s="8"/>
      <c r="Q93" s="8"/>
      <c r="R93" s="8"/>
      <c r="S93" s="8"/>
      <c r="T93" s="12"/>
      <c r="U93" s="2"/>
    </row>
    <row r="94" spans="1:21" ht="15" customHeight="1" x14ac:dyDescent="0.25">
      <c r="A94" s="2"/>
      <c r="B94" s="11"/>
      <c r="C94" s="8"/>
      <c r="D94" s="145" t="s">
        <v>405</v>
      </c>
      <c r="E94" s="146"/>
      <c r="F94" s="8" t="s">
        <v>78</v>
      </c>
      <c r="G94" s="8"/>
      <c r="H94" s="8"/>
      <c r="I94" s="8"/>
      <c r="J94" s="8"/>
      <c r="K94" s="8"/>
      <c r="L94" s="8"/>
      <c r="M94" s="8"/>
      <c r="N94" s="8"/>
      <c r="O94" s="8"/>
      <c r="P94" s="8"/>
      <c r="Q94" s="8"/>
      <c r="R94" s="8"/>
      <c r="S94" s="8"/>
      <c r="T94" s="12"/>
      <c r="U94" s="2"/>
    </row>
    <row r="95" spans="1:21" x14ac:dyDescent="0.25">
      <c r="A95" s="2"/>
      <c r="B95" s="11"/>
      <c r="C95" s="8"/>
      <c r="D95" s="8"/>
      <c r="E95" s="8"/>
      <c r="F95" s="8"/>
      <c r="G95" s="8"/>
      <c r="H95" s="8"/>
      <c r="I95" s="8"/>
      <c r="J95" s="8"/>
      <c r="K95" s="8"/>
      <c r="L95" s="8"/>
      <c r="M95" s="8"/>
      <c r="N95" s="8"/>
      <c r="O95" s="8"/>
      <c r="P95" s="8"/>
      <c r="Q95" s="8"/>
      <c r="R95" s="8"/>
      <c r="S95" s="8"/>
      <c r="T95" s="12"/>
      <c r="U95" s="2"/>
    </row>
    <row r="96" spans="1:21" ht="18" x14ac:dyDescent="0.25">
      <c r="A96" s="2"/>
      <c r="B96" s="11"/>
      <c r="C96" s="8"/>
      <c r="D96" s="44" t="s">
        <v>79</v>
      </c>
      <c r="E96" s="8" t="s">
        <v>80</v>
      </c>
      <c r="F96" s="8"/>
      <c r="G96" s="8"/>
      <c r="H96" s="8"/>
      <c r="I96" s="8"/>
      <c r="J96" s="8"/>
      <c r="K96" s="8"/>
      <c r="L96" s="8"/>
      <c r="M96" s="8"/>
      <c r="N96" s="8"/>
      <c r="O96" s="8"/>
      <c r="P96" s="8"/>
      <c r="Q96" s="8"/>
      <c r="R96" s="8"/>
      <c r="S96" s="8"/>
      <c r="T96" s="12"/>
      <c r="U96" s="2"/>
    </row>
    <row r="97" spans="1:21" x14ac:dyDescent="0.25">
      <c r="A97" s="2"/>
      <c r="B97" s="11"/>
      <c r="C97" s="8"/>
      <c r="D97" s="8"/>
      <c r="E97" s="8"/>
      <c r="F97" s="8"/>
      <c r="G97" s="8"/>
      <c r="H97" s="8"/>
      <c r="I97" s="8"/>
      <c r="J97" s="8"/>
      <c r="K97" s="8"/>
      <c r="L97" s="8"/>
      <c r="M97" s="8"/>
      <c r="N97" s="8"/>
      <c r="O97" s="8"/>
      <c r="P97" s="8"/>
      <c r="Q97" s="8"/>
      <c r="R97" s="8"/>
      <c r="S97" s="8"/>
      <c r="T97" s="12"/>
      <c r="U97" s="2"/>
    </row>
    <row r="98" spans="1:21" x14ac:dyDescent="0.25">
      <c r="A98" s="2"/>
      <c r="B98" s="11"/>
      <c r="C98" s="8"/>
      <c r="D98" s="44" t="s">
        <v>81</v>
      </c>
      <c r="E98" s="8" t="s">
        <v>82</v>
      </c>
      <c r="F98" s="8"/>
      <c r="G98" s="8"/>
      <c r="H98" s="8"/>
      <c r="I98" s="8"/>
      <c r="J98" s="8"/>
      <c r="K98" s="8"/>
      <c r="L98" s="8"/>
      <c r="M98" s="8"/>
      <c r="N98" s="8"/>
      <c r="O98" s="8"/>
      <c r="P98" s="8"/>
      <c r="Q98" s="8"/>
      <c r="R98" s="8"/>
      <c r="S98" s="8"/>
      <c r="T98" s="12"/>
      <c r="U98" s="2"/>
    </row>
    <row r="99" spans="1:21" x14ac:dyDescent="0.25">
      <c r="A99" s="2"/>
      <c r="B99" s="11"/>
      <c r="C99" s="8"/>
      <c r="D99" s="8"/>
      <c r="E99" s="8"/>
      <c r="F99" s="8"/>
      <c r="G99" s="8"/>
      <c r="H99" s="8"/>
      <c r="I99" s="8"/>
      <c r="J99" s="8"/>
      <c r="K99" s="8"/>
      <c r="L99" s="8"/>
      <c r="M99" s="8"/>
      <c r="N99" s="8"/>
      <c r="O99" s="8"/>
      <c r="P99" s="8"/>
      <c r="Q99" s="8"/>
      <c r="R99" s="8"/>
      <c r="S99" s="8"/>
      <c r="T99" s="12"/>
      <c r="U99" s="2"/>
    </row>
    <row r="100" spans="1:21" x14ac:dyDescent="0.25">
      <c r="A100" s="2"/>
      <c r="B100" s="11"/>
      <c r="C100" s="8"/>
      <c r="D100" s="44" t="s">
        <v>83</v>
      </c>
      <c r="E100" s="8" t="s">
        <v>84</v>
      </c>
      <c r="F100" s="8"/>
      <c r="G100" s="8"/>
      <c r="H100" s="8"/>
      <c r="I100" s="8"/>
      <c r="J100" s="8"/>
      <c r="K100" s="8"/>
      <c r="L100" s="8"/>
      <c r="M100" s="8"/>
      <c r="N100" s="8"/>
      <c r="O100" s="8"/>
      <c r="P100" s="8"/>
      <c r="Q100" s="8"/>
      <c r="R100" s="8"/>
      <c r="S100" s="8"/>
      <c r="T100" s="12"/>
      <c r="U100" s="2"/>
    </row>
    <row r="101" spans="1:21" x14ac:dyDescent="0.25">
      <c r="A101" s="2"/>
      <c r="B101" s="11"/>
      <c r="C101" s="8"/>
      <c r="D101" s="8"/>
      <c r="E101" s="8"/>
      <c r="F101" s="8"/>
      <c r="G101" s="8"/>
      <c r="H101" s="8"/>
      <c r="I101" s="8"/>
      <c r="J101" s="8"/>
      <c r="K101" s="8"/>
      <c r="L101" s="8"/>
      <c r="M101" s="8"/>
      <c r="N101" s="8"/>
      <c r="O101" s="8"/>
      <c r="P101" s="8"/>
      <c r="Q101" s="8"/>
      <c r="R101" s="8"/>
      <c r="S101" s="8"/>
      <c r="T101" s="12"/>
      <c r="U101" s="2"/>
    </row>
    <row r="102" spans="1:21" x14ac:dyDescent="0.25">
      <c r="A102" s="2"/>
      <c r="B102" s="11"/>
      <c r="C102" s="8"/>
      <c r="D102" s="44" t="s">
        <v>85</v>
      </c>
      <c r="E102" s="8" t="s">
        <v>86</v>
      </c>
      <c r="F102" s="8"/>
      <c r="G102" s="8"/>
      <c r="H102" s="8"/>
      <c r="I102" s="8"/>
      <c r="J102" s="8"/>
      <c r="K102" s="8"/>
      <c r="L102" s="8"/>
      <c r="M102" s="8"/>
      <c r="N102" s="8"/>
      <c r="O102" s="8"/>
      <c r="P102" s="8"/>
      <c r="Q102" s="8"/>
      <c r="R102" s="8"/>
      <c r="S102" s="8"/>
      <c r="T102" s="12"/>
      <c r="U102" s="2"/>
    </row>
    <row r="103" spans="1:21" x14ac:dyDescent="0.25">
      <c r="A103" s="2"/>
      <c r="B103" s="11"/>
      <c r="C103" s="8"/>
      <c r="D103" s="8"/>
      <c r="E103" s="8"/>
      <c r="F103" s="8"/>
      <c r="G103" s="8"/>
      <c r="H103" s="8"/>
      <c r="I103" s="8"/>
      <c r="J103" s="8"/>
      <c r="K103" s="8"/>
      <c r="L103" s="8"/>
      <c r="M103" s="8"/>
      <c r="N103" s="8"/>
      <c r="O103" s="8"/>
      <c r="P103" s="8"/>
      <c r="Q103" s="8"/>
      <c r="R103" s="8"/>
      <c r="S103" s="8"/>
      <c r="T103" s="12"/>
      <c r="U103" s="2"/>
    </row>
    <row r="104" spans="1:21" ht="18" x14ac:dyDescent="0.25">
      <c r="A104" s="2"/>
      <c r="B104" s="11"/>
      <c r="C104" s="8"/>
      <c r="D104" s="44" t="s">
        <v>87</v>
      </c>
      <c r="E104" s="8" t="s">
        <v>88</v>
      </c>
      <c r="F104" s="8"/>
      <c r="G104" s="8"/>
      <c r="H104" s="8"/>
      <c r="I104" s="8"/>
      <c r="J104" s="8"/>
      <c r="K104" s="8"/>
      <c r="L104" s="8"/>
      <c r="M104" s="8"/>
      <c r="N104" s="8"/>
      <c r="O104" s="8"/>
      <c r="P104" s="8"/>
      <c r="Q104" s="8"/>
      <c r="R104" s="8"/>
      <c r="S104" s="8"/>
      <c r="T104" s="12"/>
      <c r="U104" s="2"/>
    </row>
    <row r="105" spans="1:21" x14ac:dyDescent="0.25">
      <c r="A105" s="2"/>
      <c r="B105" s="11"/>
      <c r="C105" s="8"/>
      <c r="D105" s="8"/>
      <c r="E105" s="8"/>
      <c r="F105" s="8"/>
      <c r="G105" s="8"/>
      <c r="H105" s="8"/>
      <c r="I105" s="8"/>
      <c r="J105" s="8"/>
      <c r="K105" s="8"/>
      <c r="L105" s="8"/>
      <c r="M105" s="8"/>
      <c r="N105" s="8"/>
      <c r="O105" s="8"/>
      <c r="P105" s="8"/>
      <c r="Q105" s="8"/>
      <c r="R105" s="8"/>
      <c r="S105" s="8"/>
      <c r="T105" s="12"/>
      <c r="U105" s="2"/>
    </row>
    <row r="106" spans="1:21" ht="18" x14ac:dyDescent="0.25">
      <c r="A106" s="2"/>
      <c r="B106" s="11"/>
      <c r="C106" s="8"/>
      <c r="D106" s="44" t="s">
        <v>89</v>
      </c>
      <c r="E106" s="8" t="s">
        <v>90</v>
      </c>
      <c r="F106" s="8"/>
      <c r="G106" s="8"/>
      <c r="H106" s="8"/>
      <c r="I106" s="8"/>
      <c r="J106" s="8"/>
      <c r="K106" s="8"/>
      <c r="L106" s="8"/>
      <c r="M106" s="8"/>
      <c r="N106" s="8"/>
      <c r="O106" s="8"/>
      <c r="P106" s="8"/>
      <c r="Q106" s="8"/>
      <c r="R106" s="8"/>
      <c r="S106" s="8"/>
      <c r="T106" s="12"/>
      <c r="U106" s="2"/>
    </row>
    <row r="107" spans="1:21" x14ac:dyDescent="0.25">
      <c r="A107" s="2"/>
      <c r="B107" s="11"/>
      <c r="C107" s="8"/>
      <c r="D107" s="8"/>
      <c r="E107" s="8"/>
      <c r="F107" s="8"/>
      <c r="G107" s="8"/>
      <c r="H107" s="8"/>
      <c r="I107" s="8"/>
      <c r="J107" s="8"/>
      <c r="K107" s="8"/>
      <c r="L107" s="8"/>
      <c r="M107" s="8"/>
      <c r="N107" s="8"/>
      <c r="O107" s="8"/>
      <c r="P107" s="8"/>
      <c r="Q107" s="8"/>
      <c r="R107" s="8"/>
      <c r="S107" s="8"/>
      <c r="T107" s="12"/>
      <c r="U107" s="2"/>
    </row>
    <row r="108" spans="1:21" ht="19.5" customHeight="1" x14ac:dyDescent="0.25">
      <c r="A108" s="2"/>
      <c r="B108" s="11"/>
      <c r="C108" s="8"/>
      <c r="D108" s="44" t="s">
        <v>91</v>
      </c>
      <c r="E108" s="8" t="s">
        <v>92</v>
      </c>
      <c r="F108" s="8"/>
      <c r="G108" s="8"/>
      <c r="H108" s="8"/>
      <c r="I108" s="8"/>
      <c r="J108" s="8"/>
      <c r="K108" s="8"/>
      <c r="L108" s="8"/>
      <c r="M108" s="8"/>
      <c r="N108" s="8"/>
      <c r="O108" s="8"/>
      <c r="P108" s="8"/>
      <c r="Q108" s="8"/>
      <c r="R108" s="8"/>
      <c r="S108" s="8"/>
      <c r="T108" s="12"/>
      <c r="U108" s="2"/>
    </row>
    <row r="109" spans="1:21" x14ac:dyDescent="0.25">
      <c r="A109" s="2"/>
      <c r="B109" s="11"/>
      <c r="C109" s="8"/>
      <c r="D109" s="8"/>
      <c r="E109" s="8"/>
      <c r="F109" s="8"/>
      <c r="G109" s="8"/>
      <c r="H109" s="8"/>
      <c r="I109" s="8"/>
      <c r="J109" s="8"/>
      <c r="K109" s="8"/>
      <c r="L109" s="8"/>
      <c r="M109" s="8"/>
      <c r="N109" s="8"/>
      <c r="O109" s="8"/>
      <c r="P109" s="8"/>
      <c r="Q109" s="8"/>
      <c r="R109" s="8"/>
      <c r="S109" s="8"/>
      <c r="T109" s="12"/>
      <c r="U109" s="2"/>
    </row>
    <row r="110" spans="1:21" ht="18" customHeight="1" x14ac:dyDescent="0.25">
      <c r="A110" s="2"/>
      <c r="B110" s="11"/>
      <c r="C110" s="8"/>
      <c r="D110" s="145" t="s">
        <v>93</v>
      </c>
      <c r="E110" s="146"/>
      <c r="F110" s="8" t="s">
        <v>94</v>
      </c>
      <c r="G110" s="8"/>
      <c r="H110" s="8"/>
      <c r="I110" s="8"/>
      <c r="J110" s="8"/>
      <c r="K110" s="8"/>
      <c r="L110" s="8"/>
      <c r="M110" s="8"/>
      <c r="N110" s="8"/>
      <c r="O110" s="8"/>
      <c r="P110" s="8"/>
      <c r="Q110" s="8"/>
      <c r="R110" s="8"/>
      <c r="S110" s="8"/>
      <c r="T110" s="12"/>
      <c r="U110" s="2"/>
    </row>
    <row r="111" spans="1:21" x14ac:dyDescent="0.25">
      <c r="A111" s="2"/>
      <c r="B111" s="11"/>
      <c r="C111" s="8"/>
      <c r="D111" s="8"/>
      <c r="E111" s="8"/>
      <c r="F111" s="8"/>
      <c r="G111" s="8"/>
      <c r="H111" s="8"/>
      <c r="I111" s="8"/>
      <c r="J111" s="8"/>
      <c r="K111" s="8"/>
      <c r="L111" s="8"/>
      <c r="M111" s="8"/>
      <c r="N111" s="8"/>
      <c r="O111" s="8"/>
      <c r="P111" s="8"/>
      <c r="Q111" s="8"/>
      <c r="R111" s="8"/>
      <c r="S111" s="8"/>
      <c r="T111" s="12"/>
      <c r="U111" s="2"/>
    </row>
    <row r="112" spans="1:21" ht="18" x14ac:dyDescent="0.25">
      <c r="A112" s="2"/>
      <c r="B112" s="11"/>
      <c r="C112" s="8"/>
      <c r="D112" s="44" t="s">
        <v>95</v>
      </c>
      <c r="E112" s="8" t="s">
        <v>96</v>
      </c>
      <c r="F112" s="8"/>
      <c r="G112" s="8"/>
      <c r="H112" s="8"/>
      <c r="I112" s="8"/>
      <c r="J112" s="8"/>
      <c r="K112" s="8"/>
      <c r="L112" s="8"/>
      <c r="M112" s="8"/>
      <c r="N112" s="8"/>
      <c r="O112" s="8"/>
      <c r="P112" s="8"/>
      <c r="Q112" s="8"/>
      <c r="R112" s="8"/>
      <c r="S112" s="8"/>
      <c r="T112" s="12"/>
      <c r="U112" s="2"/>
    </row>
    <row r="113" spans="1:21" x14ac:dyDescent="0.25">
      <c r="A113" s="2"/>
      <c r="B113" s="11"/>
      <c r="C113" s="8"/>
      <c r="D113" s="8"/>
      <c r="E113" s="8"/>
      <c r="F113" s="8"/>
      <c r="G113" s="8"/>
      <c r="H113" s="8"/>
      <c r="I113" s="8"/>
      <c r="J113" s="8"/>
      <c r="K113" s="8"/>
      <c r="L113" s="8"/>
      <c r="M113" s="8"/>
      <c r="N113" s="8"/>
      <c r="O113" s="8"/>
      <c r="P113" s="8"/>
      <c r="Q113" s="8"/>
      <c r="R113" s="8"/>
      <c r="S113" s="8"/>
      <c r="T113" s="12"/>
      <c r="U113" s="2"/>
    </row>
    <row r="114" spans="1:21" x14ac:dyDescent="0.25">
      <c r="A114" s="2"/>
      <c r="B114" s="11"/>
      <c r="C114" s="8"/>
      <c r="D114" s="152" t="s">
        <v>110</v>
      </c>
      <c r="E114" s="153"/>
      <c r="F114" s="8" t="s">
        <v>393</v>
      </c>
      <c r="G114" s="8"/>
      <c r="H114" s="8"/>
      <c r="I114" s="8"/>
      <c r="J114" s="8"/>
      <c r="K114" s="8"/>
      <c r="L114" s="8"/>
      <c r="M114" s="8"/>
      <c r="N114" s="8"/>
      <c r="O114" s="8"/>
      <c r="P114" s="8"/>
      <c r="Q114" s="8"/>
      <c r="R114" s="8"/>
      <c r="S114" s="8"/>
      <c r="T114" s="12"/>
      <c r="U114" s="2"/>
    </row>
    <row r="115" spans="1:21" x14ac:dyDescent="0.25">
      <c r="A115" s="2"/>
      <c r="B115" s="11"/>
      <c r="C115" s="8"/>
      <c r="D115" s="8"/>
      <c r="E115" s="8"/>
      <c r="F115" s="8"/>
      <c r="G115" s="8"/>
      <c r="H115" s="8"/>
      <c r="I115" s="8"/>
      <c r="J115" s="8"/>
      <c r="K115" s="8"/>
      <c r="L115" s="8"/>
      <c r="M115" s="8"/>
      <c r="N115" s="8"/>
      <c r="O115" s="8"/>
      <c r="P115" s="8"/>
      <c r="Q115" s="8"/>
      <c r="R115" s="8"/>
      <c r="S115" s="8"/>
      <c r="T115" s="12"/>
      <c r="U115" s="2"/>
    </row>
    <row r="116" spans="1:21" x14ac:dyDescent="0.25">
      <c r="A116" s="2"/>
      <c r="B116" s="11"/>
      <c r="C116" s="8"/>
      <c r="D116" s="8"/>
      <c r="E116" s="8"/>
      <c r="F116" s="8"/>
      <c r="G116" s="8"/>
      <c r="H116" s="8"/>
      <c r="I116" s="8"/>
      <c r="J116" s="8"/>
      <c r="K116" s="8"/>
      <c r="L116" s="8"/>
      <c r="M116" s="8"/>
      <c r="N116" s="8"/>
      <c r="O116" s="8"/>
      <c r="P116" s="8"/>
      <c r="Q116" s="8"/>
      <c r="R116" s="8"/>
      <c r="S116" s="8"/>
      <c r="T116" s="12"/>
      <c r="U116" s="2"/>
    </row>
    <row r="117" spans="1:21" x14ac:dyDescent="0.25">
      <c r="A117" s="2"/>
      <c r="B117" s="11"/>
      <c r="C117" s="8"/>
      <c r="D117" s="8"/>
      <c r="E117" s="8"/>
      <c r="F117" s="8"/>
      <c r="G117" s="8"/>
      <c r="H117" s="8"/>
      <c r="I117" s="8"/>
      <c r="J117" s="8"/>
      <c r="K117" s="8"/>
      <c r="L117" s="8"/>
      <c r="M117" s="8"/>
      <c r="N117" s="8"/>
      <c r="O117" s="8"/>
      <c r="P117" s="8"/>
      <c r="Q117" s="8"/>
      <c r="R117" s="8"/>
      <c r="S117" s="8"/>
      <c r="T117" s="12"/>
      <c r="U117" s="2"/>
    </row>
    <row r="118" spans="1:21" x14ac:dyDescent="0.25">
      <c r="A118" s="2"/>
      <c r="B118" s="11"/>
      <c r="C118" s="8"/>
      <c r="D118" s="8"/>
      <c r="E118" s="8"/>
      <c r="F118" s="8"/>
      <c r="G118" s="8"/>
      <c r="H118" s="8"/>
      <c r="I118" s="8"/>
      <c r="J118" s="8"/>
      <c r="K118" s="8"/>
      <c r="L118" s="8"/>
      <c r="M118" s="8"/>
      <c r="N118" s="8"/>
      <c r="O118" s="8"/>
      <c r="P118" s="8"/>
      <c r="Q118" s="8"/>
      <c r="R118" s="8"/>
      <c r="S118" s="8"/>
      <c r="T118" s="12"/>
      <c r="U118" s="2"/>
    </row>
    <row r="119" spans="1:21" x14ac:dyDescent="0.25">
      <c r="A119" s="2"/>
      <c r="B119" s="11"/>
      <c r="C119" s="8"/>
      <c r="D119" s="8"/>
      <c r="E119" s="8"/>
      <c r="F119" s="8"/>
      <c r="G119" s="8"/>
      <c r="H119" s="8"/>
      <c r="I119" s="8"/>
      <c r="J119" s="8"/>
      <c r="K119" s="8"/>
      <c r="L119" s="8"/>
      <c r="M119" s="8"/>
      <c r="N119" s="8"/>
      <c r="O119" s="8"/>
      <c r="P119" s="8"/>
      <c r="Q119" s="8"/>
      <c r="R119" s="8"/>
      <c r="S119" s="8"/>
      <c r="T119" s="12"/>
      <c r="U119" s="2"/>
    </row>
    <row r="120" spans="1:21" x14ac:dyDescent="0.25">
      <c r="A120" s="2"/>
      <c r="B120" s="11"/>
      <c r="C120" s="8"/>
      <c r="D120" s="8"/>
      <c r="E120" s="8"/>
      <c r="F120" s="8"/>
      <c r="G120" s="8"/>
      <c r="H120" s="8"/>
      <c r="I120" s="8"/>
      <c r="J120" s="8"/>
      <c r="K120" s="8"/>
      <c r="L120" s="8"/>
      <c r="M120" s="8"/>
      <c r="N120" s="8"/>
      <c r="O120" s="8"/>
      <c r="P120" s="8"/>
      <c r="Q120" s="8"/>
      <c r="R120" s="8"/>
      <c r="S120" s="8"/>
      <c r="T120" s="12"/>
      <c r="U120" s="2"/>
    </row>
    <row r="121" spans="1:21" x14ac:dyDescent="0.25">
      <c r="A121" s="2"/>
      <c r="B121" s="11"/>
      <c r="C121" s="23" t="s">
        <v>62</v>
      </c>
      <c r="D121" s="8"/>
      <c r="E121" s="8"/>
      <c r="F121" s="8"/>
      <c r="G121" s="8"/>
      <c r="H121" s="8"/>
      <c r="I121" s="8"/>
      <c r="J121" s="8"/>
      <c r="K121" s="8"/>
      <c r="L121" s="8"/>
      <c r="M121" s="8"/>
      <c r="N121" s="8"/>
      <c r="O121" s="8"/>
      <c r="P121" s="8"/>
      <c r="Q121" s="8"/>
      <c r="R121" s="8"/>
      <c r="S121" s="8"/>
      <c r="T121" s="12"/>
      <c r="U121" s="2"/>
    </row>
    <row r="122" spans="1:21" ht="15.75" thickBot="1" x14ac:dyDescent="0.3">
      <c r="A122" s="2"/>
      <c r="B122" s="11"/>
      <c r="C122" s="8"/>
      <c r="D122" s="8"/>
      <c r="E122" s="8"/>
      <c r="F122" s="8"/>
      <c r="G122" s="8"/>
      <c r="H122" s="8"/>
      <c r="I122" s="8"/>
      <c r="J122" s="8"/>
      <c r="K122" s="8"/>
      <c r="L122" s="8"/>
      <c r="M122" s="8"/>
      <c r="N122" s="8"/>
      <c r="O122" s="8"/>
      <c r="P122" s="8"/>
      <c r="Q122" s="8"/>
      <c r="R122" s="8"/>
      <c r="S122" s="8"/>
      <c r="T122" s="12"/>
      <c r="U122" s="2"/>
    </row>
    <row r="123" spans="1:21" ht="16.5" customHeight="1" thickTop="1" thickBot="1" x14ac:dyDescent="0.4">
      <c r="A123" s="2"/>
      <c r="B123" s="11"/>
      <c r="C123" s="8"/>
      <c r="D123" s="31" t="s">
        <v>67</v>
      </c>
      <c r="E123" s="31" t="e">
        <f>'Ex-Post Direct Project Sinks'!E12</f>
        <v>#DIV/0!</v>
      </c>
      <c r="F123" s="128" t="s">
        <v>68</v>
      </c>
      <c r="G123" s="128"/>
      <c r="H123" s="128"/>
      <c r="I123" s="128"/>
      <c r="J123" s="128"/>
      <c r="K123" s="128"/>
      <c r="L123" s="128"/>
      <c r="M123" s="128"/>
      <c r="N123" s="128"/>
      <c r="O123" s="128"/>
      <c r="P123" s="128"/>
      <c r="Q123" s="128"/>
      <c r="R123" s="128"/>
      <c r="S123" s="128"/>
      <c r="T123" s="12"/>
      <c r="U123" s="2"/>
    </row>
    <row r="124" spans="1:21" ht="15.75" thickTop="1" x14ac:dyDescent="0.25">
      <c r="A124" s="2"/>
      <c r="B124" s="11"/>
      <c r="C124" s="8"/>
      <c r="D124" s="8"/>
      <c r="E124" s="8"/>
      <c r="F124" s="128"/>
      <c r="G124" s="128"/>
      <c r="H124" s="128"/>
      <c r="I124" s="128"/>
      <c r="J124" s="128"/>
      <c r="K124" s="128"/>
      <c r="L124" s="128"/>
      <c r="M124" s="128"/>
      <c r="N124" s="128"/>
      <c r="O124" s="128"/>
      <c r="P124" s="128"/>
      <c r="Q124" s="128"/>
      <c r="R124" s="128"/>
      <c r="S124" s="128"/>
      <c r="T124" s="12"/>
      <c r="U124" s="2"/>
    </row>
    <row r="125" spans="1:21" x14ac:dyDescent="0.25">
      <c r="A125" s="2"/>
      <c r="B125" s="11"/>
      <c r="C125" s="8"/>
      <c r="D125" s="8"/>
      <c r="E125" s="8"/>
      <c r="F125" s="48"/>
      <c r="G125" s="48"/>
      <c r="H125" s="48"/>
      <c r="I125" s="48"/>
      <c r="J125" s="48"/>
      <c r="K125" s="48"/>
      <c r="L125" s="48"/>
      <c r="M125" s="48"/>
      <c r="N125" s="48"/>
      <c r="O125" s="48"/>
      <c r="P125" s="48"/>
      <c r="Q125" s="48"/>
      <c r="R125" s="48"/>
      <c r="S125" s="48"/>
      <c r="T125" s="12"/>
      <c r="U125" s="2"/>
    </row>
    <row r="126" spans="1:21" x14ac:dyDescent="0.25">
      <c r="A126" s="2"/>
      <c r="B126" s="11"/>
      <c r="C126" s="8"/>
      <c r="D126" s="8"/>
      <c r="E126" s="8"/>
      <c r="F126" s="48"/>
      <c r="G126" s="48"/>
      <c r="H126" s="48"/>
      <c r="I126" s="48"/>
      <c r="J126" s="48"/>
      <c r="K126" s="48"/>
      <c r="L126" s="48"/>
      <c r="M126" s="48"/>
      <c r="N126" s="48"/>
      <c r="O126" s="48"/>
      <c r="P126" s="48"/>
      <c r="Q126" s="48"/>
      <c r="R126" s="48"/>
      <c r="S126" s="48"/>
      <c r="T126" s="12"/>
      <c r="U126" s="2"/>
    </row>
    <row r="127" spans="1:21" x14ac:dyDescent="0.25">
      <c r="A127" s="2"/>
      <c r="B127" s="11"/>
      <c r="C127" s="8"/>
      <c r="D127" s="8"/>
      <c r="E127" s="8"/>
      <c r="F127" s="8"/>
      <c r="G127" s="8"/>
      <c r="H127" s="8"/>
      <c r="I127" s="8"/>
      <c r="J127" s="8"/>
      <c r="K127" s="8"/>
      <c r="L127" s="8"/>
      <c r="M127" s="8"/>
      <c r="N127" s="8"/>
      <c r="O127" s="8"/>
      <c r="P127" s="8"/>
      <c r="Q127" s="8"/>
      <c r="R127" s="8"/>
      <c r="S127" s="8"/>
      <c r="T127" s="12"/>
      <c r="U127" s="2"/>
    </row>
    <row r="128" spans="1:21" ht="21" x14ac:dyDescent="0.35">
      <c r="A128" s="2"/>
      <c r="B128" s="11"/>
      <c r="C128" s="57" t="s">
        <v>97</v>
      </c>
      <c r="D128" s="8"/>
      <c r="E128" s="8"/>
      <c r="F128" s="8"/>
      <c r="G128" s="8"/>
      <c r="H128" s="8"/>
      <c r="I128" s="8"/>
      <c r="J128" s="8"/>
      <c r="K128" s="8"/>
      <c r="L128" s="8"/>
      <c r="M128" s="8"/>
      <c r="N128" s="8"/>
      <c r="O128" s="8"/>
      <c r="P128" s="8"/>
      <c r="Q128" s="8"/>
      <c r="R128" s="8"/>
      <c r="S128" s="8"/>
      <c r="T128" s="12"/>
      <c r="U128" s="2"/>
    </row>
    <row r="129" spans="1:21" ht="21" x14ac:dyDescent="0.35">
      <c r="A129" s="2"/>
      <c r="B129" s="11"/>
      <c r="C129" s="25"/>
      <c r="D129" s="8"/>
      <c r="E129" s="8"/>
      <c r="F129" s="8"/>
      <c r="G129" s="8"/>
      <c r="H129" s="8"/>
      <c r="I129" s="8"/>
      <c r="J129" s="8"/>
      <c r="K129" s="8"/>
      <c r="L129" s="8"/>
      <c r="M129" s="8"/>
      <c r="N129" s="8"/>
      <c r="O129" s="8"/>
      <c r="P129" s="8"/>
      <c r="Q129" s="8"/>
      <c r="R129" s="8"/>
      <c r="S129" s="8"/>
      <c r="T129" s="12"/>
      <c r="U129" s="2"/>
    </row>
    <row r="130" spans="1:21" ht="15.75" x14ac:dyDescent="0.25">
      <c r="A130" s="2"/>
      <c r="B130" s="11"/>
      <c r="C130" s="56" t="str">
        <f>IF(AND(D70="Indirect Mineral Carbonation"),"The Following Data Points are Required.",IF(AND(D70="Direct Mineral Carbonation"),"The Following Data Points are Not Required."))</f>
        <v>The Following Data Points are Not Required.</v>
      </c>
      <c r="D130" s="8"/>
      <c r="E130" s="8"/>
      <c r="F130" s="8"/>
      <c r="G130" s="8"/>
      <c r="H130" s="8"/>
      <c r="I130" s="8"/>
      <c r="J130" s="8"/>
      <c r="K130" s="8"/>
      <c r="L130" s="8"/>
      <c r="M130" s="8"/>
      <c r="N130" s="8"/>
      <c r="O130" s="8"/>
      <c r="P130" s="8"/>
      <c r="Q130" s="8"/>
      <c r="R130" s="8"/>
      <c r="S130" s="8"/>
      <c r="T130" s="12"/>
      <c r="U130" s="2"/>
    </row>
    <row r="131" spans="1:21" x14ac:dyDescent="0.25">
      <c r="A131" s="2"/>
      <c r="B131" s="11"/>
      <c r="C131" s="8"/>
      <c r="D131" s="8"/>
      <c r="E131" s="8"/>
      <c r="F131" s="8"/>
      <c r="G131" s="8"/>
      <c r="H131" s="8"/>
      <c r="I131" s="8"/>
      <c r="J131" s="8"/>
      <c r="K131" s="8"/>
      <c r="L131" s="8"/>
      <c r="M131" s="8"/>
      <c r="N131" s="8"/>
      <c r="O131" s="8"/>
      <c r="P131" s="8"/>
      <c r="Q131" s="8"/>
      <c r="R131" s="8"/>
      <c r="S131" s="8"/>
      <c r="T131" s="12"/>
      <c r="U131" s="2"/>
    </row>
    <row r="132" spans="1:21" ht="15.75" x14ac:dyDescent="0.25">
      <c r="A132" s="2"/>
      <c r="B132" s="11"/>
      <c r="C132" s="22" t="s">
        <v>56</v>
      </c>
      <c r="D132" s="8"/>
      <c r="E132" s="8"/>
      <c r="F132" s="8"/>
      <c r="G132" s="8"/>
      <c r="H132" s="8"/>
      <c r="I132" s="8"/>
      <c r="J132" s="8"/>
      <c r="K132" s="8"/>
      <c r="L132" s="8"/>
      <c r="M132" s="8"/>
      <c r="N132" s="8"/>
      <c r="O132" s="8"/>
      <c r="P132" s="8"/>
      <c r="Q132" s="8"/>
      <c r="R132" s="8"/>
      <c r="S132" s="8"/>
      <c r="T132" s="12"/>
      <c r="U132" s="2"/>
    </row>
    <row r="133" spans="1:21" x14ac:dyDescent="0.25">
      <c r="A133" s="2"/>
      <c r="B133" s="11"/>
      <c r="C133" s="8" t="s">
        <v>98</v>
      </c>
      <c r="D133" s="8"/>
      <c r="E133" s="8"/>
      <c r="F133" s="8"/>
      <c r="G133" s="8"/>
      <c r="H133" s="8"/>
      <c r="I133" s="8"/>
      <c r="J133" s="8"/>
      <c r="K133" s="8"/>
      <c r="L133" s="8"/>
      <c r="M133" s="8"/>
      <c r="N133" s="8"/>
      <c r="O133" s="8"/>
      <c r="P133" s="8"/>
      <c r="Q133" s="8"/>
      <c r="R133" s="8"/>
      <c r="S133" s="8"/>
      <c r="T133" s="12"/>
      <c r="U133" s="2"/>
    </row>
    <row r="134" spans="1:21" x14ac:dyDescent="0.25">
      <c r="A134" s="2"/>
      <c r="B134" s="11"/>
      <c r="C134" s="8"/>
      <c r="D134" s="8"/>
      <c r="E134" s="8"/>
      <c r="F134" s="8"/>
      <c r="G134" s="8"/>
      <c r="H134" s="8"/>
      <c r="I134" s="8"/>
      <c r="J134" s="8"/>
      <c r="K134" s="8"/>
      <c r="L134" s="8"/>
      <c r="M134" s="8"/>
      <c r="N134" s="8"/>
      <c r="O134" s="8"/>
      <c r="P134" s="8"/>
      <c r="Q134" s="8"/>
      <c r="R134" s="8"/>
      <c r="S134" s="8"/>
      <c r="T134" s="12"/>
      <c r="U134" s="2"/>
    </row>
    <row r="135" spans="1:21" x14ac:dyDescent="0.25">
      <c r="A135" s="2"/>
      <c r="B135" s="11"/>
      <c r="C135" s="8"/>
      <c r="D135" s="43" t="s">
        <v>104</v>
      </c>
      <c r="E135" s="8" t="s">
        <v>390</v>
      </c>
      <c r="F135" s="8"/>
      <c r="G135" s="8"/>
      <c r="H135" s="8"/>
      <c r="I135" s="8"/>
      <c r="J135" s="8"/>
      <c r="K135" s="8"/>
      <c r="L135" s="8"/>
      <c r="M135" s="8"/>
      <c r="N135" s="8"/>
      <c r="O135" s="8"/>
      <c r="P135" s="8"/>
      <c r="Q135" s="8"/>
      <c r="R135" s="8"/>
      <c r="S135" s="8"/>
      <c r="T135" s="12"/>
      <c r="U135" s="2"/>
    </row>
    <row r="136" spans="1:21" x14ac:dyDescent="0.25">
      <c r="A136" s="2"/>
      <c r="B136" s="11"/>
      <c r="C136" s="8"/>
      <c r="D136" s="8"/>
      <c r="E136" s="8"/>
      <c r="F136" s="8"/>
      <c r="G136" s="8"/>
      <c r="H136" s="8"/>
      <c r="I136" s="8"/>
      <c r="J136" s="8"/>
      <c r="K136" s="8"/>
      <c r="L136" s="8"/>
      <c r="M136" s="8"/>
      <c r="N136" s="8"/>
      <c r="O136" s="8"/>
      <c r="P136" s="8"/>
      <c r="Q136" s="8"/>
      <c r="R136" s="8"/>
      <c r="S136" s="8"/>
      <c r="T136" s="12"/>
      <c r="U136" s="2"/>
    </row>
    <row r="137" spans="1:21" ht="15" customHeight="1" x14ac:dyDescent="0.25">
      <c r="A137" s="2"/>
      <c r="B137" s="11"/>
      <c r="C137" s="8"/>
      <c r="D137" s="152" t="s">
        <v>105</v>
      </c>
      <c r="E137" s="153"/>
      <c r="F137" s="8" t="s">
        <v>391</v>
      </c>
      <c r="G137" s="8"/>
      <c r="H137" s="8"/>
      <c r="I137" s="8"/>
      <c r="J137" s="8"/>
      <c r="K137" s="8"/>
      <c r="L137" s="8"/>
      <c r="M137" s="8"/>
      <c r="N137" s="8"/>
      <c r="O137" s="8"/>
      <c r="P137" s="8"/>
      <c r="Q137" s="8"/>
      <c r="R137" s="8"/>
      <c r="S137" s="8"/>
      <c r="T137" s="12"/>
      <c r="U137" s="2"/>
    </row>
    <row r="138" spans="1:21" x14ac:dyDescent="0.25">
      <c r="A138" s="2"/>
      <c r="B138" s="11"/>
      <c r="C138" s="8"/>
      <c r="D138" s="8"/>
      <c r="E138" s="8"/>
      <c r="F138" s="8"/>
      <c r="G138" s="8"/>
      <c r="H138" s="8"/>
      <c r="I138" s="8"/>
      <c r="J138" s="8"/>
      <c r="K138" s="8"/>
      <c r="L138" s="8"/>
      <c r="M138" s="8"/>
      <c r="N138" s="8"/>
      <c r="O138" s="8"/>
      <c r="P138" s="8"/>
      <c r="Q138" s="8"/>
      <c r="R138" s="8"/>
      <c r="S138" s="8"/>
      <c r="T138" s="12"/>
      <c r="U138" s="2"/>
    </row>
    <row r="139" spans="1:21" x14ac:dyDescent="0.25">
      <c r="A139" s="2"/>
      <c r="B139" s="11"/>
      <c r="C139" s="8"/>
      <c r="D139" s="152" t="s">
        <v>107</v>
      </c>
      <c r="E139" s="153"/>
      <c r="F139" s="8" t="s">
        <v>392</v>
      </c>
      <c r="G139" s="8"/>
      <c r="H139" s="8"/>
      <c r="I139" s="8"/>
      <c r="J139" s="8"/>
      <c r="K139" s="8"/>
      <c r="L139" s="8"/>
      <c r="M139" s="8"/>
      <c r="N139" s="8"/>
      <c r="O139" s="8"/>
      <c r="P139" s="8"/>
      <c r="Q139" s="8"/>
      <c r="R139" s="8"/>
      <c r="S139" s="8"/>
      <c r="T139" s="12"/>
      <c r="U139" s="2"/>
    </row>
    <row r="140" spans="1:21" x14ac:dyDescent="0.25">
      <c r="A140" s="2"/>
      <c r="B140" s="11"/>
      <c r="C140" s="8"/>
      <c r="D140" s="8"/>
      <c r="E140" s="8"/>
      <c r="F140" s="8"/>
      <c r="G140" s="8"/>
      <c r="H140" s="8"/>
      <c r="I140" s="8"/>
      <c r="J140" s="8"/>
      <c r="K140" s="8"/>
      <c r="L140" s="8"/>
      <c r="M140" s="8"/>
      <c r="N140" s="8"/>
      <c r="O140" s="8"/>
      <c r="P140" s="8"/>
      <c r="Q140" s="8"/>
      <c r="R140" s="8"/>
      <c r="S140" s="8"/>
      <c r="T140" s="12"/>
      <c r="U140" s="2"/>
    </row>
    <row r="141" spans="1:21" ht="16.5" customHeight="1" x14ac:dyDescent="0.25">
      <c r="A141" s="2"/>
      <c r="B141" s="11"/>
      <c r="C141" s="8"/>
      <c r="D141" s="44" t="s">
        <v>77</v>
      </c>
      <c r="E141" s="8" t="s">
        <v>99</v>
      </c>
      <c r="F141" s="8"/>
      <c r="G141" s="8"/>
      <c r="H141" s="8"/>
      <c r="I141" s="8"/>
      <c r="J141" s="8"/>
      <c r="K141" s="8"/>
      <c r="L141" s="8"/>
      <c r="M141" s="8"/>
      <c r="N141" s="8"/>
      <c r="O141" s="8"/>
      <c r="P141" s="8"/>
      <c r="Q141" s="8"/>
      <c r="R141" s="8"/>
      <c r="S141" s="8"/>
      <c r="T141" s="12"/>
      <c r="U141" s="2"/>
    </row>
    <row r="142" spans="1:21" ht="16.5" customHeight="1" x14ac:dyDescent="0.25">
      <c r="A142" s="2"/>
      <c r="B142" s="11"/>
      <c r="C142" s="8"/>
      <c r="D142" s="41"/>
      <c r="E142" s="8"/>
      <c r="F142" s="8"/>
      <c r="G142" s="8"/>
      <c r="H142" s="8"/>
      <c r="I142" s="8"/>
      <c r="J142" s="8"/>
      <c r="K142" s="8"/>
      <c r="L142" s="8"/>
      <c r="M142" s="8"/>
      <c r="N142" s="8"/>
      <c r="O142" s="8"/>
      <c r="P142" s="8"/>
      <c r="Q142" s="8"/>
      <c r="R142" s="8"/>
      <c r="S142" s="8"/>
      <c r="T142" s="12"/>
      <c r="U142" s="2"/>
    </row>
    <row r="143" spans="1:21" ht="16.5" customHeight="1" x14ac:dyDescent="0.25">
      <c r="A143" s="2"/>
      <c r="B143" s="11"/>
      <c r="C143" s="8"/>
      <c r="D143" s="44" t="s">
        <v>100</v>
      </c>
      <c r="E143" s="8" t="s">
        <v>92</v>
      </c>
      <c r="F143" s="8"/>
      <c r="G143" s="8"/>
      <c r="H143" s="8"/>
      <c r="I143" s="8"/>
      <c r="J143" s="8"/>
      <c r="K143" s="8"/>
      <c r="L143" s="8"/>
      <c r="M143" s="8"/>
      <c r="N143" s="8"/>
      <c r="O143" s="8"/>
      <c r="P143" s="8"/>
      <c r="Q143" s="8"/>
      <c r="R143" s="8"/>
      <c r="S143" s="8"/>
      <c r="T143" s="12"/>
      <c r="U143" s="2"/>
    </row>
    <row r="144" spans="1:21" x14ac:dyDescent="0.25">
      <c r="A144" s="2"/>
      <c r="B144" s="11"/>
      <c r="C144" s="8"/>
      <c r="D144" s="8"/>
      <c r="E144" s="8"/>
      <c r="F144" s="8"/>
      <c r="G144" s="8"/>
      <c r="H144" s="8"/>
      <c r="I144" s="8"/>
      <c r="J144" s="8"/>
      <c r="K144" s="8"/>
      <c r="L144" s="8"/>
      <c r="M144" s="8"/>
      <c r="N144" s="8"/>
      <c r="O144" s="8"/>
      <c r="P144" s="8"/>
      <c r="Q144" s="8"/>
      <c r="R144" s="8"/>
      <c r="S144" s="8"/>
      <c r="T144" s="12"/>
      <c r="U144" s="2"/>
    </row>
    <row r="145" spans="1:21" ht="18" customHeight="1" x14ac:dyDescent="0.25">
      <c r="A145" s="2"/>
      <c r="B145" s="11"/>
      <c r="C145" s="8"/>
      <c r="D145" s="145" t="s">
        <v>93</v>
      </c>
      <c r="E145" s="146"/>
      <c r="F145" s="8" t="s">
        <v>94</v>
      </c>
      <c r="G145" s="8"/>
      <c r="H145" s="8"/>
      <c r="I145" s="8"/>
      <c r="J145" s="8"/>
      <c r="K145" s="8"/>
      <c r="L145" s="8"/>
      <c r="M145" s="8"/>
      <c r="N145" s="8"/>
      <c r="O145" s="8"/>
      <c r="P145" s="8"/>
      <c r="Q145" s="8"/>
      <c r="R145" s="8"/>
      <c r="S145" s="8"/>
      <c r="T145" s="12"/>
      <c r="U145" s="2"/>
    </row>
    <row r="146" spans="1:21" x14ac:dyDescent="0.25">
      <c r="A146" s="2"/>
      <c r="B146" s="11"/>
      <c r="C146" s="8"/>
      <c r="D146" s="8"/>
      <c r="E146" s="8"/>
      <c r="F146" s="8"/>
      <c r="G146" s="8"/>
      <c r="H146" s="8"/>
      <c r="I146" s="8"/>
      <c r="J146" s="8"/>
      <c r="K146" s="8"/>
      <c r="L146" s="8"/>
      <c r="M146" s="8"/>
      <c r="N146" s="8"/>
      <c r="O146" s="8"/>
      <c r="P146" s="8"/>
      <c r="Q146" s="8"/>
      <c r="R146" s="8"/>
      <c r="S146" s="8"/>
      <c r="T146" s="12"/>
      <c r="U146" s="2"/>
    </row>
    <row r="147" spans="1:21" x14ac:dyDescent="0.25">
      <c r="A147" s="2"/>
      <c r="B147" s="11"/>
      <c r="C147" s="8"/>
      <c r="D147" s="152" t="s">
        <v>110</v>
      </c>
      <c r="E147" s="153"/>
      <c r="F147" s="8" t="s">
        <v>393</v>
      </c>
      <c r="G147" s="8"/>
      <c r="H147" s="8"/>
      <c r="I147" s="8"/>
      <c r="J147" s="8"/>
      <c r="K147" s="8"/>
      <c r="L147" s="8"/>
      <c r="M147" s="8"/>
      <c r="N147" s="8"/>
      <c r="O147" s="8"/>
      <c r="P147" s="8"/>
      <c r="Q147" s="8"/>
      <c r="R147" s="8"/>
      <c r="S147" s="8"/>
      <c r="T147" s="12"/>
      <c r="U147" s="2"/>
    </row>
    <row r="148" spans="1:21" ht="18" customHeight="1" x14ac:dyDescent="0.25">
      <c r="A148" s="2"/>
      <c r="B148" s="11"/>
      <c r="C148" s="8"/>
      <c r="D148" s="8"/>
      <c r="E148" s="8"/>
      <c r="F148" s="8"/>
      <c r="G148" s="8"/>
      <c r="H148" s="8"/>
      <c r="I148" s="8"/>
      <c r="J148" s="8"/>
      <c r="K148" s="8"/>
      <c r="L148" s="8"/>
      <c r="M148" s="8"/>
      <c r="N148" s="8"/>
      <c r="O148" s="8"/>
      <c r="P148" s="8"/>
      <c r="Q148" s="8"/>
      <c r="R148" s="8"/>
      <c r="S148" s="8"/>
      <c r="T148" s="12"/>
      <c r="U148" s="2"/>
    </row>
    <row r="149" spans="1:21" ht="18" customHeight="1" x14ac:dyDescent="0.25">
      <c r="A149" s="2"/>
      <c r="B149" s="11"/>
      <c r="C149" s="8"/>
      <c r="D149" s="8"/>
      <c r="E149" s="8"/>
      <c r="F149" s="8"/>
      <c r="G149" s="8"/>
      <c r="H149" s="8"/>
      <c r="I149" s="8"/>
      <c r="J149" s="8"/>
      <c r="K149" s="8"/>
      <c r="L149" s="8"/>
      <c r="M149" s="8"/>
      <c r="N149" s="8"/>
      <c r="O149" s="8"/>
      <c r="P149" s="8"/>
      <c r="Q149" s="8"/>
      <c r="R149" s="8"/>
      <c r="S149" s="8"/>
      <c r="T149" s="12"/>
      <c r="U149" s="2"/>
    </row>
    <row r="150" spans="1:21" ht="18" customHeight="1" x14ac:dyDescent="0.25">
      <c r="A150" s="2"/>
      <c r="B150" s="11"/>
      <c r="C150" s="8"/>
      <c r="D150" s="8"/>
      <c r="E150" s="8"/>
      <c r="F150" s="8"/>
      <c r="G150" s="8"/>
      <c r="H150" s="8"/>
      <c r="I150" s="8"/>
      <c r="J150" s="8"/>
      <c r="K150" s="8"/>
      <c r="L150" s="8"/>
      <c r="M150" s="8"/>
      <c r="N150" s="8"/>
      <c r="O150" s="8"/>
      <c r="P150" s="8"/>
      <c r="Q150" s="8"/>
      <c r="R150" s="8"/>
      <c r="S150" s="8"/>
      <c r="T150" s="12"/>
      <c r="U150" s="2"/>
    </row>
    <row r="151" spans="1:21" ht="18" customHeight="1" x14ac:dyDescent="0.25">
      <c r="A151" s="2"/>
      <c r="B151" s="11"/>
      <c r="C151" s="8"/>
      <c r="D151" s="8"/>
      <c r="E151" s="8"/>
      <c r="F151" s="8"/>
      <c r="G151" s="8"/>
      <c r="H151" s="8"/>
      <c r="I151" s="8"/>
      <c r="J151" s="8"/>
      <c r="K151" s="8"/>
      <c r="L151" s="8"/>
      <c r="M151" s="8"/>
      <c r="N151" s="8"/>
      <c r="O151" s="8"/>
      <c r="P151" s="8"/>
      <c r="Q151" s="8"/>
      <c r="R151" s="8"/>
      <c r="S151" s="8"/>
      <c r="T151" s="12"/>
      <c r="U151" s="2"/>
    </row>
    <row r="152" spans="1:21" x14ac:dyDescent="0.25">
      <c r="A152" s="2"/>
      <c r="B152" s="11"/>
      <c r="C152" s="8"/>
      <c r="D152" s="8"/>
      <c r="E152" s="8"/>
      <c r="F152" s="8"/>
      <c r="G152" s="8"/>
      <c r="H152" s="8"/>
      <c r="I152" s="8"/>
      <c r="J152" s="8"/>
      <c r="K152" s="8"/>
      <c r="L152" s="8"/>
      <c r="M152" s="8"/>
      <c r="N152" s="8"/>
      <c r="O152" s="8"/>
      <c r="P152" s="8"/>
      <c r="Q152" s="8"/>
      <c r="R152" s="8"/>
      <c r="S152" s="8"/>
      <c r="T152" s="12"/>
      <c r="U152" s="2"/>
    </row>
    <row r="153" spans="1:21" x14ac:dyDescent="0.25">
      <c r="A153" s="2"/>
      <c r="B153" s="11"/>
      <c r="C153" s="23" t="s">
        <v>62</v>
      </c>
      <c r="D153" s="23"/>
      <c r="E153" s="8"/>
      <c r="F153" s="8"/>
      <c r="G153" s="8"/>
      <c r="H153" s="8"/>
      <c r="I153" s="8"/>
      <c r="J153" s="8"/>
      <c r="K153" s="8"/>
      <c r="L153" s="8"/>
      <c r="M153" s="8"/>
      <c r="N153" s="8"/>
      <c r="O153" s="8"/>
      <c r="P153" s="8"/>
      <c r="Q153" s="8"/>
      <c r="R153" s="8"/>
      <c r="S153" s="8"/>
      <c r="T153" s="12"/>
      <c r="U153" s="2"/>
    </row>
    <row r="154" spans="1:21" ht="15.75" thickBot="1" x14ac:dyDescent="0.3">
      <c r="A154" s="2"/>
      <c r="B154" s="11"/>
      <c r="C154" s="8"/>
      <c r="D154" s="8"/>
      <c r="E154" s="8"/>
      <c r="F154" s="8"/>
      <c r="G154" s="8"/>
      <c r="H154" s="8"/>
      <c r="I154" s="8"/>
      <c r="J154" s="8"/>
      <c r="K154" s="8"/>
      <c r="L154" s="8"/>
      <c r="M154" s="8"/>
      <c r="N154" s="8"/>
      <c r="O154" s="8"/>
      <c r="P154" s="8"/>
      <c r="Q154" s="8"/>
      <c r="R154" s="8"/>
      <c r="S154" s="8"/>
      <c r="T154" s="12"/>
      <c r="U154" s="2"/>
    </row>
    <row r="155" spans="1:21" ht="19.5" thickTop="1" thickBot="1" x14ac:dyDescent="0.4">
      <c r="A155" s="2"/>
      <c r="B155" s="11"/>
      <c r="C155" s="8"/>
      <c r="D155" s="31" t="s">
        <v>67</v>
      </c>
      <c r="E155" s="31">
        <f>'Ex-Post Indirect Project Sinks'!E12</f>
        <v>0</v>
      </c>
      <c r="F155" s="128" t="s">
        <v>101</v>
      </c>
      <c r="G155" s="128"/>
      <c r="H155" s="128"/>
      <c r="I155" s="128"/>
      <c r="J155" s="128"/>
      <c r="K155" s="128"/>
      <c r="L155" s="128"/>
      <c r="M155" s="128"/>
      <c r="N155" s="128"/>
      <c r="O155" s="128"/>
      <c r="P155" s="128"/>
      <c r="Q155" s="128"/>
      <c r="R155" s="128"/>
      <c r="S155" s="128"/>
      <c r="T155" s="12"/>
      <c r="U155" s="2"/>
    </row>
    <row r="156" spans="1:21" ht="15.75" thickTop="1" x14ac:dyDescent="0.25">
      <c r="A156" s="2"/>
      <c r="B156" s="11"/>
      <c r="C156" s="8"/>
      <c r="D156" s="8"/>
      <c r="E156" s="8"/>
      <c r="F156" s="128"/>
      <c r="G156" s="128"/>
      <c r="H156" s="128"/>
      <c r="I156" s="128"/>
      <c r="J156" s="128"/>
      <c r="K156" s="128"/>
      <c r="L156" s="128"/>
      <c r="M156" s="128"/>
      <c r="N156" s="128"/>
      <c r="O156" s="128"/>
      <c r="P156" s="128"/>
      <c r="Q156" s="128"/>
      <c r="R156" s="128"/>
      <c r="S156" s="128"/>
      <c r="T156" s="12"/>
      <c r="U156" s="2"/>
    </row>
    <row r="157" spans="1:21" x14ac:dyDescent="0.25">
      <c r="A157" s="2"/>
      <c r="B157" s="11"/>
      <c r="C157" s="8"/>
      <c r="D157" s="8"/>
      <c r="E157" s="8"/>
      <c r="F157" s="48"/>
      <c r="G157" s="48"/>
      <c r="H157" s="48"/>
      <c r="I157" s="48"/>
      <c r="J157" s="48"/>
      <c r="K157" s="48"/>
      <c r="L157" s="48"/>
      <c r="M157" s="48"/>
      <c r="N157" s="48"/>
      <c r="O157" s="48"/>
      <c r="P157" s="48"/>
      <c r="Q157" s="48"/>
      <c r="R157" s="48"/>
      <c r="S157" s="48"/>
      <c r="T157" s="12"/>
      <c r="U157" s="2"/>
    </row>
    <row r="158" spans="1:21" ht="15.75" thickBot="1" x14ac:dyDescent="0.3">
      <c r="A158" s="2"/>
      <c r="B158" s="13"/>
      <c r="C158" s="24"/>
      <c r="D158" s="24"/>
      <c r="E158" s="24"/>
      <c r="F158" s="24"/>
      <c r="G158" s="24"/>
      <c r="H158" s="24"/>
      <c r="I158" s="24"/>
      <c r="J158" s="24"/>
      <c r="K158" s="24"/>
      <c r="L158" s="24"/>
      <c r="M158" s="24"/>
      <c r="N158" s="24"/>
      <c r="O158" s="24"/>
      <c r="P158" s="24"/>
      <c r="Q158" s="24"/>
      <c r="R158" s="24"/>
      <c r="S158" s="24"/>
      <c r="T158" s="16"/>
      <c r="U158" s="2"/>
    </row>
    <row r="159" spans="1:21" x14ac:dyDescent="0.25">
      <c r="A159" s="2"/>
      <c r="B159" s="2"/>
      <c r="C159" s="2"/>
      <c r="D159" s="2"/>
      <c r="E159" s="2"/>
      <c r="F159" s="2"/>
      <c r="G159" s="2"/>
      <c r="H159" s="2"/>
      <c r="I159" s="2"/>
      <c r="J159" s="2"/>
      <c r="K159" s="2"/>
      <c r="L159" s="2"/>
      <c r="M159" s="2"/>
      <c r="N159" s="2"/>
      <c r="O159" s="2"/>
      <c r="P159" s="2"/>
      <c r="Q159" s="2"/>
      <c r="R159" s="2"/>
      <c r="S159" s="2"/>
      <c r="T159" s="2"/>
      <c r="U159" s="2"/>
    </row>
    <row r="160" spans="1:21" x14ac:dyDescent="0.25">
      <c r="A160" s="2"/>
      <c r="B160" s="2"/>
      <c r="C160" s="2"/>
      <c r="D160" s="2"/>
      <c r="E160" s="2"/>
      <c r="F160" s="2"/>
      <c r="G160" s="2"/>
      <c r="H160" s="2"/>
      <c r="I160" s="2"/>
      <c r="J160" s="2"/>
      <c r="K160" s="2"/>
      <c r="L160" s="2"/>
      <c r="M160" s="2"/>
      <c r="N160" s="2"/>
      <c r="O160" s="2"/>
      <c r="P160" s="2"/>
      <c r="Q160" s="2"/>
      <c r="R160" s="2"/>
      <c r="S160" s="2"/>
      <c r="T160" s="2"/>
      <c r="U160" s="2"/>
    </row>
  </sheetData>
  <mergeCells count="20">
    <mergeCell ref="D137:E137"/>
    <mergeCell ref="D139:E139"/>
    <mergeCell ref="D147:E147"/>
    <mergeCell ref="D145:E145"/>
    <mergeCell ref="F155:S156"/>
    <mergeCell ref="D110:E110"/>
    <mergeCell ref="F123:S124"/>
    <mergeCell ref="B4:T6"/>
    <mergeCell ref="C9:S11"/>
    <mergeCell ref="D15:E15"/>
    <mergeCell ref="D70:F70"/>
    <mergeCell ref="B23:T25"/>
    <mergeCell ref="B51:T53"/>
    <mergeCell ref="F62:S63"/>
    <mergeCell ref="D34:E34"/>
    <mergeCell ref="D36:E36"/>
    <mergeCell ref="D86:E86"/>
    <mergeCell ref="D88:E88"/>
    <mergeCell ref="D114:E114"/>
    <mergeCell ref="D94:E94"/>
  </mergeCells>
  <dataValidations count="2">
    <dataValidation type="list" allowBlank="1" showInputMessage="1" showErrorMessage="1" sqref="D70" xr:uid="{DC7AB870-02D4-409D-8117-48EFF52ECEBB}">
      <formula1>"Direct Mineral Carbonation, Indirect Mineral Carbonation"</formula1>
    </dataValidation>
    <dataValidation type="list" allowBlank="1" showInputMessage="1" showErrorMessage="1" sqref="D15" xr:uid="{6A0F9D6E-6CF9-4734-9B4F-4244EFDA11A2}">
      <formula1>"Ex-ante, Ex-post"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2" r:id="rId3" name="Button 4">
              <controlPr defaultSize="0" print="0" autoFill="0" autoPict="0" macro="[0]!Indirect_M_C">
                <anchor moveWithCells="1" sizeWithCells="1">
                  <from>
                    <xdr:col>13</xdr:col>
                    <xdr:colOff>476250</xdr:colOff>
                    <xdr:row>71</xdr:row>
                    <xdr:rowOff>142875</xdr:rowOff>
                  </from>
                  <to>
                    <xdr:col>16</xdr:col>
                    <xdr:colOff>238125</xdr:colOff>
                    <xdr:row>74</xdr:row>
                    <xdr:rowOff>85725</xdr:rowOff>
                  </to>
                </anchor>
              </controlPr>
            </control>
          </mc:Choice>
        </mc:AlternateContent>
        <mc:AlternateContent xmlns:mc="http://schemas.openxmlformats.org/markup-compatibility/2006">
          <mc:Choice Requires="x14">
            <control shapeId="2074" r:id="rId4" name="Button 26">
              <controlPr defaultSize="0" print="0" autoFill="0" autoPict="0" macro="[0]!Redirect_sheet_ex_ante">
                <anchor moveWithCells="1" sizeWithCells="1">
                  <from>
                    <xdr:col>2</xdr:col>
                    <xdr:colOff>542925</xdr:colOff>
                    <xdr:row>41</xdr:row>
                    <xdr:rowOff>47625</xdr:rowOff>
                  </from>
                  <to>
                    <xdr:col>7</xdr:col>
                    <xdr:colOff>314325</xdr:colOff>
                    <xdr:row>43</xdr:row>
                    <xdr:rowOff>28575</xdr:rowOff>
                  </to>
                </anchor>
              </controlPr>
            </control>
          </mc:Choice>
        </mc:AlternateContent>
        <mc:AlternateContent xmlns:mc="http://schemas.openxmlformats.org/markup-compatibility/2006">
          <mc:Choice Requires="x14">
            <control shapeId="2075" r:id="rId5" name="Button 27">
              <controlPr defaultSize="0" print="0" autoFill="0" autoPict="0" macro="[0]!Redirect_sheet_ex_post">
                <anchor moveWithCells="1" sizeWithCells="1">
                  <from>
                    <xdr:col>2</xdr:col>
                    <xdr:colOff>590550</xdr:colOff>
                    <xdr:row>115</xdr:row>
                    <xdr:rowOff>180975</xdr:rowOff>
                  </from>
                  <to>
                    <xdr:col>7</xdr:col>
                    <xdr:colOff>457200</xdr:colOff>
                    <xdr:row>118</xdr:row>
                    <xdr:rowOff>19050</xdr:rowOff>
                  </to>
                </anchor>
              </controlPr>
            </control>
          </mc:Choice>
        </mc:AlternateContent>
        <mc:AlternateContent xmlns:mc="http://schemas.openxmlformats.org/markup-compatibility/2006">
          <mc:Choice Requires="x14">
            <control shapeId="2081" r:id="rId6" name="Button 33">
              <controlPr defaultSize="0" print="0" autoFill="0" autoPict="0" macro="[0]!Redirect_sheet_ex_post_indirect">
                <anchor moveWithCells="1" sizeWithCells="1">
                  <from>
                    <xdr:col>3</xdr:col>
                    <xdr:colOff>0</xdr:colOff>
                    <xdr:row>148</xdr:row>
                    <xdr:rowOff>152400</xdr:rowOff>
                  </from>
                  <to>
                    <xdr:col>7</xdr:col>
                    <xdr:colOff>523875</xdr:colOff>
                    <xdr:row>150</xdr:row>
                    <xdr:rowOff>114300</xdr:rowOff>
                  </to>
                </anchor>
              </controlPr>
            </control>
          </mc:Choice>
        </mc:AlternateContent>
        <mc:AlternateContent xmlns:mc="http://schemas.openxmlformats.org/markup-compatibility/2006">
          <mc:Choice Requires="x14">
            <control shapeId="2051" r:id="rId7" name="Button 3">
              <controlPr defaultSize="0" print="0" autoFill="0" autoPict="0" macro="[0]!Direct_M_C">
                <anchor moveWithCells="1" sizeWithCells="1">
                  <from>
                    <xdr:col>13</xdr:col>
                    <xdr:colOff>466725</xdr:colOff>
                    <xdr:row>68</xdr:row>
                    <xdr:rowOff>0</xdr:rowOff>
                  </from>
                  <to>
                    <xdr:col>16</xdr:col>
                    <xdr:colOff>228600</xdr:colOff>
                    <xdr:row>70</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A635A-BCE4-4E34-A008-0D64C1F53AAB}">
  <sheetPr codeName="Sheet3"/>
  <dimension ref="A1:K84"/>
  <sheetViews>
    <sheetView topLeftCell="A4" zoomScale="120" zoomScaleNormal="120" workbookViewId="0">
      <selection activeCell="I8" sqref="I8"/>
    </sheetView>
  </sheetViews>
  <sheetFormatPr defaultRowHeight="15" x14ac:dyDescent="0.25"/>
  <cols>
    <col min="1" max="3" width="9.140625" style="1"/>
    <col min="4" max="4" width="15.140625" style="1" bestFit="1" customWidth="1"/>
    <col min="5" max="5" width="17.42578125" style="1" customWidth="1"/>
    <col min="6" max="6" width="14.42578125" style="1" customWidth="1"/>
    <col min="7" max="7" width="13.28515625" style="1" customWidth="1"/>
    <col min="8" max="8" width="15.85546875" style="1" customWidth="1"/>
    <col min="9" max="9" width="22.140625" style="1" customWidth="1"/>
    <col min="10" max="10" width="9.140625" style="1" customWidth="1"/>
    <col min="11" max="16384" width="9.140625" style="1"/>
  </cols>
  <sheetData>
    <row r="1" spans="1:11" x14ac:dyDescent="0.25">
      <c r="A1" s="2"/>
      <c r="B1" s="2"/>
      <c r="C1" s="2"/>
      <c r="D1" s="2"/>
      <c r="E1" s="2"/>
      <c r="F1" s="2"/>
      <c r="G1" s="2"/>
      <c r="H1" s="2"/>
      <c r="I1" s="2"/>
      <c r="J1" s="2"/>
      <c r="K1" s="2"/>
    </row>
    <row r="2" spans="1:11" x14ac:dyDescent="0.25">
      <c r="A2" s="2"/>
      <c r="B2" s="2"/>
      <c r="C2" s="2"/>
      <c r="D2" s="2"/>
      <c r="E2" s="2"/>
      <c r="F2" s="2"/>
      <c r="G2" s="2"/>
      <c r="H2" s="2"/>
      <c r="I2" s="2"/>
      <c r="J2" s="2"/>
      <c r="K2" s="2"/>
    </row>
    <row r="3" spans="1:11" x14ac:dyDescent="0.25">
      <c r="A3" s="2"/>
      <c r="B3" s="2"/>
      <c r="C3" s="2"/>
      <c r="D3" s="2"/>
      <c r="E3" s="2"/>
      <c r="F3" s="2"/>
      <c r="G3" s="2"/>
      <c r="H3" s="2"/>
      <c r="I3" s="2"/>
      <c r="J3" s="2"/>
      <c r="K3" s="2"/>
    </row>
    <row r="4" spans="1:11" x14ac:dyDescent="0.25">
      <c r="A4" s="2"/>
      <c r="B4" s="2"/>
      <c r="C4" s="2"/>
      <c r="D4" s="2"/>
      <c r="E4" s="2"/>
      <c r="F4" s="2"/>
      <c r="G4" s="2"/>
      <c r="H4" s="2"/>
      <c r="I4" s="2"/>
      <c r="J4" s="2"/>
      <c r="K4" s="2"/>
    </row>
    <row r="5" spans="1:11" ht="15.75" thickBot="1" x14ac:dyDescent="0.3">
      <c r="A5" s="2"/>
      <c r="B5" s="2"/>
      <c r="C5" s="2"/>
      <c r="D5" s="2"/>
      <c r="E5" s="2"/>
      <c r="F5" s="2"/>
      <c r="G5" s="2"/>
      <c r="H5" s="2"/>
      <c r="I5" s="2"/>
      <c r="J5" s="2"/>
      <c r="K5" s="2"/>
    </row>
    <row r="6" spans="1:11" x14ac:dyDescent="0.25">
      <c r="A6" s="2"/>
      <c r="B6" s="36"/>
      <c r="C6" s="37"/>
      <c r="D6" s="37"/>
      <c r="E6" s="37"/>
      <c r="F6" s="37"/>
      <c r="G6" s="37"/>
      <c r="H6" s="37"/>
      <c r="I6" s="37"/>
      <c r="J6" s="38"/>
      <c r="K6" s="2"/>
    </row>
    <row r="7" spans="1:11" x14ac:dyDescent="0.25">
      <c r="A7" s="2"/>
      <c r="B7" s="11"/>
      <c r="C7" s="8"/>
      <c r="D7" s="8"/>
      <c r="E7" s="8"/>
      <c r="F7" s="8"/>
      <c r="G7" s="8"/>
      <c r="H7" s="8"/>
      <c r="I7" s="8"/>
      <c r="J7" s="12"/>
      <c r="K7" s="2"/>
    </row>
    <row r="8" spans="1:11" ht="18.75" x14ac:dyDescent="0.3">
      <c r="A8" s="2"/>
      <c r="B8" s="11"/>
      <c r="C8" s="40" t="s">
        <v>102</v>
      </c>
      <c r="D8" s="8"/>
      <c r="E8" s="8"/>
      <c r="F8" s="8"/>
      <c r="G8" s="8"/>
      <c r="H8" s="8"/>
      <c r="I8" s="94">
        <v>2022</v>
      </c>
      <c r="J8" s="12"/>
      <c r="K8" s="2"/>
    </row>
    <row r="9" spans="1:11" x14ac:dyDescent="0.25">
      <c r="A9" s="2"/>
      <c r="B9" s="11"/>
      <c r="C9" s="23"/>
      <c r="D9" s="8"/>
      <c r="E9" s="8"/>
      <c r="F9" s="8"/>
      <c r="G9" s="8"/>
      <c r="H9" s="8"/>
      <c r="I9" s="8"/>
      <c r="J9" s="12"/>
      <c r="K9" s="2"/>
    </row>
    <row r="10" spans="1:11" x14ac:dyDescent="0.25">
      <c r="A10" s="2"/>
      <c r="B10" s="11"/>
      <c r="C10" s="23" t="s">
        <v>62</v>
      </c>
      <c r="D10" s="23"/>
      <c r="E10" s="8"/>
      <c r="F10" s="8"/>
      <c r="G10" s="8"/>
      <c r="H10" s="8"/>
      <c r="I10" s="8"/>
      <c r="J10" s="12"/>
      <c r="K10" s="2"/>
    </row>
    <row r="11" spans="1:11" ht="15.75" thickBot="1" x14ac:dyDescent="0.3">
      <c r="A11" s="2"/>
      <c r="B11" s="11"/>
      <c r="C11" s="23"/>
      <c r="D11" s="23"/>
      <c r="E11" s="23"/>
      <c r="F11" s="8"/>
      <c r="G11" s="8"/>
      <c r="H11" s="8"/>
      <c r="I11" s="8"/>
      <c r="J11" s="12"/>
      <c r="K11" s="2"/>
    </row>
    <row r="12" spans="1:11" ht="19.5" thickTop="1" thickBot="1" x14ac:dyDescent="0.4">
      <c r="A12" s="2"/>
      <c r="B12" s="11"/>
      <c r="C12" s="23"/>
      <c r="D12" s="31" t="s">
        <v>63</v>
      </c>
      <c r="E12" s="31">
        <f>SUMIF(C19:C80,I8,H19:H80)</f>
        <v>207.82</v>
      </c>
      <c r="F12" s="8"/>
      <c r="G12" s="8"/>
      <c r="H12" s="8"/>
      <c r="I12" s="8"/>
      <c r="J12" s="12"/>
      <c r="K12" s="2"/>
    </row>
    <row r="13" spans="1:11" ht="15.75" thickTop="1" x14ac:dyDescent="0.25">
      <c r="A13" s="2"/>
      <c r="B13" s="11"/>
      <c r="C13" s="23"/>
      <c r="D13" s="23"/>
      <c r="E13" s="23"/>
      <c r="F13" s="8"/>
      <c r="G13" s="8"/>
      <c r="H13" s="8"/>
      <c r="I13" s="8"/>
      <c r="J13" s="12"/>
      <c r="K13" s="2"/>
    </row>
    <row r="14" spans="1:11" x14ac:dyDescent="0.25">
      <c r="A14" s="2"/>
      <c r="B14" s="11"/>
      <c r="C14" s="30"/>
      <c r="D14" s="39" t="s">
        <v>103</v>
      </c>
      <c r="E14" s="8"/>
      <c r="F14" s="8"/>
      <c r="G14" s="8"/>
      <c r="H14" s="8"/>
      <c r="I14" s="8"/>
      <c r="J14" s="12"/>
      <c r="K14" s="2"/>
    </row>
    <row r="15" spans="1:11" ht="15.75" thickBot="1" x14ac:dyDescent="0.3">
      <c r="A15" s="2"/>
      <c r="B15" s="11"/>
      <c r="C15" s="8"/>
      <c r="D15" s="8"/>
      <c r="E15" s="8"/>
      <c r="F15" s="24"/>
      <c r="G15" s="24"/>
      <c r="H15" s="24"/>
      <c r="I15" s="8"/>
      <c r="J15" s="12"/>
      <c r="K15" s="2"/>
    </row>
    <row r="16" spans="1:11" x14ac:dyDescent="0.25">
      <c r="A16" s="2"/>
      <c r="B16" s="11"/>
      <c r="C16" s="159" t="s">
        <v>104</v>
      </c>
      <c r="D16" s="162" t="s">
        <v>105</v>
      </c>
      <c r="E16" s="162" t="s">
        <v>106</v>
      </c>
      <c r="F16" s="157" t="s">
        <v>107</v>
      </c>
      <c r="G16" s="157" t="s">
        <v>108</v>
      </c>
      <c r="H16" s="157" t="s">
        <v>109</v>
      </c>
      <c r="I16" s="154" t="s">
        <v>110</v>
      </c>
      <c r="J16" s="12"/>
      <c r="K16" s="2"/>
    </row>
    <row r="17" spans="1:11" x14ac:dyDescent="0.25">
      <c r="A17" s="2"/>
      <c r="B17" s="11"/>
      <c r="C17" s="160"/>
      <c r="D17" s="157"/>
      <c r="E17" s="157"/>
      <c r="F17" s="157"/>
      <c r="G17" s="157"/>
      <c r="H17" s="157"/>
      <c r="I17" s="155"/>
      <c r="J17" s="12"/>
      <c r="K17" s="2"/>
    </row>
    <row r="18" spans="1:11" ht="15.75" thickBot="1" x14ac:dyDescent="0.3">
      <c r="A18" s="2"/>
      <c r="B18" s="11"/>
      <c r="C18" s="161"/>
      <c r="D18" s="158"/>
      <c r="E18" s="158"/>
      <c r="F18" s="158"/>
      <c r="G18" s="158"/>
      <c r="H18" s="158"/>
      <c r="I18" s="156"/>
      <c r="J18" s="12"/>
      <c r="K18" s="2"/>
    </row>
    <row r="19" spans="1:11" x14ac:dyDescent="0.25">
      <c r="A19" s="2"/>
      <c r="B19" s="11"/>
      <c r="C19" s="76">
        <v>2021</v>
      </c>
      <c r="D19" s="77" t="s">
        <v>111</v>
      </c>
      <c r="E19" s="78">
        <v>0</v>
      </c>
      <c r="F19" s="79" t="s">
        <v>112</v>
      </c>
      <c r="G19" s="29">
        <f>IF(AND(F19="0-2 mm"),0.035,IF(AND(F19="2-4 mm"),0.02,IF(AND(F19="4-8 mm"),0.01,IF(AND(F19="8-16 mm"),0.0075,IF(AND(F19="16-22 mm"),0.006,IF(AND(F19="&gt;22 mm"),0.005,0))))))</f>
        <v>0.01</v>
      </c>
      <c r="H19" s="32">
        <f>E19*G19</f>
        <v>0</v>
      </c>
      <c r="I19" s="90" t="s">
        <v>113</v>
      </c>
      <c r="J19" s="12"/>
      <c r="K19" s="2"/>
    </row>
    <row r="20" spans="1:11" x14ac:dyDescent="0.25">
      <c r="A20" s="2"/>
      <c r="B20" s="11"/>
      <c r="C20" s="80">
        <v>2021</v>
      </c>
      <c r="D20" s="81" t="s">
        <v>114</v>
      </c>
      <c r="E20" s="82">
        <v>0</v>
      </c>
      <c r="F20" s="82" t="s">
        <v>115</v>
      </c>
      <c r="G20" s="27">
        <f t="shared" ref="G20:G80" si="0">IF(AND(F20="0-2 mm"),0.035,IF(AND(F20="2-4 mm"),0.02,IF(AND(F20="4-8 mm"),0.01,IF(AND(F20="8-16 mm"),0.0075,IF(AND(F20="16-22 mm"),0.006,IF(AND(F20="&gt;22 mm"),0.005,0))))))</f>
        <v>5.0000000000000001E-3</v>
      </c>
      <c r="H20" s="32">
        <f t="shared" ref="H20:H80" si="1">E20*G20</f>
        <v>0</v>
      </c>
      <c r="I20" s="91" t="s">
        <v>113</v>
      </c>
      <c r="J20" s="12"/>
      <c r="K20" s="2"/>
    </row>
    <row r="21" spans="1:11" x14ac:dyDescent="0.25">
      <c r="A21" s="2"/>
      <c r="B21" s="11"/>
      <c r="C21" s="80">
        <v>2022</v>
      </c>
      <c r="D21" s="81" t="s">
        <v>111</v>
      </c>
      <c r="E21" s="82">
        <v>17813</v>
      </c>
      <c r="F21" s="82" t="s">
        <v>112</v>
      </c>
      <c r="G21" s="27">
        <f t="shared" si="0"/>
        <v>0.01</v>
      </c>
      <c r="H21" s="32">
        <f t="shared" si="1"/>
        <v>178.13</v>
      </c>
      <c r="I21" s="91" t="s">
        <v>113</v>
      </c>
      <c r="J21" s="12"/>
      <c r="K21" s="2"/>
    </row>
    <row r="22" spans="1:11" x14ac:dyDescent="0.25">
      <c r="A22" s="2"/>
      <c r="B22" s="11"/>
      <c r="C22" s="80">
        <v>2022</v>
      </c>
      <c r="D22" s="81" t="s">
        <v>114</v>
      </c>
      <c r="E22" s="82">
        <v>5938</v>
      </c>
      <c r="F22" s="82" t="s">
        <v>115</v>
      </c>
      <c r="G22" s="27">
        <f t="shared" si="0"/>
        <v>5.0000000000000001E-3</v>
      </c>
      <c r="H22" s="32">
        <f t="shared" si="1"/>
        <v>29.69</v>
      </c>
      <c r="I22" s="91" t="s">
        <v>113</v>
      </c>
      <c r="J22" s="12"/>
      <c r="K22" s="2"/>
    </row>
    <row r="23" spans="1:11" x14ac:dyDescent="0.25">
      <c r="A23" s="2"/>
      <c r="B23" s="11"/>
      <c r="C23" s="80">
        <v>2023</v>
      </c>
      <c r="D23" s="81" t="s">
        <v>111</v>
      </c>
      <c r="E23" s="82">
        <v>22500</v>
      </c>
      <c r="F23" s="82" t="s">
        <v>112</v>
      </c>
      <c r="G23" s="27">
        <f t="shared" si="0"/>
        <v>0.01</v>
      </c>
      <c r="H23" s="32">
        <f t="shared" si="1"/>
        <v>225</v>
      </c>
      <c r="I23" s="91" t="s">
        <v>113</v>
      </c>
      <c r="J23" s="12"/>
      <c r="K23" s="2"/>
    </row>
    <row r="24" spans="1:11" x14ac:dyDescent="0.25">
      <c r="A24" s="2"/>
      <c r="B24" s="11"/>
      <c r="C24" s="80">
        <v>2023</v>
      </c>
      <c r="D24" s="81" t="s">
        <v>114</v>
      </c>
      <c r="E24" s="82">
        <v>7500</v>
      </c>
      <c r="F24" s="82" t="s">
        <v>115</v>
      </c>
      <c r="G24" s="27">
        <f t="shared" si="0"/>
        <v>5.0000000000000001E-3</v>
      </c>
      <c r="H24" s="32">
        <f t="shared" si="1"/>
        <v>37.5</v>
      </c>
      <c r="I24" s="91" t="s">
        <v>113</v>
      </c>
      <c r="J24" s="12"/>
      <c r="K24" s="2"/>
    </row>
    <row r="25" spans="1:11" x14ac:dyDescent="0.25">
      <c r="A25" s="2"/>
      <c r="B25" s="11"/>
      <c r="C25" s="80">
        <v>2024</v>
      </c>
      <c r="D25" s="81" t="s">
        <v>111</v>
      </c>
      <c r="E25" s="82">
        <v>22500</v>
      </c>
      <c r="F25" s="82" t="s">
        <v>112</v>
      </c>
      <c r="G25" s="27">
        <f t="shared" si="0"/>
        <v>0.01</v>
      </c>
      <c r="H25" s="32">
        <f t="shared" si="1"/>
        <v>225</v>
      </c>
      <c r="I25" s="91" t="s">
        <v>113</v>
      </c>
      <c r="J25" s="12"/>
      <c r="K25" s="2"/>
    </row>
    <row r="26" spans="1:11" x14ac:dyDescent="0.25">
      <c r="A26" s="2"/>
      <c r="B26" s="11"/>
      <c r="C26" s="80">
        <v>2024</v>
      </c>
      <c r="D26" s="81" t="s">
        <v>114</v>
      </c>
      <c r="E26" s="82">
        <v>7500</v>
      </c>
      <c r="F26" s="82" t="s">
        <v>115</v>
      </c>
      <c r="G26" s="27">
        <f t="shared" si="0"/>
        <v>5.0000000000000001E-3</v>
      </c>
      <c r="H26" s="32">
        <f t="shared" si="1"/>
        <v>37.5</v>
      </c>
      <c r="I26" s="91" t="s">
        <v>113</v>
      </c>
      <c r="J26" s="12"/>
      <c r="K26" s="2"/>
    </row>
    <row r="27" spans="1:11" x14ac:dyDescent="0.25">
      <c r="A27" s="2"/>
      <c r="B27" s="11"/>
      <c r="C27" s="80"/>
      <c r="D27" s="81"/>
      <c r="E27" s="82"/>
      <c r="F27" s="82"/>
      <c r="G27" s="27">
        <f t="shared" si="0"/>
        <v>0</v>
      </c>
      <c r="H27" s="32">
        <f t="shared" si="1"/>
        <v>0</v>
      </c>
      <c r="I27" s="91"/>
      <c r="J27" s="12"/>
      <c r="K27" s="2"/>
    </row>
    <row r="28" spans="1:11" x14ac:dyDescent="0.25">
      <c r="A28" s="2"/>
      <c r="B28" s="11"/>
      <c r="C28" s="80"/>
      <c r="D28" s="81"/>
      <c r="E28" s="82"/>
      <c r="F28" s="82"/>
      <c r="G28" s="27">
        <f t="shared" si="0"/>
        <v>0</v>
      </c>
      <c r="H28" s="32">
        <f t="shared" si="1"/>
        <v>0</v>
      </c>
      <c r="I28" s="91"/>
      <c r="J28" s="12"/>
      <c r="K28" s="2"/>
    </row>
    <row r="29" spans="1:11" x14ac:dyDescent="0.25">
      <c r="A29" s="2"/>
      <c r="B29" s="11"/>
      <c r="C29" s="80"/>
      <c r="D29" s="81"/>
      <c r="E29" s="82"/>
      <c r="F29" s="82"/>
      <c r="G29" s="27">
        <f t="shared" si="0"/>
        <v>0</v>
      </c>
      <c r="H29" s="32">
        <f t="shared" si="1"/>
        <v>0</v>
      </c>
      <c r="I29" s="91"/>
      <c r="J29" s="12"/>
      <c r="K29" s="2"/>
    </row>
    <row r="30" spans="1:11" x14ac:dyDescent="0.25">
      <c r="A30" s="2"/>
      <c r="B30" s="11"/>
      <c r="C30" s="80"/>
      <c r="D30" s="81"/>
      <c r="E30" s="82"/>
      <c r="F30" s="82"/>
      <c r="G30" s="27">
        <f t="shared" si="0"/>
        <v>0</v>
      </c>
      <c r="H30" s="32">
        <f t="shared" si="1"/>
        <v>0</v>
      </c>
      <c r="I30" s="91"/>
      <c r="J30" s="12"/>
      <c r="K30" s="2"/>
    </row>
    <row r="31" spans="1:11" x14ac:dyDescent="0.25">
      <c r="A31" s="2"/>
      <c r="B31" s="11"/>
      <c r="C31" s="80"/>
      <c r="D31" s="81"/>
      <c r="E31" s="82"/>
      <c r="F31" s="82"/>
      <c r="G31" s="27">
        <f t="shared" si="0"/>
        <v>0</v>
      </c>
      <c r="H31" s="32">
        <f t="shared" si="1"/>
        <v>0</v>
      </c>
      <c r="I31" s="91"/>
      <c r="J31" s="12"/>
      <c r="K31" s="2"/>
    </row>
    <row r="32" spans="1:11" x14ac:dyDescent="0.25">
      <c r="A32" s="2"/>
      <c r="B32" s="11"/>
      <c r="C32" s="80"/>
      <c r="D32" s="81"/>
      <c r="E32" s="82"/>
      <c r="F32" s="82"/>
      <c r="G32" s="27">
        <f t="shared" si="0"/>
        <v>0</v>
      </c>
      <c r="H32" s="32">
        <f t="shared" si="1"/>
        <v>0</v>
      </c>
      <c r="I32" s="91"/>
      <c r="J32" s="12"/>
      <c r="K32" s="2"/>
    </row>
    <row r="33" spans="1:11" x14ac:dyDescent="0.25">
      <c r="A33" s="2"/>
      <c r="B33" s="11"/>
      <c r="C33" s="80"/>
      <c r="D33" s="81"/>
      <c r="E33" s="82"/>
      <c r="F33" s="82"/>
      <c r="G33" s="27">
        <f t="shared" si="0"/>
        <v>0</v>
      </c>
      <c r="H33" s="32">
        <f t="shared" si="1"/>
        <v>0</v>
      </c>
      <c r="I33" s="91"/>
      <c r="J33" s="12"/>
      <c r="K33" s="2"/>
    </row>
    <row r="34" spans="1:11" x14ac:dyDescent="0.25">
      <c r="A34" s="2"/>
      <c r="B34" s="11"/>
      <c r="C34" s="80"/>
      <c r="D34" s="81"/>
      <c r="E34" s="82"/>
      <c r="F34" s="82"/>
      <c r="G34" s="27">
        <f t="shared" si="0"/>
        <v>0</v>
      </c>
      <c r="H34" s="32">
        <f t="shared" si="1"/>
        <v>0</v>
      </c>
      <c r="I34" s="91"/>
      <c r="J34" s="12"/>
      <c r="K34" s="2"/>
    </row>
    <row r="35" spans="1:11" x14ac:dyDescent="0.25">
      <c r="A35" s="2"/>
      <c r="B35" s="11"/>
      <c r="C35" s="80"/>
      <c r="D35" s="81"/>
      <c r="E35" s="82"/>
      <c r="F35" s="82"/>
      <c r="G35" s="27">
        <f t="shared" si="0"/>
        <v>0</v>
      </c>
      <c r="H35" s="32">
        <f t="shared" si="1"/>
        <v>0</v>
      </c>
      <c r="I35" s="91"/>
      <c r="J35" s="12"/>
      <c r="K35" s="2"/>
    </row>
    <row r="36" spans="1:11" x14ac:dyDescent="0.25">
      <c r="A36" s="2"/>
      <c r="B36" s="11"/>
      <c r="C36" s="80"/>
      <c r="D36" s="81"/>
      <c r="E36" s="82"/>
      <c r="F36" s="82"/>
      <c r="G36" s="27">
        <f t="shared" si="0"/>
        <v>0</v>
      </c>
      <c r="H36" s="32">
        <f t="shared" si="1"/>
        <v>0</v>
      </c>
      <c r="I36" s="91"/>
      <c r="J36" s="12"/>
      <c r="K36" s="2"/>
    </row>
    <row r="37" spans="1:11" x14ac:dyDescent="0.25">
      <c r="A37" s="2"/>
      <c r="B37" s="11"/>
      <c r="C37" s="80"/>
      <c r="D37" s="81"/>
      <c r="E37" s="82"/>
      <c r="F37" s="82"/>
      <c r="G37" s="27">
        <f t="shared" si="0"/>
        <v>0</v>
      </c>
      <c r="H37" s="32">
        <f t="shared" si="1"/>
        <v>0</v>
      </c>
      <c r="I37" s="91"/>
      <c r="J37" s="12"/>
      <c r="K37" s="2"/>
    </row>
    <row r="38" spans="1:11" x14ac:dyDescent="0.25">
      <c r="A38" s="2"/>
      <c r="B38" s="11"/>
      <c r="C38" s="80"/>
      <c r="D38" s="81"/>
      <c r="E38" s="82"/>
      <c r="F38" s="82"/>
      <c r="G38" s="27">
        <f t="shared" si="0"/>
        <v>0</v>
      </c>
      <c r="H38" s="32">
        <f t="shared" si="1"/>
        <v>0</v>
      </c>
      <c r="I38" s="91"/>
      <c r="J38" s="12"/>
      <c r="K38" s="2"/>
    </row>
    <row r="39" spans="1:11" x14ac:dyDescent="0.25">
      <c r="A39" s="2"/>
      <c r="B39" s="11"/>
      <c r="C39" s="80"/>
      <c r="D39" s="81"/>
      <c r="E39" s="82"/>
      <c r="F39" s="82"/>
      <c r="G39" s="27">
        <f t="shared" si="0"/>
        <v>0</v>
      </c>
      <c r="H39" s="32">
        <f t="shared" si="1"/>
        <v>0</v>
      </c>
      <c r="I39" s="91"/>
      <c r="J39" s="12"/>
      <c r="K39" s="2"/>
    </row>
    <row r="40" spans="1:11" x14ac:dyDescent="0.25">
      <c r="A40" s="2"/>
      <c r="B40" s="11"/>
      <c r="C40" s="80"/>
      <c r="D40" s="81"/>
      <c r="E40" s="82"/>
      <c r="F40" s="82"/>
      <c r="G40" s="27">
        <f t="shared" si="0"/>
        <v>0</v>
      </c>
      <c r="H40" s="32">
        <f t="shared" si="1"/>
        <v>0</v>
      </c>
      <c r="I40" s="91"/>
      <c r="J40" s="12"/>
      <c r="K40" s="2"/>
    </row>
    <row r="41" spans="1:11" x14ac:dyDescent="0.25">
      <c r="A41" s="2"/>
      <c r="B41" s="11"/>
      <c r="C41" s="80"/>
      <c r="D41" s="81"/>
      <c r="E41" s="82"/>
      <c r="F41" s="82"/>
      <c r="G41" s="27">
        <f t="shared" si="0"/>
        <v>0</v>
      </c>
      <c r="H41" s="32">
        <f t="shared" si="1"/>
        <v>0</v>
      </c>
      <c r="I41" s="91"/>
      <c r="J41" s="12"/>
      <c r="K41" s="2"/>
    </row>
    <row r="42" spans="1:11" x14ac:dyDescent="0.25">
      <c r="A42" s="2"/>
      <c r="B42" s="11"/>
      <c r="C42" s="80"/>
      <c r="D42" s="81"/>
      <c r="E42" s="82"/>
      <c r="F42" s="82"/>
      <c r="G42" s="27">
        <f t="shared" si="0"/>
        <v>0</v>
      </c>
      <c r="H42" s="32">
        <f t="shared" si="1"/>
        <v>0</v>
      </c>
      <c r="I42" s="91"/>
      <c r="J42" s="12"/>
      <c r="K42" s="2"/>
    </row>
    <row r="43" spans="1:11" x14ac:dyDescent="0.25">
      <c r="A43" s="2"/>
      <c r="B43" s="11"/>
      <c r="C43" s="80"/>
      <c r="D43" s="81"/>
      <c r="E43" s="82"/>
      <c r="F43" s="82"/>
      <c r="G43" s="27">
        <f t="shared" si="0"/>
        <v>0</v>
      </c>
      <c r="H43" s="32">
        <f t="shared" si="1"/>
        <v>0</v>
      </c>
      <c r="I43" s="91"/>
      <c r="J43" s="12"/>
      <c r="K43" s="2"/>
    </row>
    <row r="44" spans="1:11" x14ac:dyDescent="0.25">
      <c r="A44" s="2"/>
      <c r="B44" s="11"/>
      <c r="C44" s="80"/>
      <c r="D44" s="81"/>
      <c r="E44" s="82"/>
      <c r="F44" s="82"/>
      <c r="G44" s="27">
        <f t="shared" si="0"/>
        <v>0</v>
      </c>
      <c r="H44" s="32">
        <f t="shared" si="1"/>
        <v>0</v>
      </c>
      <c r="I44" s="91"/>
      <c r="J44" s="12"/>
      <c r="K44" s="2"/>
    </row>
    <row r="45" spans="1:11" x14ac:dyDescent="0.25">
      <c r="A45" s="2"/>
      <c r="B45" s="11"/>
      <c r="C45" s="80"/>
      <c r="D45" s="81"/>
      <c r="E45" s="82"/>
      <c r="F45" s="82"/>
      <c r="G45" s="27">
        <f t="shared" si="0"/>
        <v>0</v>
      </c>
      <c r="H45" s="32">
        <f t="shared" si="1"/>
        <v>0</v>
      </c>
      <c r="I45" s="91"/>
      <c r="J45" s="12"/>
      <c r="K45" s="2"/>
    </row>
    <row r="46" spans="1:11" x14ac:dyDescent="0.25">
      <c r="A46" s="2"/>
      <c r="B46" s="11"/>
      <c r="C46" s="80"/>
      <c r="D46" s="81"/>
      <c r="E46" s="82"/>
      <c r="F46" s="82"/>
      <c r="G46" s="27">
        <f t="shared" si="0"/>
        <v>0</v>
      </c>
      <c r="H46" s="32">
        <f t="shared" si="1"/>
        <v>0</v>
      </c>
      <c r="I46" s="91"/>
      <c r="J46" s="12"/>
      <c r="K46" s="2"/>
    </row>
    <row r="47" spans="1:11" x14ac:dyDescent="0.25">
      <c r="A47" s="2"/>
      <c r="B47" s="11"/>
      <c r="C47" s="80"/>
      <c r="D47" s="81"/>
      <c r="E47" s="82"/>
      <c r="F47" s="82"/>
      <c r="G47" s="27">
        <f t="shared" si="0"/>
        <v>0</v>
      </c>
      <c r="H47" s="32">
        <f t="shared" si="1"/>
        <v>0</v>
      </c>
      <c r="I47" s="91"/>
      <c r="J47" s="12"/>
      <c r="K47" s="2"/>
    </row>
    <row r="48" spans="1:11" x14ac:dyDescent="0.25">
      <c r="A48" s="2"/>
      <c r="B48" s="11"/>
      <c r="C48" s="80"/>
      <c r="D48" s="81"/>
      <c r="E48" s="82"/>
      <c r="F48" s="82"/>
      <c r="G48" s="27">
        <f t="shared" si="0"/>
        <v>0</v>
      </c>
      <c r="H48" s="32">
        <f t="shared" si="1"/>
        <v>0</v>
      </c>
      <c r="I48" s="91"/>
      <c r="J48" s="12"/>
      <c r="K48" s="2"/>
    </row>
    <row r="49" spans="1:11" x14ac:dyDescent="0.25">
      <c r="A49" s="2"/>
      <c r="B49" s="11"/>
      <c r="C49" s="80"/>
      <c r="D49" s="81"/>
      <c r="E49" s="82"/>
      <c r="F49" s="82"/>
      <c r="G49" s="27">
        <f t="shared" si="0"/>
        <v>0</v>
      </c>
      <c r="H49" s="32">
        <f t="shared" si="1"/>
        <v>0</v>
      </c>
      <c r="I49" s="91"/>
      <c r="J49" s="12"/>
      <c r="K49" s="2"/>
    </row>
    <row r="50" spans="1:11" x14ac:dyDescent="0.25">
      <c r="A50" s="2"/>
      <c r="B50" s="11"/>
      <c r="C50" s="80"/>
      <c r="D50" s="81"/>
      <c r="E50" s="82"/>
      <c r="F50" s="82"/>
      <c r="G50" s="27">
        <f t="shared" si="0"/>
        <v>0</v>
      </c>
      <c r="H50" s="32">
        <f t="shared" si="1"/>
        <v>0</v>
      </c>
      <c r="I50" s="91"/>
      <c r="J50" s="12"/>
      <c r="K50" s="2"/>
    </row>
    <row r="51" spans="1:11" x14ac:dyDescent="0.25">
      <c r="A51" s="2"/>
      <c r="B51" s="11"/>
      <c r="C51" s="80"/>
      <c r="D51" s="81"/>
      <c r="E51" s="82"/>
      <c r="F51" s="82"/>
      <c r="G51" s="27">
        <f t="shared" si="0"/>
        <v>0</v>
      </c>
      <c r="H51" s="32">
        <f t="shared" si="1"/>
        <v>0</v>
      </c>
      <c r="I51" s="91"/>
      <c r="J51" s="12"/>
      <c r="K51" s="2"/>
    </row>
    <row r="52" spans="1:11" x14ac:dyDescent="0.25">
      <c r="A52" s="2"/>
      <c r="B52" s="11"/>
      <c r="C52" s="80"/>
      <c r="D52" s="81"/>
      <c r="E52" s="82"/>
      <c r="F52" s="82"/>
      <c r="G52" s="27">
        <f t="shared" si="0"/>
        <v>0</v>
      </c>
      <c r="H52" s="32">
        <f t="shared" si="1"/>
        <v>0</v>
      </c>
      <c r="I52" s="91"/>
      <c r="J52" s="12"/>
      <c r="K52" s="2"/>
    </row>
    <row r="53" spans="1:11" x14ac:dyDescent="0.25">
      <c r="A53" s="2"/>
      <c r="B53" s="11"/>
      <c r="C53" s="80"/>
      <c r="D53" s="81"/>
      <c r="E53" s="82"/>
      <c r="F53" s="82"/>
      <c r="G53" s="27">
        <f t="shared" si="0"/>
        <v>0</v>
      </c>
      <c r="H53" s="32">
        <f t="shared" si="1"/>
        <v>0</v>
      </c>
      <c r="I53" s="91"/>
      <c r="J53" s="12"/>
      <c r="K53" s="2"/>
    </row>
    <row r="54" spans="1:11" x14ac:dyDescent="0.25">
      <c r="A54" s="2"/>
      <c r="B54" s="11"/>
      <c r="C54" s="80"/>
      <c r="D54" s="81"/>
      <c r="E54" s="82"/>
      <c r="F54" s="82"/>
      <c r="G54" s="27">
        <f t="shared" si="0"/>
        <v>0</v>
      </c>
      <c r="H54" s="32">
        <f t="shared" si="1"/>
        <v>0</v>
      </c>
      <c r="I54" s="91"/>
      <c r="J54" s="12"/>
      <c r="K54" s="2"/>
    </row>
    <row r="55" spans="1:11" x14ac:dyDescent="0.25">
      <c r="A55" s="2"/>
      <c r="B55" s="11"/>
      <c r="C55" s="80"/>
      <c r="D55" s="81"/>
      <c r="E55" s="82"/>
      <c r="F55" s="82"/>
      <c r="G55" s="27">
        <f t="shared" si="0"/>
        <v>0</v>
      </c>
      <c r="H55" s="32">
        <f t="shared" si="1"/>
        <v>0</v>
      </c>
      <c r="I55" s="91"/>
      <c r="J55" s="12"/>
      <c r="K55" s="2"/>
    </row>
    <row r="56" spans="1:11" x14ac:dyDescent="0.25">
      <c r="A56" s="2"/>
      <c r="B56" s="11"/>
      <c r="C56" s="80"/>
      <c r="D56" s="81"/>
      <c r="E56" s="82"/>
      <c r="F56" s="82"/>
      <c r="G56" s="27">
        <f>IF(AND(F56="0-2 mm"),0.035,IF(AND(F56="2-4 mm"),0.02,IF(AND(F56="4-8 mm"),0.01,IF(AND(F56="8-16 mm"),0.0075,IF(AND(F56="16-22 mm"),0.006,IF(AND(F56="&gt;22 mm"),0.005,0))))))</f>
        <v>0</v>
      </c>
      <c r="H56" s="32">
        <f t="shared" si="1"/>
        <v>0</v>
      </c>
      <c r="I56" s="91"/>
      <c r="J56" s="12"/>
      <c r="K56" s="2"/>
    </row>
    <row r="57" spans="1:11" x14ac:dyDescent="0.25">
      <c r="A57" s="2"/>
      <c r="B57" s="11"/>
      <c r="C57" s="80"/>
      <c r="D57" s="81"/>
      <c r="E57" s="82"/>
      <c r="F57" s="82"/>
      <c r="G57" s="27">
        <f t="shared" si="0"/>
        <v>0</v>
      </c>
      <c r="H57" s="32">
        <f t="shared" si="1"/>
        <v>0</v>
      </c>
      <c r="I57" s="91"/>
      <c r="J57" s="12"/>
      <c r="K57" s="2"/>
    </row>
    <row r="58" spans="1:11" x14ac:dyDescent="0.25">
      <c r="A58" s="2"/>
      <c r="B58" s="11"/>
      <c r="C58" s="80"/>
      <c r="D58" s="81"/>
      <c r="E58" s="82"/>
      <c r="F58" s="82"/>
      <c r="G58" s="27">
        <f t="shared" si="0"/>
        <v>0</v>
      </c>
      <c r="H58" s="32">
        <f t="shared" si="1"/>
        <v>0</v>
      </c>
      <c r="I58" s="91"/>
      <c r="J58" s="12"/>
      <c r="K58" s="2"/>
    </row>
    <row r="59" spans="1:11" x14ac:dyDescent="0.25">
      <c r="A59" s="2"/>
      <c r="B59" s="11"/>
      <c r="C59" s="80"/>
      <c r="D59" s="81"/>
      <c r="E59" s="82"/>
      <c r="F59" s="82"/>
      <c r="G59" s="27">
        <f t="shared" si="0"/>
        <v>0</v>
      </c>
      <c r="H59" s="32">
        <f t="shared" si="1"/>
        <v>0</v>
      </c>
      <c r="I59" s="91"/>
      <c r="J59" s="12"/>
      <c r="K59" s="2"/>
    </row>
    <row r="60" spans="1:11" x14ac:dyDescent="0.25">
      <c r="A60" s="2"/>
      <c r="B60" s="11"/>
      <c r="C60" s="80"/>
      <c r="D60" s="81"/>
      <c r="E60" s="82"/>
      <c r="F60" s="82"/>
      <c r="G60" s="27">
        <f t="shared" si="0"/>
        <v>0</v>
      </c>
      <c r="H60" s="32">
        <f t="shared" si="1"/>
        <v>0</v>
      </c>
      <c r="I60" s="91"/>
      <c r="J60" s="12"/>
      <c r="K60" s="2"/>
    </row>
    <row r="61" spans="1:11" x14ac:dyDescent="0.25">
      <c r="A61" s="2"/>
      <c r="B61" s="11"/>
      <c r="C61" s="80"/>
      <c r="D61" s="81"/>
      <c r="E61" s="82"/>
      <c r="F61" s="82"/>
      <c r="G61" s="27">
        <f t="shared" si="0"/>
        <v>0</v>
      </c>
      <c r="H61" s="32">
        <f t="shared" si="1"/>
        <v>0</v>
      </c>
      <c r="I61" s="91"/>
      <c r="J61" s="12"/>
      <c r="K61" s="2"/>
    </row>
    <row r="62" spans="1:11" x14ac:dyDescent="0.25">
      <c r="A62" s="2"/>
      <c r="B62" s="11"/>
      <c r="C62" s="80"/>
      <c r="D62" s="81"/>
      <c r="E62" s="82"/>
      <c r="F62" s="82"/>
      <c r="G62" s="27">
        <f t="shared" si="0"/>
        <v>0</v>
      </c>
      <c r="H62" s="32">
        <f t="shared" si="1"/>
        <v>0</v>
      </c>
      <c r="I62" s="91"/>
      <c r="J62" s="12"/>
      <c r="K62" s="2"/>
    </row>
    <row r="63" spans="1:11" x14ac:dyDescent="0.25">
      <c r="A63" s="2"/>
      <c r="B63" s="11"/>
      <c r="C63" s="80"/>
      <c r="D63" s="81"/>
      <c r="E63" s="82"/>
      <c r="F63" s="82"/>
      <c r="G63" s="27">
        <f t="shared" si="0"/>
        <v>0</v>
      </c>
      <c r="H63" s="32">
        <f t="shared" si="1"/>
        <v>0</v>
      </c>
      <c r="I63" s="91"/>
      <c r="J63" s="12"/>
      <c r="K63" s="2"/>
    </row>
    <row r="64" spans="1:11" x14ac:dyDescent="0.25">
      <c r="A64" s="2"/>
      <c r="B64" s="11"/>
      <c r="C64" s="80"/>
      <c r="D64" s="81"/>
      <c r="E64" s="82"/>
      <c r="F64" s="82"/>
      <c r="G64" s="27">
        <f t="shared" si="0"/>
        <v>0</v>
      </c>
      <c r="H64" s="32">
        <f t="shared" si="1"/>
        <v>0</v>
      </c>
      <c r="I64" s="91"/>
      <c r="J64" s="12"/>
      <c r="K64" s="2"/>
    </row>
    <row r="65" spans="1:11" x14ac:dyDescent="0.25">
      <c r="A65" s="2"/>
      <c r="B65" s="11"/>
      <c r="C65" s="80"/>
      <c r="D65" s="81"/>
      <c r="E65" s="82"/>
      <c r="F65" s="82"/>
      <c r="G65" s="27">
        <f t="shared" si="0"/>
        <v>0</v>
      </c>
      <c r="H65" s="32">
        <f t="shared" si="1"/>
        <v>0</v>
      </c>
      <c r="I65" s="91"/>
      <c r="J65" s="12"/>
      <c r="K65" s="2"/>
    </row>
    <row r="66" spans="1:11" x14ac:dyDescent="0.25">
      <c r="A66" s="2"/>
      <c r="B66" s="11"/>
      <c r="C66" s="80"/>
      <c r="D66" s="81"/>
      <c r="E66" s="82"/>
      <c r="F66" s="82"/>
      <c r="G66" s="27">
        <f t="shared" si="0"/>
        <v>0</v>
      </c>
      <c r="H66" s="32">
        <f t="shared" si="1"/>
        <v>0</v>
      </c>
      <c r="I66" s="91"/>
      <c r="J66" s="12"/>
      <c r="K66" s="2"/>
    </row>
    <row r="67" spans="1:11" x14ac:dyDescent="0.25">
      <c r="A67" s="2"/>
      <c r="B67" s="11"/>
      <c r="C67" s="80"/>
      <c r="D67" s="81"/>
      <c r="E67" s="82"/>
      <c r="F67" s="82"/>
      <c r="G67" s="27">
        <f t="shared" si="0"/>
        <v>0</v>
      </c>
      <c r="H67" s="32">
        <f t="shared" si="1"/>
        <v>0</v>
      </c>
      <c r="I67" s="91"/>
      <c r="J67" s="12"/>
      <c r="K67" s="2"/>
    </row>
    <row r="68" spans="1:11" x14ac:dyDescent="0.25">
      <c r="A68" s="2"/>
      <c r="B68" s="11"/>
      <c r="C68" s="80"/>
      <c r="D68" s="81"/>
      <c r="E68" s="82"/>
      <c r="F68" s="82"/>
      <c r="G68" s="27">
        <f t="shared" si="0"/>
        <v>0</v>
      </c>
      <c r="H68" s="32">
        <f t="shared" si="1"/>
        <v>0</v>
      </c>
      <c r="I68" s="91"/>
      <c r="J68" s="12"/>
      <c r="K68" s="2"/>
    </row>
    <row r="69" spans="1:11" x14ac:dyDescent="0.25">
      <c r="A69" s="2"/>
      <c r="B69" s="11"/>
      <c r="C69" s="80"/>
      <c r="D69" s="81"/>
      <c r="E69" s="82"/>
      <c r="F69" s="82"/>
      <c r="G69" s="27">
        <f t="shared" si="0"/>
        <v>0</v>
      </c>
      <c r="H69" s="32">
        <f t="shared" si="1"/>
        <v>0</v>
      </c>
      <c r="I69" s="91"/>
      <c r="J69" s="12"/>
      <c r="K69" s="2"/>
    </row>
    <row r="70" spans="1:11" x14ac:dyDescent="0.25">
      <c r="A70" s="2"/>
      <c r="B70" s="11"/>
      <c r="C70" s="80"/>
      <c r="D70" s="81"/>
      <c r="E70" s="82"/>
      <c r="F70" s="82"/>
      <c r="G70" s="27">
        <f t="shared" si="0"/>
        <v>0</v>
      </c>
      <c r="H70" s="32">
        <f t="shared" si="1"/>
        <v>0</v>
      </c>
      <c r="I70" s="91"/>
      <c r="J70" s="12"/>
      <c r="K70" s="2"/>
    </row>
    <row r="71" spans="1:11" x14ac:dyDescent="0.25">
      <c r="A71" s="2"/>
      <c r="B71" s="11"/>
      <c r="C71" s="80"/>
      <c r="D71" s="81"/>
      <c r="E71" s="82"/>
      <c r="F71" s="82"/>
      <c r="G71" s="27">
        <f t="shared" si="0"/>
        <v>0</v>
      </c>
      <c r="H71" s="32">
        <f t="shared" si="1"/>
        <v>0</v>
      </c>
      <c r="I71" s="91"/>
      <c r="J71" s="12"/>
      <c r="K71" s="2"/>
    </row>
    <row r="72" spans="1:11" x14ac:dyDescent="0.25">
      <c r="A72" s="2"/>
      <c r="B72" s="11"/>
      <c r="C72" s="80"/>
      <c r="D72" s="81"/>
      <c r="E72" s="82"/>
      <c r="F72" s="82"/>
      <c r="G72" s="27">
        <f t="shared" si="0"/>
        <v>0</v>
      </c>
      <c r="H72" s="32">
        <f t="shared" si="1"/>
        <v>0</v>
      </c>
      <c r="I72" s="91"/>
      <c r="J72" s="12"/>
      <c r="K72" s="2"/>
    </row>
    <row r="73" spans="1:11" x14ac:dyDescent="0.25">
      <c r="A73" s="2"/>
      <c r="B73" s="11"/>
      <c r="C73" s="80"/>
      <c r="D73" s="81"/>
      <c r="E73" s="82"/>
      <c r="F73" s="82"/>
      <c r="G73" s="27">
        <f t="shared" si="0"/>
        <v>0</v>
      </c>
      <c r="H73" s="32">
        <f t="shared" si="1"/>
        <v>0</v>
      </c>
      <c r="I73" s="91"/>
      <c r="J73" s="12"/>
      <c r="K73" s="2"/>
    </row>
    <row r="74" spans="1:11" x14ac:dyDescent="0.25">
      <c r="A74" s="2"/>
      <c r="B74" s="11"/>
      <c r="C74" s="83"/>
      <c r="D74" s="84"/>
      <c r="E74" s="85"/>
      <c r="F74" s="82"/>
      <c r="G74" s="27">
        <f t="shared" si="0"/>
        <v>0</v>
      </c>
      <c r="H74" s="32">
        <f t="shared" si="1"/>
        <v>0</v>
      </c>
      <c r="I74" s="92"/>
      <c r="J74" s="12"/>
      <c r="K74" s="2"/>
    </row>
    <row r="75" spans="1:11" x14ac:dyDescent="0.25">
      <c r="A75" s="2"/>
      <c r="B75" s="11"/>
      <c r="C75" s="83"/>
      <c r="D75" s="84"/>
      <c r="E75" s="85"/>
      <c r="F75" s="82"/>
      <c r="G75" s="27">
        <f t="shared" si="0"/>
        <v>0</v>
      </c>
      <c r="H75" s="32">
        <f t="shared" si="1"/>
        <v>0</v>
      </c>
      <c r="I75" s="92"/>
      <c r="J75" s="12"/>
      <c r="K75" s="2"/>
    </row>
    <row r="76" spans="1:11" x14ac:dyDescent="0.25">
      <c r="A76" s="2"/>
      <c r="B76" s="11"/>
      <c r="C76" s="83"/>
      <c r="D76" s="84"/>
      <c r="E76" s="85"/>
      <c r="F76" s="82"/>
      <c r="G76" s="27">
        <f t="shared" si="0"/>
        <v>0</v>
      </c>
      <c r="H76" s="32">
        <f t="shared" si="1"/>
        <v>0</v>
      </c>
      <c r="I76" s="92"/>
      <c r="J76" s="12"/>
      <c r="K76" s="2"/>
    </row>
    <row r="77" spans="1:11" x14ac:dyDescent="0.25">
      <c r="A77" s="2"/>
      <c r="B77" s="11"/>
      <c r="C77" s="83"/>
      <c r="D77" s="84"/>
      <c r="E77" s="85"/>
      <c r="F77" s="82"/>
      <c r="G77" s="27">
        <f t="shared" si="0"/>
        <v>0</v>
      </c>
      <c r="H77" s="32">
        <f t="shared" si="1"/>
        <v>0</v>
      </c>
      <c r="I77" s="92"/>
      <c r="J77" s="12"/>
      <c r="K77" s="2"/>
    </row>
    <row r="78" spans="1:11" x14ac:dyDescent="0.25">
      <c r="A78" s="2"/>
      <c r="B78" s="11"/>
      <c r="C78" s="83"/>
      <c r="D78" s="84"/>
      <c r="E78" s="85"/>
      <c r="F78" s="82"/>
      <c r="G78" s="27">
        <f t="shared" si="0"/>
        <v>0</v>
      </c>
      <c r="H78" s="32">
        <f t="shared" si="1"/>
        <v>0</v>
      </c>
      <c r="I78" s="92"/>
      <c r="J78" s="12"/>
      <c r="K78" s="2"/>
    </row>
    <row r="79" spans="1:11" x14ac:dyDescent="0.25">
      <c r="A79" s="2"/>
      <c r="B79" s="11"/>
      <c r="C79" s="83"/>
      <c r="D79" s="84"/>
      <c r="E79" s="85"/>
      <c r="F79" s="82"/>
      <c r="G79" s="27">
        <f t="shared" si="0"/>
        <v>0</v>
      </c>
      <c r="H79" s="32">
        <f t="shared" si="1"/>
        <v>0</v>
      </c>
      <c r="I79" s="92"/>
      <c r="J79" s="12"/>
      <c r="K79" s="2"/>
    </row>
    <row r="80" spans="1:11" ht="15.75" thickBot="1" x14ac:dyDescent="0.3">
      <c r="A80" s="2"/>
      <c r="B80" s="11"/>
      <c r="C80" s="86"/>
      <c r="D80" s="87"/>
      <c r="E80" s="88"/>
      <c r="F80" s="89"/>
      <c r="G80" s="28">
        <f t="shared" si="0"/>
        <v>0</v>
      </c>
      <c r="H80" s="28">
        <f t="shared" si="1"/>
        <v>0</v>
      </c>
      <c r="I80" s="93"/>
      <c r="J80" s="12"/>
      <c r="K80" s="2"/>
    </row>
    <row r="81" spans="1:11" x14ac:dyDescent="0.25">
      <c r="A81" s="2"/>
      <c r="B81" s="11"/>
      <c r="C81" s="8"/>
      <c r="D81" s="8"/>
      <c r="E81" s="8"/>
      <c r="F81" s="8"/>
      <c r="G81" s="8"/>
      <c r="H81" s="8"/>
      <c r="I81" s="8"/>
      <c r="J81" s="12"/>
      <c r="K81" s="2"/>
    </row>
    <row r="82" spans="1:11" ht="15.75" thickBot="1" x14ac:dyDescent="0.3">
      <c r="A82" s="2"/>
      <c r="B82" s="13"/>
      <c r="C82" s="24"/>
      <c r="D82" s="24"/>
      <c r="E82" s="24"/>
      <c r="F82" s="24"/>
      <c r="G82" s="24"/>
      <c r="H82" s="24"/>
      <c r="I82" s="24"/>
      <c r="J82" s="16"/>
      <c r="K82" s="2"/>
    </row>
    <row r="83" spans="1:11" x14ac:dyDescent="0.25">
      <c r="A83" s="2"/>
      <c r="B83" s="2"/>
      <c r="C83" s="2"/>
      <c r="D83" s="2"/>
      <c r="E83" s="2"/>
      <c r="F83" s="2"/>
      <c r="G83" s="2"/>
      <c r="H83" s="2"/>
      <c r="I83" s="2"/>
      <c r="J83" s="2"/>
      <c r="K83" s="2"/>
    </row>
    <row r="84" spans="1:11" x14ac:dyDescent="0.25">
      <c r="A84" s="2"/>
      <c r="B84" s="2"/>
      <c r="C84" s="2"/>
      <c r="D84" s="2"/>
      <c r="E84" s="2"/>
      <c r="F84" s="2"/>
      <c r="G84" s="2"/>
      <c r="H84" s="2"/>
      <c r="I84" s="2"/>
      <c r="J84" s="2"/>
      <c r="K84" s="2"/>
    </row>
  </sheetData>
  <mergeCells count="7">
    <mergeCell ref="I16:I18"/>
    <mergeCell ref="G16:G18"/>
    <mergeCell ref="C16:C18"/>
    <mergeCell ref="E16:E18"/>
    <mergeCell ref="D16:D18"/>
    <mergeCell ref="H16:H18"/>
    <mergeCell ref="F16:F18"/>
  </mergeCells>
  <dataValidations count="1">
    <dataValidation type="list" allowBlank="1" showInputMessage="1" showErrorMessage="1" sqref="F19:F80" xr:uid="{DB775F72-0B45-4A0B-AE95-C5A76192BEFD}">
      <formula1>"0-2 mm,2-4 mm,4-8 mm,8-16 mm,16-22 mm,&gt;22 mm"</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5" r:id="rId3" name="Button 13">
              <controlPr defaultSize="0" print="0" autoFill="0" autoPict="0" macro="[0]!Redirect_ex_ante_parameter_description">
                <anchor moveWithCells="1" sizeWithCells="1">
                  <from>
                    <xdr:col>6</xdr:col>
                    <xdr:colOff>0</xdr:colOff>
                    <xdr:row>12</xdr:row>
                    <xdr:rowOff>152400</xdr:rowOff>
                  </from>
                  <to>
                    <xdr:col>8</xdr:col>
                    <xdr:colOff>1466850</xdr:colOff>
                    <xdr:row>14</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31AF9-725D-4C68-A6AA-2F92F816D0FE}">
  <sheetPr codeName="Sheet5"/>
  <dimension ref="A1:U85"/>
  <sheetViews>
    <sheetView workbookViewId="0">
      <selection activeCell="C8" sqref="C8"/>
    </sheetView>
  </sheetViews>
  <sheetFormatPr defaultRowHeight="15" x14ac:dyDescent="0.25"/>
  <cols>
    <col min="1" max="3" width="9.140625" style="1"/>
    <col min="4" max="4" width="17.85546875" style="1" customWidth="1"/>
    <col min="5" max="5" width="13.28515625" style="1" customWidth="1"/>
    <col min="6" max="7" width="17.42578125" style="1" customWidth="1"/>
    <col min="8" max="8" width="21" style="1" bestFit="1" customWidth="1"/>
    <col min="9" max="9" width="14.42578125" style="1" customWidth="1"/>
    <col min="10" max="10" width="11.7109375" style="1" customWidth="1"/>
    <col min="11" max="11" width="12" style="1" customWidth="1"/>
    <col min="12" max="12" width="12.85546875" style="1" customWidth="1"/>
    <col min="13" max="13" width="13.28515625" style="1" customWidth="1"/>
    <col min="14" max="14" width="15.140625" style="1" customWidth="1"/>
    <col min="15" max="15" width="14.7109375" style="1" customWidth="1"/>
    <col min="16" max="16" width="15" style="1" customWidth="1"/>
    <col min="17" max="17" width="14.85546875" style="1" customWidth="1"/>
    <col min="18" max="18" width="15.7109375" style="1" customWidth="1"/>
    <col min="19" max="19" width="23.28515625" style="1" customWidth="1"/>
    <col min="20" max="16384" width="9.140625" style="1"/>
  </cols>
  <sheetData>
    <row r="1" spans="1:21" x14ac:dyDescent="0.25">
      <c r="A1" s="2"/>
      <c r="B1" s="2"/>
      <c r="C1" s="2"/>
      <c r="D1" s="2"/>
      <c r="E1" s="2"/>
      <c r="F1" s="2"/>
      <c r="G1" s="2"/>
      <c r="H1" s="2"/>
      <c r="I1" s="2"/>
      <c r="J1" s="2"/>
      <c r="K1" s="2"/>
      <c r="L1" s="2"/>
      <c r="M1" s="2"/>
      <c r="N1" s="2"/>
      <c r="O1" s="2"/>
      <c r="P1" s="2"/>
      <c r="Q1" s="2"/>
      <c r="R1" s="2"/>
      <c r="S1" s="2"/>
      <c r="T1" s="2"/>
      <c r="U1" s="2"/>
    </row>
    <row r="2" spans="1:21" x14ac:dyDescent="0.25">
      <c r="A2" s="2"/>
      <c r="B2" s="2"/>
      <c r="C2" s="2"/>
      <c r="D2" s="2"/>
      <c r="E2" s="2"/>
      <c r="F2" s="2"/>
      <c r="G2" s="2"/>
      <c r="H2" s="2"/>
      <c r="I2" s="2"/>
      <c r="J2" s="2"/>
      <c r="K2" s="2"/>
      <c r="L2" s="2"/>
      <c r="M2" s="2"/>
      <c r="N2" s="2"/>
      <c r="O2" s="2"/>
      <c r="P2" s="2"/>
      <c r="Q2" s="2"/>
      <c r="R2" s="2"/>
      <c r="S2" s="2"/>
      <c r="T2" s="2"/>
      <c r="U2" s="2"/>
    </row>
    <row r="3" spans="1:21" x14ac:dyDescent="0.25">
      <c r="A3" s="2"/>
      <c r="B3" s="2"/>
      <c r="C3" s="2"/>
      <c r="D3" s="2"/>
      <c r="E3" s="2"/>
      <c r="F3" s="2"/>
      <c r="G3" s="2"/>
      <c r="H3" s="2"/>
      <c r="I3" s="2"/>
      <c r="J3" s="2"/>
      <c r="K3" s="2"/>
      <c r="L3" s="2"/>
      <c r="M3" s="2"/>
      <c r="N3" s="2"/>
      <c r="O3" s="2"/>
      <c r="P3" s="2"/>
      <c r="Q3" s="2"/>
      <c r="R3" s="2"/>
      <c r="S3" s="2"/>
      <c r="T3" s="2"/>
      <c r="U3" s="2"/>
    </row>
    <row r="4" spans="1:21" x14ac:dyDescent="0.25">
      <c r="A4" s="2"/>
      <c r="B4" s="2"/>
      <c r="C4" s="2"/>
      <c r="D4" s="2"/>
      <c r="E4" s="2"/>
      <c r="F4" s="2"/>
      <c r="G4" s="2"/>
      <c r="H4" s="2"/>
      <c r="I4" s="2"/>
      <c r="J4" s="2"/>
      <c r="K4" s="2"/>
      <c r="L4" s="2"/>
      <c r="M4" s="2"/>
      <c r="N4" s="2"/>
      <c r="O4" s="2"/>
      <c r="P4" s="2"/>
      <c r="Q4" s="2"/>
      <c r="R4" s="2"/>
      <c r="S4" s="2"/>
      <c r="T4" s="2"/>
      <c r="U4" s="2"/>
    </row>
    <row r="5" spans="1:21" ht="15.75" thickBot="1" x14ac:dyDescent="0.3">
      <c r="A5" s="2"/>
      <c r="B5" s="2"/>
      <c r="C5" s="2"/>
      <c r="D5" s="2"/>
      <c r="E5" s="2"/>
      <c r="F5" s="2"/>
      <c r="G5" s="2"/>
      <c r="H5" s="2"/>
      <c r="I5" s="2"/>
      <c r="J5" s="2"/>
      <c r="K5" s="2"/>
      <c r="L5" s="2"/>
      <c r="M5" s="2"/>
      <c r="N5" s="2"/>
      <c r="O5" s="2"/>
      <c r="P5" s="2"/>
      <c r="Q5" s="2"/>
      <c r="R5" s="2"/>
      <c r="S5" s="2"/>
      <c r="T5" s="2"/>
      <c r="U5" s="2"/>
    </row>
    <row r="6" spans="1:21" x14ac:dyDescent="0.25">
      <c r="A6" s="2"/>
      <c r="B6" s="36"/>
      <c r="C6" s="37"/>
      <c r="D6" s="37"/>
      <c r="E6" s="37"/>
      <c r="F6" s="37"/>
      <c r="G6" s="37"/>
      <c r="H6" s="37"/>
      <c r="I6" s="37"/>
      <c r="J6" s="37"/>
      <c r="K6" s="37"/>
      <c r="L6" s="37"/>
      <c r="M6" s="37"/>
      <c r="N6" s="37"/>
      <c r="O6" s="37"/>
      <c r="P6" s="37"/>
      <c r="Q6" s="37"/>
      <c r="R6" s="37"/>
      <c r="S6" s="37"/>
      <c r="T6" s="38"/>
      <c r="U6" s="2"/>
    </row>
    <row r="7" spans="1:21" x14ac:dyDescent="0.25">
      <c r="A7" s="2"/>
      <c r="B7" s="11"/>
      <c r="C7" s="8"/>
      <c r="D7" s="8"/>
      <c r="E7" s="8"/>
      <c r="F7" s="8"/>
      <c r="G7" s="8"/>
      <c r="H7" s="8"/>
      <c r="I7" s="8"/>
      <c r="J7" s="8"/>
      <c r="K7" s="8"/>
      <c r="L7" s="8"/>
      <c r="M7" s="8"/>
      <c r="N7" s="8"/>
      <c r="O7" s="8"/>
      <c r="P7" s="8"/>
      <c r="Q7" s="8"/>
      <c r="R7" s="8"/>
      <c r="S7" s="8"/>
      <c r="T7" s="12"/>
      <c r="U7" s="2"/>
    </row>
    <row r="8" spans="1:21" ht="18.75" x14ac:dyDescent="0.3">
      <c r="A8" s="2"/>
      <c r="B8" s="11"/>
      <c r="C8" s="40" t="s">
        <v>102</v>
      </c>
      <c r="D8" s="8"/>
      <c r="E8" s="8"/>
      <c r="F8" s="8"/>
      <c r="G8" s="8"/>
      <c r="H8" s="94">
        <v>2022</v>
      </c>
      <c r="I8" s="8"/>
      <c r="J8" s="8"/>
      <c r="K8" s="8"/>
      <c r="L8" s="8"/>
      <c r="M8" s="8"/>
      <c r="N8" s="8"/>
      <c r="O8" s="8"/>
      <c r="P8" s="8"/>
      <c r="Q8" s="8"/>
      <c r="R8" s="8"/>
      <c r="S8" s="8"/>
      <c r="T8" s="12"/>
      <c r="U8" s="2"/>
    </row>
    <row r="9" spans="1:21" x14ac:dyDescent="0.25">
      <c r="A9" s="2"/>
      <c r="B9" s="11"/>
      <c r="C9" s="23"/>
      <c r="D9" s="8"/>
      <c r="E9" s="8"/>
      <c r="F9" s="8"/>
      <c r="G9" s="8"/>
      <c r="H9" s="8"/>
      <c r="I9" s="8"/>
      <c r="J9" s="8"/>
      <c r="K9" s="8"/>
      <c r="L9" s="8"/>
      <c r="M9" s="8"/>
      <c r="N9" s="8"/>
      <c r="O9" s="8"/>
      <c r="P9" s="8"/>
      <c r="Q9" s="8"/>
      <c r="R9" s="8"/>
      <c r="S9" s="8"/>
      <c r="T9" s="12"/>
      <c r="U9" s="2"/>
    </row>
    <row r="10" spans="1:21" x14ac:dyDescent="0.25">
      <c r="A10" s="2"/>
      <c r="B10" s="11"/>
      <c r="C10" s="23" t="s">
        <v>62</v>
      </c>
      <c r="D10" s="23"/>
      <c r="E10" s="8"/>
      <c r="F10" s="8"/>
      <c r="G10" s="8"/>
      <c r="H10" s="8"/>
      <c r="I10" s="8"/>
      <c r="J10" s="8"/>
      <c r="K10" s="8"/>
      <c r="L10" s="8"/>
      <c r="M10" s="8"/>
      <c r="N10" s="8"/>
      <c r="O10" s="8"/>
      <c r="P10" s="8"/>
      <c r="Q10" s="8"/>
      <c r="R10" s="8"/>
      <c r="S10" s="8"/>
      <c r="T10" s="12"/>
      <c r="U10" s="2"/>
    </row>
    <row r="11" spans="1:21" ht="15.75" thickBot="1" x14ac:dyDescent="0.3">
      <c r="A11" s="2"/>
      <c r="B11" s="11"/>
      <c r="C11" s="23"/>
      <c r="D11" s="23"/>
      <c r="E11" s="8"/>
      <c r="F11" s="23"/>
      <c r="G11" s="23"/>
      <c r="H11" s="23"/>
      <c r="I11" s="8"/>
      <c r="J11" s="8"/>
      <c r="K11" s="8"/>
      <c r="L11" s="8"/>
      <c r="M11" s="8"/>
      <c r="N11" s="8"/>
      <c r="O11" s="8"/>
      <c r="P11" s="8"/>
      <c r="Q11" s="8"/>
      <c r="R11" s="8"/>
      <c r="S11" s="8"/>
      <c r="T11" s="12"/>
      <c r="U11" s="2"/>
    </row>
    <row r="12" spans="1:21" ht="19.5" thickTop="1" thickBot="1" x14ac:dyDescent="0.4">
      <c r="A12" s="2"/>
      <c r="B12" s="11"/>
      <c r="C12" s="23"/>
      <c r="D12" s="31" t="s">
        <v>67</v>
      </c>
      <c r="E12" s="31" t="e">
        <f>SUMIF(C20:C81,H8,H20:H81)</f>
        <v>#DIV/0!</v>
      </c>
      <c r="F12" s="8"/>
      <c r="G12" s="8"/>
      <c r="H12" s="8"/>
      <c r="I12" s="8"/>
      <c r="J12" s="8"/>
      <c r="K12" s="8"/>
      <c r="L12" s="8"/>
      <c r="M12" s="8"/>
      <c r="N12" s="8"/>
      <c r="O12" s="8"/>
      <c r="P12" s="8"/>
      <c r="Q12" s="8"/>
      <c r="R12" s="8"/>
      <c r="S12" s="8"/>
      <c r="T12" s="12"/>
      <c r="U12" s="2"/>
    </row>
    <row r="13" spans="1:21" ht="15.75" thickTop="1" x14ac:dyDescent="0.25">
      <c r="A13" s="2"/>
      <c r="B13" s="11"/>
      <c r="C13" s="23"/>
      <c r="D13" s="23"/>
      <c r="E13" s="8"/>
      <c r="F13" s="23"/>
      <c r="G13" s="23"/>
      <c r="H13" s="23"/>
      <c r="I13" s="8"/>
      <c r="J13" s="8"/>
      <c r="K13" s="8"/>
      <c r="L13" s="8"/>
      <c r="M13" s="8"/>
      <c r="N13" s="8"/>
      <c r="O13" s="8"/>
      <c r="P13" s="8"/>
      <c r="Q13" s="8"/>
      <c r="R13" s="8"/>
      <c r="S13" s="8"/>
      <c r="T13" s="12"/>
      <c r="U13" s="2"/>
    </row>
    <row r="14" spans="1:21" x14ac:dyDescent="0.25">
      <c r="A14" s="2"/>
      <c r="B14" s="11"/>
      <c r="C14" s="8"/>
      <c r="D14" s="8"/>
      <c r="E14" s="8"/>
      <c r="F14" s="8"/>
      <c r="G14" s="8"/>
      <c r="H14" s="8"/>
      <c r="I14" s="8"/>
      <c r="J14" s="8"/>
      <c r="K14" s="8"/>
      <c r="L14" s="8"/>
      <c r="M14" s="8"/>
      <c r="N14" s="8"/>
      <c r="O14" s="8"/>
      <c r="P14" s="8"/>
      <c r="Q14" s="8"/>
      <c r="R14" s="8"/>
      <c r="S14" s="8"/>
      <c r="T14" s="12"/>
      <c r="U14" s="2"/>
    </row>
    <row r="15" spans="1:21" x14ac:dyDescent="0.25">
      <c r="A15" s="2"/>
      <c r="B15" s="11"/>
      <c r="C15" s="30"/>
      <c r="D15" s="39" t="s">
        <v>116</v>
      </c>
      <c r="E15" s="8"/>
      <c r="F15" s="8"/>
      <c r="G15" s="8"/>
      <c r="H15" s="8"/>
      <c r="I15" s="8"/>
      <c r="J15" s="8"/>
      <c r="K15" s="8"/>
      <c r="L15" s="8"/>
      <c r="M15" s="8"/>
      <c r="N15" s="8"/>
      <c r="O15" s="8"/>
      <c r="P15" s="8"/>
      <c r="Q15" s="8"/>
      <c r="R15" s="8"/>
      <c r="S15" s="8"/>
      <c r="T15" s="12"/>
      <c r="U15" s="2"/>
    </row>
    <row r="16" spans="1:21" ht="15.75" thickBot="1" x14ac:dyDescent="0.3">
      <c r="A16" s="2"/>
      <c r="B16" s="11"/>
      <c r="C16" s="8"/>
      <c r="D16" s="8"/>
      <c r="E16" s="24"/>
      <c r="F16" s="8"/>
      <c r="G16" s="24"/>
      <c r="H16" s="24"/>
      <c r="I16" s="24"/>
      <c r="J16" s="24"/>
      <c r="K16" s="24"/>
      <c r="L16" s="8"/>
      <c r="M16" s="24"/>
      <c r="N16" s="24"/>
      <c r="O16" s="24"/>
      <c r="P16" s="24"/>
      <c r="Q16" s="24"/>
      <c r="R16" s="24"/>
      <c r="S16" s="8"/>
      <c r="T16" s="12"/>
      <c r="U16" s="2"/>
    </row>
    <row r="17" spans="1:21" x14ac:dyDescent="0.25">
      <c r="A17" s="2"/>
      <c r="B17" s="11"/>
      <c r="C17" s="163" t="s">
        <v>104</v>
      </c>
      <c r="D17" s="166" t="s">
        <v>105</v>
      </c>
      <c r="E17" s="167" t="s">
        <v>107</v>
      </c>
      <c r="F17" s="166" t="s">
        <v>117</v>
      </c>
      <c r="G17" s="167" t="s">
        <v>118</v>
      </c>
      <c r="H17" s="166" t="s">
        <v>119</v>
      </c>
      <c r="I17" s="167" t="s">
        <v>120</v>
      </c>
      <c r="J17" s="167" t="s">
        <v>81</v>
      </c>
      <c r="K17" s="167" t="s">
        <v>121</v>
      </c>
      <c r="L17" s="169" t="s">
        <v>83</v>
      </c>
      <c r="M17" s="175" t="s">
        <v>85</v>
      </c>
      <c r="N17" s="178" t="s">
        <v>122</v>
      </c>
      <c r="O17" s="175" t="s">
        <v>123</v>
      </c>
      <c r="P17" s="175" t="s">
        <v>124</v>
      </c>
      <c r="Q17" s="166" t="s">
        <v>125</v>
      </c>
      <c r="R17" s="175" t="s">
        <v>126</v>
      </c>
      <c r="S17" s="172" t="s">
        <v>110</v>
      </c>
      <c r="T17" s="12"/>
      <c r="U17" s="2"/>
    </row>
    <row r="18" spans="1:21" x14ac:dyDescent="0.25">
      <c r="A18" s="2"/>
      <c r="B18" s="11"/>
      <c r="C18" s="164"/>
      <c r="D18" s="167"/>
      <c r="E18" s="167"/>
      <c r="F18" s="167"/>
      <c r="G18" s="167"/>
      <c r="H18" s="167"/>
      <c r="I18" s="167"/>
      <c r="J18" s="167"/>
      <c r="K18" s="167"/>
      <c r="L18" s="170"/>
      <c r="M18" s="176"/>
      <c r="N18" s="176"/>
      <c r="O18" s="176"/>
      <c r="P18" s="176"/>
      <c r="Q18" s="167"/>
      <c r="R18" s="176"/>
      <c r="S18" s="173"/>
      <c r="T18" s="12"/>
      <c r="U18" s="2"/>
    </row>
    <row r="19" spans="1:21" ht="15.75" thickBot="1" x14ac:dyDescent="0.3">
      <c r="A19" s="2"/>
      <c r="B19" s="11"/>
      <c r="C19" s="165"/>
      <c r="D19" s="168"/>
      <c r="E19" s="168"/>
      <c r="F19" s="168"/>
      <c r="G19" s="168"/>
      <c r="H19" s="168"/>
      <c r="I19" s="168"/>
      <c r="J19" s="168"/>
      <c r="K19" s="168"/>
      <c r="L19" s="171"/>
      <c r="M19" s="177"/>
      <c r="N19" s="177"/>
      <c r="O19" s="177"/>
      <c r="P19" s="177"/>
      <c r="Q19" s="168"/>
      <c r="R19" s="177"/>
      <c r="S19" s="174"/>
      <c r="T19" s="12"/>
      <c r="U19" s="2"/>
    </row>
    <row r="20" spans="1:21" x14ac:dyDescent="0.25">
      <c r="A20" s="2"/>
      <c r="B20" s="11"/>
      <c r="C20" s="76">
        <v>2020</v>
      </c>
      <c r="D20" s="77" t="s">
        <v>111</v>
      </c>
      <c r="E20" s="79" t="s">
        <v>127</v>
      </c>
      <c r="F20" s="33" t="e">
        <f>I20+((J20*K20)/(L20*M20))*N20*(O20/P20)*R20</f>
        <v>#DIV/0!</v>
      </c>
      <c r="G20" s="82">
        <v>0</v>
      </c>
      <c r="H20" s="33" t="e">
        <f>G20-F20</f>
        <v>#DIV/0!</v>
      </c>
      <c r="I20" s="79">
        <v>0</v>
      </c>
      <c r="J20" s="33">
        <v>101325</v>
      </c>
      <c r="K20" s="65">
        <v>4.3999999999999999E-5</v>
      </c>
      <c r="L20" s="95">
        <v>0</v>
      </c>
      <c r="M20" s="79">
        <v>0</v>
      </c>
      <c r="N20" s="33" t="e">
        <f>1-(P20/Q20)</f>
        <v>#DIV/0!</v>
      </c>
      <c r="O20" s="79">
        <v>0</v>
      </c>
      <c r="P20" s="79">
        <v>0</v>
      </c>
      <c r="Q20" s="79">
        <v>0</v>
      </c>
      <c r="R20" s="79">
        <v>0</v>
      </c>
      <c r="S20" s="99" t="s">
        <v>128</v>
      </c>
      <c r="T20" s="12"/>
      <c r="U20" s="2"/>
    </row>
    <row r="21" spans="1:21" x14ac:dyDescent="0.25">
      <c r="A21" s="2"/>
      <c r="B21" s="11"/>
      <c r="C21" s="80">
        <v>2020</v>
      </c>
      <c r="D21" s="81" t="s">
        <v>114</v>
      </c>
      <c r="E21" s="82" t="s">
        <v>129</v>
      </c>
      <c r="F21" s="34" t="e">
        <f t="shared" ref="F21:F81" si="0">I21+((J21*K21)/(L21*M21))*N21*(O21/P21)*R21</f>
        <v>#DIV/0!</v>
      </c>
      <c r="G21" s="82"/>
      <c r="H21" s="33" t="e">
        <f t="shared" ref="H21:H81" si="1">G21-F21</f>
        <v>#DIV/0!</v>
      </c>
      <c r="I21" s="82"/>
      <c r="J21" s="33">
        <v>101325</v>
      </c>
      <c r="K21" s="65">
        <v>4.3999999999999999E-5</v>
      </c>
      <c r="L21" s="96"/>
      <c r="M21" s="82"/>
      <c r="N21" s="33" t="e">
        <f t="shared" ref="N21:N81" si="2">1-(P21/Q21)</f>
        <v>#DIV/0!</v>
      </c>
      <c r="O21" s="82"/>
      <c r="P21" s="82"/>
      <c r="Q21" s="82"/>
      <c r="R21" s="82"/>
      <c r="S21" s="100" t="s">
        <v>128</v>
      </c>
      <c r="T21" s="12"/>
      <c r="U21" s="2"/>
    </row>
    <row r="22" spans="1:21" x14ac:dyDescent="0.25">
      <c r="A22" s="2"/>
      <c r="B22" s="11"/>
      <c r="C22" s="80">
        <v>2021</v>
      </c>
      <c r="D22" s="81" t="s">
        <v>111</v>
      </c>
      <c r="E22" s="82" t="s">
        <v>127</v>
      </c>
      <c r="F22" s="34" t="e">
        <f t="shared" si="0"/>
        <v>#DIV/0!</v>
      </c>
      <c r="G22" s="82"/>
      <c r="H22" s="33" t="e">
        <f t="shared" si="1"/>
        <v>#DIV/0!</v>
      </c>
      <c r="I22" s="82"/>
      <c r="J22" s="33">
        <v>101325</v>
      </c>
      <c r="K22" s="65">
        <v>4.3999999999999999E-5</v>
      </c>
      <c r="L22" s="96"/>
      <c r="M22" s="82"/>
      <c r="N22" s="33" t="e">
        <f t="shared" si="2"/>
        <v>#DIV/0!</v>
      </c>
      <c r="O22" s="82"/>
      <c r="P22" s="82"/>
      <c r="Q22" s="82"/>
      <c r="R22" s="82"/>
      <c r="S22" s="100" t="s">
        <v>128</v>
      </c>
      <c r="T22" s="12"/>
      <c r="U22" s="2"/>
    </row>
    <row r="23" spans="1:21" x14ac:dyDescent="0.25">
      <c r="A23" s="2"/>
      <c r="B23" s="11"/>
      <c r="C23" s="80">
        <v>2021</v>
      </c>
      <c r="D23" s="81" t="s">
        <v>114</v>
      </c>
      <c r="E23" s="82" t="s">
        <v>129</v>
      </c>
      <c r="F23" s="34" t="e">
        <f t="shared" si="0"/>
        <v>#DIV/0!</v>
      </c>
      <c r="G23" s="82"/>
      <c r="H23" s="33" t="e">
        <f t="shared" si="1"/>
        <v>#DIV/0!</v>
      </c>
      <c r="I23" s="82"/>
      <c r="J23" s="33">
        <v>101325</v>
      </c>
      <c r="K23" s="65">
        <v>4.3999999999999999E-5</v>
      </c>
      <c r="L23" s="96"/>
      <c r="M23" s="82"/>
      <c r="N23" s="33" t="e">
        <f t="shared" si="2"/>
        <v>#DIV/0!</v>
      </c>
      <c r="O23" s="82"/>
      <c r="P23" s="82"/>
      <c r="Q23" s="82"/>
      <c r="R23" s="82"/>
      <c r="S23" s="100" t="s">
        <v>128</v>
      </c>
      <c r="T23" s="12"/>
      <c r="U23" s="2"/>
    </row>
    <row r="24" spans="1:21" x14ac:dyDescent="0.25">
      <c r="A24" s="2"/>
      <c r="B24" s="11"/>
      <c r="C24" s="80">
        <v>2022</v>
      </c>
      <c r="D24" s="81" t="s">
        <v>111</v>
      </c>
      <c r="E24" s="82" t="s">
        <v>127</v>
      </c>
      <c r="F24" s="34" t="e">
        <f t="shared" si="0"/>
        <v>#DIV/0!</v>
      </c>
      <c r="G24" s="82"/>
      <c r="H24" s="33" t="e">
        <f t="shared" si="1"/>
        <v>#DIV/0!</v>
      </c>
      <c r="I24" s="82"/>
      <c r="J24" s="33">
        <v>101325</v>
      </c>
      <c r="K24" s="65">
        <v>4.3999999999999999E-5</v>
      </c>
      <c r="L24" s="96"/>
      <c r="M24" s="82"/>
      <c r="N24" s="33" t="e">
        <f t="shared" si="2"/>
        <v>#DIV/0!</v>
      </c>
      <c r="O24" s="82"/>
      <c r="P24" s="82"/>
      <c r="Q24" s="82"/>
      <c r="R24" s="82"/>
      <c r="S24" s="100" t="s">
        <v>128</v>
      </c>
      <c r="T24" s="12"/>
      <c r="U24" s="2"/>
    </row>
    <row r="25" spans="1:21" x14ac:dyDescent="0.25">
      <c r="A25" s="2"/>
      <c r="B25" s="11"/>
      <c r="C25" s="80">
        <v>2022</v>
      </c>
      <c r="D25" s="81" t="s">
        <v>114</v>
      </c>
      <c r="E25" s="82" t="s">
        <v>129</v>
      </c>
      <c r="F25" s="34" t="e">
        <f t="shared" si="0"/>
        <v>#DIV/0!</v>
      </c>
      <c r="G25" s="82"/>
      <c r="H25" s="33" t="e">
        <f t="shared" si="1"/>
        <v>#DIV/0!</v>
      </c>
      <c r="I25" s="82"/>
      <c r="J25" s="33">
        <v>101325</v>
      </c>
      <c r="K25" s="65">
        <v>4.3999999999999999E-5</v>
      </c>
      <c r="L25" s="96"/>
      <c r="M25" s="82"/>
      <c r="N25" s="33" t="e">
        <f t="shared" si="2"/>
        <v>#DIV/0!</v>
      </c>
      <c r="O25" s="82"/>
      <c r="P25" s="82"/>
      <c r="Q25" s="82"/>
      <c r="R25" s="82"/>
      <c r="S25" s="100" t="s">
        <v>128</v>
      </c>
      <c r="T25" s="12"/>
      <c r="U25" s="2"/>
    </row>
    <row r="26" spans="1:21" x14ac:dyDescent="0.25">
      <c r="A26" s="2"/>
      <c r="B26" s="11"/>
      <c r="C26" s="80">
        <v>2023</v>
      </c>
      <c r="D26" s="81" t="s">
        <v>111</v>
      </c>
      <c r="E26" s="82" t="s">
        <v>127</v>
      </c>
      <c r="F26" s="34" t="e">
        <f t="shared" si="0"/>
        <v>#DIV/0!</v>
      </c>
      <c r="G26" s="82"/>
      <c r="H26" s="33" t="e">
        <f t="shared" si="1"/>
        <v>#DIV/0!</v>
      </c>
      <c r="I26" s="82"/>
      <c r="J26" s="33">
        <v>101325</v>
      </c>
      <c r="K26" s="65">
        <v>4.3999999999999999E-5</v>
      </c>
      <c r="L26" s="96"/>
      <c r="M26" s="82"/>
      <c r="N26" s="33" t="e">
        <f t="shared" si="2"/>
        <v>#DIV/0!</v>
      </c>
      <c r="O26" s="82"/>
      <c r="P26" s="82"/>
      <c r="Q26" s="82"/>
      <c r="R26" s="82"/>
      <c r="S26" s="100" t="s">
        <v>128</v>
      </c>
      <c r="T26" s="12"/>
      <c r="U26" s="2"/>
    </row>
    <row r="27" spans="1:21" x14ac:dyDescent="0.25">
      <c r="A27" s="2"/>
      <c r="B27" s="11"/>
      <c r="C27" s="80">
        <v>2023</v>
      </c>
      <c r="D27" s="81" t="s">
        <v>114</v>
      </c>
      <c r="E27" s="82" t="s">
        <v>129</v>
      </c>
      <c r="F27" s="34" t="e">
        <f t="shared" si="0"/>
        <v>#DIV/0!</v>
      </c>
      <c r="G27" s="82"/>
      <c r="H27" s="33" t="e">
        <f t="shared" si="1"/>
        <v>#DIV/0!</v>
      </c>
      <c r="I27" s="82"/>
      <c r="J27" s="33">
        <v>101325</v>
      </c>
      <c r="K27" s="65">
        <v>4.3999999999999999E-5</v>
      </c>
      <c r="L27" s="96"/>
      <c r="M27" s="82"/>
      <c r="N27" s="33" t="e">
        <f t="shared" si="2"/>
        <v>#DIV/0!</v>
      </c>
      <c r="O27" s="82"/>
      <c r="P27" s="82"/>
      <c r="Q27" s="82"/>
      <c r="R27" s="82"/>
      <c r="S27" s="100" t="s">
        <v>128</v>
      </c>
      <c r="T27" s="12"/>
      <c r="U27" s="2"/>
    </row>
    <row r="28" spans="1:21" x14ac:dyDescent="0.25">
      <c r="A28" s="2"/>
      <c r="B28" s="11"/>
      <c r="C28" s="80"/>
      <c r="D28" s="81"/>
      <c r="E28" s="82"/>
      <c r="F28" s="34" t="e">
        <f t="shared" si="0"/>
        <v>#DIV/0!</v>
      </c>
      <c r="G28" s="82"/>
      <c r="H28" s="33" t="e">
        <f t="shared" si="1"/>
        <v>#DIV/0!</v>
      </c>
      <c r="I28" s="82"/>
      <c r="J28" s="33">
        <v>101325</v>
      </c>
      <c r="K28" s="65">
        <v>4.3999999999999999E-5</v>
      </c>
      <c r="L28" s="96"/>
      <c r="M28" s="82"/>
      <c r="N28" s="33" t="e">
        <f t="shared" si="2"/>
        <v>#DIV/0!</v>
      </c>
      <c r="O28" s="82"/>
      <c r="P28" s="82"/>
      <c r="Q28" s="82"/>
      <c r="R28" s="82"/>
      <c r="S28" s="100"/>
      <c r="T28" s="12"/>
      <c r="U28" s="2"/>
    </row>
    <row r="29" spans="1:21" x14ac:dyDescent="0.25">
      <c r="A29" s="2"/>
      <c r="B29" s="11"/>
      <c r="C29" s="80"/>
      <c r="D29" s="81"/>
      <c r="E29" s="82"/>
      <c r="F29" s="34" t="e">
        <f t="shared" si="0"/>
        <v>#DIV/0!</v>
      </c>
      <c r="G29" s="82"/>
      <c r="H29" s="33" t="e">
        <f t="shared" si="1"/>
        <v>#DIV/0!</v>
      </c>
      <c r="I29" s="82"/>
      <c r="J29" s="33">
        <v>101325</v>
      </c>
      <c r="K29" s="65">
        <v>4.3999999999999999E-5</v>
      </c>
      <c r="L29" s="96"/>
      <c r="M29" s="82"/>
      <c r="N29" s="33" t="e">
        <f t="shared" si="2"/>
        <v>#DIV/0!</v>
      </c>
      <c r="O29" s="82"/>
      <c r="P29" s="82"/>
      <c r="Q29" s="82"/>
      <c r="R29" s="82"/>
      <c r="S29" s="100"/>
      <c r="T29" s="12"/>
      <c r="U29" s="2"/>
    </row>
    <row r="30" spans="1:21" x14ac:dyDescent="0.25">
      <c r="A30" s="2"/>
      <c r="B30" s="11"/>
      <c r="C30" s="80"/>
      <c r="D30" s="81"/>
      <c r="E30" s="82"/>
      <c r="F30" s="34" t="e">
        <f t="shared" si="0"/>
        <v>#DIV/0!</v>
      </c>
      <c r="G30" s="82"/>
      <c r="H30" s="33" t="e">
        <f t="shared" si="1"/>
        <v>#DIV/0!</v>
      </c>
      <c r="I30" s="82"/>
      <c r="J30" s="33">
        <v>101325</v>
      </c>
      <c r="K30" s="65">
        <v>4.3999999999999999E-5</v>
      </c>
      <c r="L30" s="96"/>
      <c r="M30" s="82"/>
      <c r="N30" s="33" t="e">
        <f t="shared" si="2"/>
        <v>#DIV/0!</v>
      </c>
      <c r="O30" s="82"/>
      <c r="P30" s="82"/>
      <c r="Q30" s="82"/>
      <c r="R30" s="82"/>
      <c r="S30" s="100"/>
      <c r="T30" s="12"/>
      <c r="U30" s="2"/>
    </row>
    <row r="31" spans="1:21" x14ac:dyDescent="0.25">
      <c r="A31" s="2"/>
      <c r="B31" s="11"/>
      <c r="C31" s="80"/>
      <c r="D31" s="81"/>
      <c r="E31" s="82"/>
      <c r="F31" s="34" t="e">
        <f t="shared" si="0"/>
        <v>#DIV/0!</v>
      </c>
      <c r="G31" s="82"/>
      <c r="H31" s="33" t="e">
        <f t="shared" si="1"/>
        <v>#DIV/0!</v>
      </c>
      <c r="I31" s="82"/>
      <c r="J31" s="33">
        <v>101325</v>
      </c>
      <c r="K31" s="65">
        <v>4.3999999999999999E-5</v>
      </c>
      <c r="L31" s="96"/>
      <c r="M31" s="82"/>
      <c r="N31" s="33" t="e">
        <f t="shared" si="2"/>
        <v>#DIV/0!</v>
      </c>
      <c r="O31" s="82"/>
      <c r="P31" s="82"/>
      <c r="Q31" s="82"/>
      <c r="R31" s="82"/>
      <c r="S31" s="100"/>
      <c r="T31" s="12"/>
      <c r="U31" s="2"/>
    </row>
    <row r="32" spans="1:21" x14ac:dyDescent="0.25">
      <c r="A32" s="2"/>
      <c r="B32" s="11"/>
      <c r="C32" s="80"/>
      <c r="D32" s="81"/>
      <c r="E32" s="82"/>
      <c r="F32" s="34" t="e">
        <f t="shared" si="0"/>
        <v>#DIV/0!</v>
      </c>
      <c r="G32" s="82"/>
      <c r="H32" s="33" t="e">
        <f t="shared" si="1"/>
        <v>#DIV/0!</v>
      </c>
      <c r="I32" s="82"/>
      <c r="J32" s="33">
        <v>101325</v>
      </c>
      <c r="K32" s="65">
        <v>4.3999999999999999E-5</v>
      </c>
      <c r="L32" s="96"/>
      <c r="M32" s="82"/>
      <c r="N32" s="33" t="e">
        <f t="shared" si="2"/>
        <v>#DIV/0!</v>
      </c>
      <c r="O32" s="82"/>
      <c r="P32" s="82"/>
      <c r="Q32" s="82"/>
      <c r="R32" s="82"/>
      <c r="S32" s="100"/>
      <c r="T32" s="12"/>
      <c r="U32" s="2"/>
    </row>
    <row r="33" spans="1:21" x14ac:dyDescent="0.25">
      <c r="A33" s="2"/>
      <c r="B33" s="11"/>
      <c r="C33" s="80"/>
      <c r="D33" s="81"/>
      <c r="E33" s="82"/>
      <c r="F33" s="34" t="e">
        <f t="shared" si="0"/>
        <v>#DIV/0!</v>
      </c>
      <c r="G33" s="82"/>
      <c r="H33" s="33" t="e">
        <f t="shared" si="1"/>
        <v>#DIV/0!</v>
      </c>
      <c r="I33" s="82"/>
      <c r="J33" s="33">
        <v>101325</v>
      </c>
      <c r="K33" s="65">
        <v>4.3999999999999999E-5</v>
      </c>
      <c r="L33" s="96"/>
      <c r="M33" s="82"/>
      <c r="N33" s="33" t="e">
        <f t="shared" si="2"/>
        <v>#DIV/0!</v>
      </c>
      <c r="O33" s="82"/>
      <c r="P33" s="82"/>
      <c r="Q33" s="82"/>
      <c r="R33" s="82"/>
      <c r="S33" s="100"/>
      <c r="T33" s="12"/>
      <c r="U33" s="2"/>
    </row>
    <row r="34" spans="1:21" x14ac:dyDescent="0.25">
      <c r="A34" s="2"/>
      <c r="B34" s="11"/>
      <c r="C34" s="80"/>
      <c r="D34" s="81"/>
      <c r="E34" s="82"/>
      <c r="F34" s="34" t="e">
        <f t="shared" si="0"/>
        <v>#DIV/0!</v>
      </c>
      <c r="G34" s="82"/>
      <c r="H34" s="33" t="e">
        <f t="shared" si="1"/>
        <v>#DIV/0!</v>
      </c>
      <c r="I34" s="82"/>
      <c r="J34" s="33">
        <v>101325</v>
      </c>
      <c r="K34" s="65">
        <v>4.3999999999999999E-5</v>
      </c>
      <c r="L34" s="96"/>
      <c r="M34" s="82"/>
      <c r="N34" s="33" t="e">
        <f t="shared" si="2"/>
        <v>#DIV/0!</v>
      </c>
      <c r="O34" s="82"/>
      <c r="P34" s="82"/>
      <c r="Q34" s="82"/>
      <c r="R34" s="82"/>
      <c r="S34" s="100"/>
      <c r="T34" s="12"/>
      <c r="U34" s="2"/>
    </row>
    <row r="35" spans="1:21" x14ac:dyDescent="0.25">
      <c r="A35" s="2"/>
      <c r="B35" s="11"/>
      <c r="C35" s="80"/>
      <c r="D35" s="81"/>
      <c r="E35" s="82"/>
      <c r="F35" s="34" t="e">
        <f t="shared" si="0"/>
        <v>#DIV/0!</v>
      </c>
      <c r="G35" s="82"/>
      <c r="H35" s="33" t="e">
        <f t="shared" si="1"/>
        <v>#DIV/0!</v>
      </c>
      <c r="I35" s="82"/>
      <c r="J35" s="33">
        <v>101325</v>
      </c>
      <c r="K35" s="65">
        <v>4.3999999999999999E-5</v>
      </c>
      <c r="L35" s="96"/>
      <c r="M35" s="82"/>
      <c r="N35" s="33" t="e">
        <f t="shared" si="2"/>
        <v>#DIV/0!</v>
      </c>
      <c r="O35" s="82"/>
      <c r="P35" s="82"/>
      <c r="Q35" s="82"/>
      <c r="R35" s="82"/>
      <c r="S35" s="100"/>
      <c r="T35" s="12"/>
      <c r="U35" s="2"/>
    </row>
    <row r="36" spans="1:21" x14ac:dyDescent="0.25">
      <c r="A36" s="2"/>
      <c r="B36" s="11"/>
      <c r="C36" s="80"/>
      <c r="D36" s="81"/>
      <c r="E36" s="82"/>
      <c r="F36" s="34" t="e">
        <f t="shared" si="0"/>
        <v>#DIV/0!</v>
      </c>
      <c r="G36" s="82"/>
      <c r="H36" s="33" t="e">
        <f t="shared" si="1"/>
        <v>#DIV/0!</v>
      </c>
      <c r="I36" s="82"/>
      <c r="J36" s="33">
        <v>101325</v>
      </c>
      <c r="K36" s="65">
        <v>4.3999999999999999E-5</v>
      </c>
      <c r="L36" s="96"/>
      <c r="M36" s="82"/>
      <c r="N36" s="33" t="e">
        <f t="shared" si="2"/>
        <v>#DIV/0!</v>
      </c>
      <c r="O36" s="82"/>
      <c r="P36" s="82"/>
      <c r="Q36" s="82"/>
      <c r="R36" s="82"/>
      <c r="S36" s="100"/>
      <c r="T36" s="12"/>
      <c r="U36" s="2"/>
    </row>
    <row r="37" spans="1:21" x14ac:dyDescent="0.25">
      <c r="A37" s="2"/>
      <c r="B37" s="11"/>
      <c r="C37" s="80"/>
      <c r="D37" s="81"/>
      <c r="E37" s="82"/>
      <c r="F37" s="34" t="e">
        <f t="shared" si="0"/>
        <v>#DIV/0!</v>
      </c>
      <c r="G37" s="82"/>
      <c r="H37" s="33" t="e">
        <f t="shared" si="1"/>
        <v>#DIV/0!</v>
      </c>
      <c r="I37" s="82"/>
      <c r="J37" s="33">
        <v>101325</v>
      </c>
      <c r="K37" s="65">
        <v>4.3999999999999999E-5</v>
      </c>
      <c r="L37" s="96"/>
      <c r="M37" s="82"/>
      <c r="N37" s="33" t="e">
        <f t="shared" si="2"/>
        <v>#DIV/0!</v>
      </c>
      <c r="O37" s="82"/>
      <c r="P37" s="82"/>
      <c r="Q37" s="82"/>
      <c r="R37" s="82"/>
      <c r="S37" s="100"/>
      <c r="T37" s="12"/>
      <c r="U37" s="2"/>
    </row>
    <row r="38" spans="1:21" x14ac:dyDescent="0.25">
      <c r="A38" s="2"/>
      <c r="B38" s="11"/>
      <c r="C38" s="80"/>
      <c r="D38" s="81"/>
      <c r="E38" s="82"/>
      <c r="F38" s="34" t="e">
        <f t="shared" si="0"/>
        <v>#DIV/0!</v>
      </c>
      <c r="G38" s="82"/>
      <c r="H38" s="33" t="e">
        <f t="shared" si="1"/>
        <v>#DIV/0!</v>
      </c>
      <c r="I38" s="82"/>
      <c r="J38" s="33">
        <v>101325</v>
      </c>
      <c r="K38" s="65">
        <v>4.3999999999999999E-5</v>
      </c>
      <c r="L38" s="96"/>
      <c r="M38" s="82"/>
      <c r="N38" s="33" t="e">
        <f t="shared" si="2"/>
        <v>#DIV/0!</v>
      </c>
      <c r="O38" s="82"/>
      <c r="P38" s="82"/>
      <c r="Q38" s="82"/>
      <c r="R38" s="82"/>
      <c r="S38" s="100"/>
      <c r="T38" s="12"/>
      <c r="U38" s="2"/>
    </row>
    <row r="39" spans="1:21" x14ac:dyDescent="0.25">
      <c r="A39" s="2"/>
      <c r="B39" s="11"/>
      <c r="C39" s="80"/>
      <c r="D39" s="81"/>
      <c r="E39" s="82"/>
      <c r="F39" s="34" t="e">
        <f t="shared" si="0"/>
        <v>#DIV/0!</v>
      </c>
      <c r="G39" s="82"/>
      <c r="H39" s="33" t="e">
        <f t="shared" si="1"/>
        <v>#DIV/0!</v>
      </c>
      <c r="I39" s="82"/>
      <c r="J39" s="33">
        <v>101325</v>
      </c>
      <c r="K39" s="65">
        <v>4.3999999999999999E-5</v>
      </c>
      <c r="L39" s="96"/>
      <c r="M39" s="82"/>
      <c r="N39" s="33" t="e">
        <f t="shared" si="2"/>
        <v>#DIV/0!</v>
      </c>
      <c r="O39" s="82"/>
      <c r="P39" s="82"/>
      <c r="Q39" s="82"/>
      <c r="R39" s="82"/>
      <c r="S39" s="100"/>
      <c r="T39" s="12"/>
      <c r="U39" s="2"/>
    </row>
    <row r="40" spans="1:21" x14ac:dyDescent="0.25">
      <c r="A40" s="2"/>
      <c r="B40" s="11"/>
      <c r="C40" s="80"/>
      <c r="D40" s="81"/>
      <c r="E40" s="82"/>
      <c r="F40" s="34" t="e">
        <f t="shared" si="0"/>
        <v>#DIV/0!</v>
      </c>
      <c r="G40" s="82"/>
      <c r="H40" s="33" t="e">
        <f t="shared" si="1"/>
        <v>#DIV/0!</v>
      </c>
      <c r="I40" s="82"/>
      <c r="J40" s="33">
        <v>101325</v>
      </c>
      <c r="K40" s="65">
        <v>4.3999999999999999E-5</v>
      </c>
      <c r="L40" s="96"/>
      <c r="M40" s="82"/>
      <c r="N40" s="33" t="e">
        <f t="shared" si="2"/>
        <v>#DIV/0!</v>
      </c>
      <c r="O40" s="82"/>
      <c r="P40" s="82"/>
      <c r="Q40" s="82"/>
      <c r="R40" s="82"/>
      <c r="S40" s="100"/>
      <c r="T40" s="12"/>
      <c r="U40" s="2"/>
    </row>
    <row r="41" spans="1:21" x14ac:dyDescent="0.25">
      <c r="A41" s="2"/>
      <c r="B41" s="11"/>
      <c r="C41" s="80"/>
      <c r="D41" s="81"/>
      <c r="E41" s="82"/>
      <c r="F41" s="34" t="e">
        <f t="shared" si="0"/>
        <v>#DIV/0!</v>
      </c>
      <c r="G41" s="82"/>
      <c r="H41" s="33" t="e">
        <f t="shared" si="1"/>
        <v>#DIV/0!</v>
      </c>
      <c r="I41" s="82"/>
      <c r="J41" s="33">
        <v>101325</v>
      </c>
      <c r="K41" s="65">
        <v>4.3999999999999999E-5</v>
      </c>
      <c r="L41" s="96"/>
      <c r="M41" s="82"/>
      <c r="N41" s="33" t="e">
        <f t="shared" si="2"/>
        <v>#DIV/0!</v>
      </c>
      <c r="O41" s="82"/>
      <c r="P41" s="82"/>
      <c r="Q41" s="82"/>
      <c r="R41" s="82"/>
      <c r="S41" s="100"/>
      <c r="T41" s="12"/>
      <c r="U41" s="2"/>
    </row>
    <row r="42" spans="1:21" x14ac:dyDescent="0.25">
      <c r="A42" s="2"/>
      <c r="B42" s="11"/>
      <c r="C42" s="80"/>
      <c r="D42" s="81"/>
      <c r="E42" s="82"/>
      <c r="F42" s="34" t="e">
        <f t="shared" si="0"/>
        <v>#DIV/0!</v>
      </c>
      <c r="G42" s="82"/>
      <c r="H42" s="33" t="e">
        <f t="shared" si="1"/>
        <v>#DIV/0!</v>
      </c>
      <c r="I42" s="82"/>
      <c r="J42" s="33">
        <v>101325</v>
      </c>
      <c r="K42" s="65">
        <v>4.3999999999999999E-5</v>
      </c>
      <c r="L42" s="96"/>
      <c r="M42" s="82"/>
      <c r="N42" s="33" t="e">
        <f t="shared" si="2"/>
        <v>#DIV/0!</v>
      </c>
      <c r="O42" s="82"/>
      <c r="P42" s="82"/>
      <c r="Q42" s="82"/>
      <c r="R42" s="82"/>
      <c r="S42" s="100"/>
      <c r="T42" s="12"/>
      <c r="U42" s="2"/>
    </row>
    <row r="43" spans="1:21" x14ac:dyDescent="0.25">
      <c r="A43" s="2"/>
      <c r="B43" s="11"/>
      <c r="C43" s="80"/>
      <c r="D43" s="81"/>
      <c r="E43" s="82"/>
      <c r="F43" s="34" t="e">
        <f t="shared" si="0"/>
        <v>#DIV/0!</v>
      </c>
      <c r="G43" s="82"/>
      <c r="H43" s="33" t="e">
        <f t="shared" si="1"/>
        <v>#DIV/0!</v>
      </c>
      <c r="I43" s="82"/>
      <c r="J43" s="33">
        <v>101325</v>
      </c>
      <c r="K43" s="65">
        <v>4.3999999999999999E-5</v>
      </c>
      <c r="L43" s="96"/>
      <c r="M43" s="82"/>
      <c r="N43" s="33" t="e">
        <f t="shared" si="2"/>
        <v>#DIV/0!</v>
      </c>
      <c r="O43" s="82"/>
      <c r="P43" s="82"/>
      <c r="Q43" s="82"/>
      <c r="R43" s="82"/>
      <c r="S43" s="100"/>
      <c r="T43" s="12"/>
      <c r="U43" s="2"/>
    </row>
    <row r="44" spans="1:21" x14ac:dyDescent="0.25">
      <c r="A44" s="2"/>
      <c r="B44" s="11"/>
      <c r="C44" s="80"/>
      <c r="D44" s="81"/>
      <c r="E44" s="82"/>
      <c r="F44" s="34" t="e">
        <f t="shared" si="0"/>
        <v>#DIV/0!</v>
      </c>
      <c r="G44" s="82"/>
      <c r="H44" s="33" t="e">
        <f t="shared" si="1"/>
        <v>#DIV/0!</v>
      </c>
      <c r="I44" s="82"/>
      <c r="J44" s="33">
        <v>101325</v>
      </c>
      <c r="K44" s="65">
        <v>4.3999999999999999E-5</v>
      </c>
      <c r="L44" s="96"/>
      <c r="M44" s="82"/>
      <c r="N44" s="33" t="e">
        <f t="shared" si="2"/>
        <v>#DIV/0!</v>
      </c>
      <c r="O44" s="82"/>
      <c r="P44" s="82"/>
      <c r="Q44" s="82"/>
      <c r="R44" s="82"/>
      <c r="S44" s="100"/>
      <c r="T44" s="12"/>
      <c r="U44" s="2"/>
    </row>
    <row r="45" spans="1:21" x14ac:dyDescent="0.25">
      <c r="A45" s="2"/>
      <c r="B45" s="11"/>
      <c r="C45" s="80"/>
      <c r="D45" s="81"/>
      <c r="E45" s="82"/>
      <c r="F45" s="34" t="e">
        <f t="shared" si="0"/>
        <v>#DIV/0!</v>
      </c>
      <c r="G45" s="82"/>
      <c r="H45" s="33" t="e">
        <f t="shared" si="1"/>
        <v>#DIV/0!</v>
      </c>
      <c r="I45" s="82"/>
      <c r="J45" s="33">
        <v>101325</v>
      </c>
      <c r="K45" s="65">
        <v>4.3999999999999999E-5</v>
      </c>
      <c r="L45" s="96"/>
      <c r="M45" s="82"/>
      <c r="N45" s="33" t="e">
        <f t="shared" si="2"/>
        <v>#DIV/0!</v>
      </c>
      <c r="O45" s="82"/>
      <c r="P45" s="82"/>
      <c r="Q45" s="82"/>
      <c r="R45" s="82"/>
      <c r="S45" s="100"/>
      <c r="T45" s="12"/>
      <c r="U45" s="2"/>
    </row>
    <row r="46" spans="1:21" x14ac:dyDescent="0.25">
      <c r="A46" s="2"/>
      <c r="B46" s="11"/>
      <c r="C46" s="80"/>
      <c r="D46" s="81"/>
      <c r="E46" s="82"/>
      <c r="F46" s="34" t="e">
        <f t="shared" si="0"/>
        <v>#DIV/0!</v>
      </c>
      <c r="G46" s="82"/>
      <c r="H46" s="33" t="e">
        <f t="shared" si="1"/>
        <v>#DIV/0!</v>
      </c>
      <c r="I46" s="82"/>
      <c r="J46" s="33">
        <v>101325</v>
      </c>
      <c r="K46" s="65">
        <v>4.3999999999999999E-5</v>
      </c>
      <c r="L46" s="96"/>
      <c r="M46" s="82"/>
      <c r="N46" s="33" t="e">
        <f t="shared" si="2"/>
        <v>#DIV/0!</v>
      </c>
      <c r="O46" s="82"/>
      <c r="P46" s="82"/>
      <c r="Q46" s="82"/>
      <c r="R46" s="82"/>
      <c r="S46" s="100"/>
      <c r="T46" s="12"/>
      <c r="U46" s="2"/>
    </row>
    <row r="47" spans="1:21" x14ac:dyDescent="0.25">
      <c r="A47" s="2"/>
      <c r="B47" s="11"/>
      <c r="C47" s="80"/>
      <c r="D47" s="81"/>
      <c r="E47" s="82"/>
      <c r="F47" s="34" t="e">
        <f t="shared" si="0"/>
        <v>#DIV/0!</v>
      </c>
      <c r="G47" s="82"/>
      <c r="H47" s="33" t="e">
        <f t="shared" si="1"/>
        <v>#DIV/0!</v>
      </c>
      <c r="I47" s="82"/>
      <c r="J47" s="33">
        <v>101325</v>
      </c>
      <c r="K47" s="65">
        <v>4.3999999999999999E-5</v>
      </c>
      <c r="L47" s="96"/>
      <c r="M47" s="82"/>
      <c r="N47" s="33" t="e">
        <f t="shared" si="2"/>
        <v>#DIV/0!</v>
      </c>
      <c r="O47" s="82"/>
      <c r="P47" s="82"/>
      <c r="Q47" s="82"/>
      <c r="R47" s="82"/>
      <c r="S47" s="100"/>
      <c r="T47" s="12"/>
      <c r="U47" s="2"/>
    </row>
    <row r="48" spans="1:21" x14ac:dyDescent="0.25">
      <c r="A48" s="2"/>
      <c r="B48" s="11"/>
      <c r="C48" s="80"/>
      <c r="D48" s="81"/>
      <c r="E48" s="82"/>
      <c r="F48" s="34" t="e">
        <f t="shared" si="0"/>
        <v>#DIV/0!</v>
      </c>
      <c r="G48" s="82"/>
      <c r="H48" s="33" t="e">
        <f t="shared" si="1"/>
        <v>#DIV/0!</v>
      </c>
      <c r="I48" s="82"/>
      <c r="J48" s="33">
        <v>101325</v>
      </c>
      <c r="K48" s="65">
        <v>4.3999999999999999E-5</v>
      </c>
      <c r="L48" s="96"/>
      <c r="M48" s="82"/>
      <c r="N48" s="33" t="e">
        <f t="shared" si="2"/>
        <v>#DIV/0!</v>
      </c>
      <c r="O48" s="82"/>
      <c r="P48" s="82"/>
      <c r="Q48" s="82"/>
      <c r="R48" s="82"/>
      <c r="S48" s="100"/>
      <c r="T48" s="12"/>
      <c r="U48" s="2"/>
    </row>
    <row r="49" spans="1:21" x14ac:dyDescent="0.25">
      <c r="A49" s="2"/>
      <c r="B49" s="11"/>
      <c r="C49" s="80"/>
      <c r="D49" s="81"/>
      <c r="E49" s="82"/>
      <c r="F49" s="34" t="e">
        <f t="shared" si="0"/>
        <v>#DIV/0!</v>
      </c>
      <c r="G49" s="82"/>
      <c r="H49" s="33" t="e">
        <f t="shared" si="1"/>
        <v>#DIV/0!</v>
      </c>
      <c r="I49" s="82"/>
      <c r="J49" s="33">
        <v>101325</v>
      </c>
      <c r="K49" s="65">
        <v>4.3999999999999999E-5</v>
      </c>
      <c r="L49" s="96"/>
      <c r="M49" s="82"/>
      <c r="N49" s="33" t="e">
        <f t="shared" si="2"/>
        <v>#DIV/0!</v>
      </c>
      <c r="O49" s="82"/>
      <c r="P49" s="82"/>
      <c r="Q49" s="82"/>
      <c r="R49" s="82"/>
      <c r="S49" s="100"/>
      <c r="T49" s="12"/>
      <c r="U49" s="2"/>
    </row>
    <row r="50" spans="1:21" x14ac:dyDescent="0.25">
      <c r="A50" s="2"/>
      <c r="B50" s="11"/>
      <c r="C50" s="80"/>
      <c r="D50" s="81"/>
      <c r="E50" s="82"/>
      <c r="F50" s="34" t="e">
        <f t="shared" si="0"/>
        <v>#DIV/0!</v>
      </c>
      <c r="G50" s="82"/>
      <c r="H50" s="33" t="e">
        <f t="shared" si="1"/>
        <v>#DIV/0!</v>
      </c>
      <c r="I50" s="82"/>
      <c r="J50" s="33">
        <v>101325</v>
      </c>
      <c r="K50" s="65">
        <v>4.3999999999999999E-5</v>
      </c>
      <c r="L50" s="96"/>
      <c r="M50" s="82"/>
      <c r="N50" s="33" t="e">
        <f t="shared" si="2"/>
        <v>#DIV/0!</v>
      </c>
      <c r="O50" s="82"/>
      <c r="P50" s="82"/>
      <c r="Q50" s="82"/>
      <c r="R50" s="82"/>
      <c r="S50" s="100"/>
      <c r="T50" s="12"/>
      <c r="U50" s="2"/>
    </row>
    <row r="51" spans="1:21" x14ac:dyDescent="0.25">
      <c r="A51" s="2"/>
      <c r="B51" s="11"/>
      <c r="C51" s="80"/>
      <c r="D51" s="81"/>
      <c r="E51" s="82"/>
      <c r="F51" s="34" t="e">
        <f t="shared" si="0"/>
        <v>#DIV/0!</v>
      </c>
      <c r="G51" s="82"/>
      <c r="H51" s="33" t="e">
        <f t="shared" si="1"/>
        <v>#DIV/0!</v>
      </c>
      <c r="I51" s="82"/>
      <c r="J51" s="33">
        <v>101325</v>
      </c>
      <c r="K51" s="65">
        <v>4.3999999999999999E-5</v>
      </c>
      <c r="L51" s="96"/>
      <c r="M51" s="82"/>
      <c r="N51" s="33" t="e">
        <f t="shared" si="2"/>
        <v>#DIV/0!</v>
      </c>
      <c r="O51" s="82"/>
      <c r="P51" s="82"/>
      <c r="Q51" s="82"/>
      <c r="R51" s="82"/>
      <c r="S51" s="100"/>
      <c r="T51" s="12"/>
      <c r="U51" s="2"/>
    </row>
    <row r="52" spans="1:21" x14ac:dyDescent="0.25">
      <c r="A52" s="2"/>
      <c r="B52" s="11"/>
      <c r="C52" s="80"/>
      <c r="D52" s="81"/>
      <c r="E52" s="82"/>
      <c r="F52" s="34" t="e">
        <f t="shared" si="0"/>
        <v>#DIV/0!</v>
      </c>
      <c r="G52" s="82"/>
      <c r="H52" s="33" t="e">
        <f t="shared" si="1"/>
        <v>#DIV/0!</v>
      </c>
      <c r="I52" s="82"/>
      <c r="J52" s="33">
        <v>101325</v>
      </c>
      <c r="K52" s="65">
        <v>4.3999999999999999E-5</v>
      </c>
      <c r="L52" s="96"/>
      <c r="M52" s="82"/>
      <c r="N52" s="33" t="e">
        <f t="shared" si="2"/>
        <v>#DIV/0!</v>
      </c>
      <c r="O52" s="82"/>
      <c r="P52" s="82"/>
      <c r="Q52" s="82"/>
      <c r="R52" s="82"/>
      <c r="S52" s="100"/>
      <c r="T52" s="12"/>
      <c r="U52" s="2"/>
    </row>
    <row r="53" spans="1:21" x14ac:dyDescent="0.25">
      <c r="A53" s="2"/>
      <c r="B53" s="11"/>
      <c r="C53" s="80"/>
      <c r="D53" s="81"/>
      <c r="E53" s="82"/>
      <c r="F53" s="34" t="e">
        <f t="shared" si="0"/>
        <v>#DIV/0!</v>
      </c>
      <c r="G53" s="82"/>
      <c r="H53" s="33" t="e">
        <f t="shared" si="1"/>
        <v>#DIV/0!</v>
      </c>
      <c r="I53" s="82"/>
      <c r="J53" s="33">
        <v>101325</v>
      </c>
      <c r="K53" s="65">
        <v>4.3999999999999999E-5</v>
      </c>
      <c r="L53" s="96"/>
      <c r="M53" s="82"/>
      <c r="N53" s="33" t="e">
        <f t="shared" si="2"/>
        <v>#DIV/0!</v>
      </c>
      <c r="O53" s="82"/>
      <c r="P53" s="82"/>
      <c r="Q53" s="82"/>
      <c r="R53" s="82"/>
      <c r="S53" s="100"/>
      <c r="T53" s="12"/>
      <c r="U53" s="2"/>
    </row>
    <row r="54" spans="1:21" x14ac:dyDescent="0.25">
      <c r="A54" s="2"/>
      <c r="B54" s="11"/>
      <c r="C54" s="80"/>
      <c r="D54" s="81"/>
      <c r="E54" s="82"/>
      <c r="F54" s="34" t="e">
        <f t="shared" si="0"/>
        <v>#DIV/0!</v>
      </c>
      <c r="G54" s="82"/>
      <c r="H54" s="33" t="e">
        <f t="shared" si="1"/>
        <v>#DIV/0!</v>
      </c>
      <c r="I54" s="82"/>
      <c r="J54" s="33">
        <v>101325</v>
      </c>
      <c r="K54" s="65">
        <v>4.3999999999999999E-5</v>
      </c>
      <c r="L54" s="96"/>
      <c r="M54" s="82"/>
      <c r="N54" s="33" t="e">
        <f t="shared" si="2"/>
        <v>#DIV/0!</v>
      </c>
      <c r="O54" s="82"/>
      <c r="P54" s="82"/>
      <c r="Q54" s="82"/>
      <c r="R54" s="82"/>
      <c r="S54" s="100"/>
      <c r="T54" s="12"/>
      <c r="U54" s="2"/>
    </row>
    <row r="55" spans="1:21" x14ac:dyDescent="0.25">
      <c r="A55" s="2"/>
      <c r="B55" s="11"/>
      <c r="C55" s="80"/>
      <c r="D55" s="81"/>
      <c r="E55" s="82"/>
      <c r="F55" s="34" t="e">
        <f t="shared" si="0"/>
        <v>#DIV/0!</v>
      </c>
      <c r="G55" s="82"/>
      <c r="H55" s="33" t="e">
        <f t="shared" si="1"/>
        <v>#DIV/0!</v>
      </c>
      <c r="I55" s="82"/>
      <c r="J55" s="33">
        <v>101325</v>
      </c>
      <c r="K55" s="65">
        <v>4.3999999999999999E-5</v>
      </c>
      <c r="L55" s="96"/>
      <c r="M55" s="82"/>
      <c r="N55" s="33" t="e">
        <f t="shared" si="2"/>
        <v>#DIV/0!</v>
      </c>
      <c r="O55" s="82"/>
      <c r="P55" s="82"/>
      <c r="Q55" s="82"/>
      <c r="R55" s="82"/>
      <c r="S55" s="100"/>
      <c r="T55" s="12"/>
      <c r="U55" s="2"/>
    </row>
    <row r="56" spans="1:21" x14ac:dyDescent="0.25">
      <c r="A56" s="2"/>
      <c r="B56" s="11"/>
      <c r="C56" s="80"/>
      <c r="D56" s="81"/>
      <c r="E56" s="82"/>
      <c r="F56" s="34" t="e">
        <f t="shared" si="0"/>
        <v>#DIV/0!</v>
      </c>
      <c r="G56" s="82"/>
      <c r="H56" s="33" t="e">
        <f t="shared" si="1"/>
        <v>#DIV/0!</v>
      </c>
      <c r="I56" s="82"/>
      <c r="J56" s="33">
        <v>101325</v>
      </c>
      <c r="K56" s="65">
        <v>4.3999999999999999E-5</v>
      </c>
      <c r="L56" s="96"/>
      <c r="M56" s="82"/>
      <c r="N56" s="33" t="e">
        <f t="shared" si="2"/>
        <v>#DIV/0!</v>
      </c>
      <c r="O56" s="82"/>
      <c r="P56" s="82"/>
      <c r="Q56" s="82"/>
      <c r="R56" s="82"/>
      <c r="S56" s="100"/>
      <c r="T56" s="12"/>
      <c r="U56" s="2"/>
    </row>
    <row r="57" spans="1:21" x14ac:dyDescent="0.25">
      <c r="A57" s="2"/>
      <c r="B57" s="11"/>
      <c r="C57" s="80"/>
      <c r="D57" s="81"/>
      <c r="E57" s="82"/>
      <c r="F57" s="34" t="e">
        <f t="shared" si="0"/>
        <v>#DIV/0!</v>
      </c>
      <c r="G57" s="82"/>
      <c r="H57" s="33" t="e">
        <f t="shared" si="1"/>
        <v>#DIV/0!</v>
      </c>
      <c r="I57" s="82"/>
      <c r="J57" s="33">
        <v>101325</v>
      </c>
      <c r="K57" s="65">
        <v>4.3999999999999999E-5</v>
      </c>
      <c r="L57" s="96"/>
      <c r="M57" s="82"/>
      <c r="N57" s="33" t="e">
        <f t="shared" si="2"/>
        <v>#DIV/0!</v>
      </c>
      <c r="O57" s="82"/>
      <c r="P57" s="82"/>
      <c r="Q57" s="82"/>
      <c r="R57" s="82"/>
      <c r="S57" s="100"/>
      <c r="T57" s="12"/>
      <c r="U57" s="2"/>
    </row>
    <row r="58" spans="1:21" x14ac:dyDescent="0.25">
      <c r="A58" s="2"/>
      <c r="B58" s="11"/>
      <c r="C58" s="80"/>
      <c r="D58" s="81"/>
      <c r="E58" s="82"/>
      <c r="F58" s="34" t="e">
        <f t="shared" si="0"/>
        <v>#DIV/0!</v>
      </c>
      <c r="G58" s="82"/>
      <c r="H58" s="33" t="e">
        <f t="shared" si="1"/>
        <v>#DIV/0!</v>
      </c>
      <c r="I58" s="82"/>
      <c r="J58" s="33">
        <v>101325</v>
      </c>
      <c r="K58" s="65">
        <v>4.3999999999999999E-5</v>
      </c>
      <c r="L58" s="96"/>
      <c r="M58" s="82"/>
      <c r="N58" s="33" t="e">
        <f t="shared" si="2"/>
        <v>#DIV/0!</v>
      </c>
      <c r="O58" s="82"/>
      <c r="P58" s="82"/>
      <c r="Q58" s="82"/>
      <c r="R58" s="82"/>
      <c r="S58" s="100"/>
      <c r="T58" s="12"/>
      <c r="U58" s="2"/>
    </row>
    <row r="59" spans="1:21" x14ac:dyDescent="0.25">
      <c r="A59" s="2"/>
      <c r="B59" s="11"/>
      <c r="C59" s="80"/>
      <c r="D59" s="81"/>
      <c r="E59" s="82"/>
      <c r="F59" s="34" t="e">
        <f t="shared" si="0"/>
        <v>#DIV/0!</v>
      </c>
      <c r="G59" s="82"/>
      <c r="H59" s="33" t="e">
        <f t="shared" si="1"/>
        <v>#DIV/0!</v>
      </c>
      <c r="I59" s="82"/>
      <c r="J59" s="33">
        <v>101325</v>
      </c>
      <c r="K59" s="65">
        <v>4.3999999999999999E-5</v>
      </c>
      <c r="L59" s="96"/>
      <c r="M59" s="82"/>
      <c r="N59" s="33" t="e">
        <f t="shared" si="2"/>
        <v>#DIV/0!</v>
      </c>
      <c r="O59" s="82"/>
      <c r="P59" s="82"/>
      <c r="Q59" s="82"/>
      <c r="R59" s="82"/>
      <c r="S59" s="100"/>
      <c r="T59" s="12"/>
      <c r="U59" s="2"/>
    </row>
    <row r="60" spans="1:21" x14ac:dyDescent="0.25">
      <c r="A60" s="2"/>
      <c r="B60" s="11"/>
      <c r="C60" s="80"/>
      <c r="D60" s="81"/>
      <c r="E60" s="82"/>
      <c r="F60" s="34" t="e">
        <f t="shared" si="0"/>
        <v>#DIV/0!</v>
      </c>
      <c r="G60" s="82"/>
      <c r="H60" s="33" t="e">
        <f t="shared" si="1"/>
        <v>#DIV/0!</v>
      </c>
      <c r="I60" s="82"/>
      <c r="J60" s="33">
        <v>101325</v>
      </c>
      <c r="K60" s="65">
        <v>4.3999999999999999E-5</v>
      </c>
      <c r="L60" s="96"/>
      <c r="M60" s="82"/>
      <c r="N60" s="33" t="e">
        <f t="shared" si="2"/>
        <v>#DIV/0!</v>
      </c>
      <c r="O60" s="82"/>
      <c r="P60" s="82"/>
      <c r="Q60" s="82"/>
      <c r="R60" s="82"/>
      <c r="S60" s="100"/>
      <c r="T60" s="12"/>
      <c r="U60" s="2"/>
    </row>
    <row r="61" spans="1:21" x14ac:dyDescent="0.25">
      <c r="A61" s="2"/>
      <c r="B61" s="11"/>
      <c r="C61" s="80"/>
      <c r="D61" s="81"/>
      <c r="E61" s="82"/>
      <c r="F61" s="34" t="e">
        <f t="shared" si="0"/>
        <v>#DIV/0!</v>
      </c>
      <c r="G61" s="82"/>
      <c r="H61" s="33" t="e">
        <f t="shared" si="1"/>
        <v>#DIV/0!</v>
      </c>
      <c r="I61" s="82"/>
      <c r="J61" s="33">
        <v>101325</v>
      </c>
      <c r="K61" s="65">
        <v>4.3999999999999999E-5</v>
      </c>
      <c r="L61" s="96"/>
      <c r="M61" s="82"/>
      <c r="N61" s="33" t="e">
        <f t="shared" si="2"/>
        <v>#DIV/0!</v>
      </c>
      <c r="O61" s="82"/>
      <c r="P61" s="82"/>
      <c r="Q61" s="82"/>
      <c r="R61" s="82"/>
      <c r="S61" s="100"/>
      <c r="T61" s="12"/>
      <c r="U61" s="2"/>
    </row>
    <row r="62" spans="1:21" x14ac:dyDescent="0.25">
      <c r="A62" s="2"/>
      <c r="B62" s="11"/>
      <c r="C62" s="80"/>
      <c r="D62" s="81"/>
      <c r="E62" s="82"/>
      <c r="F62" s="34" t="e">
        <f t="shared" si="0"/>
        <v>#DIV/0!</v>
      </c>
      <c r="G62" s="82"/>
      <c r="H62" s="33" t="e">
        <f t="shared" si="1"/>
        <v>#DIV/0!</v>
      </c>
      <c r="I62" s="82"/>
      <c r="J62" s="33">
        <v>101325</v>
      </c>
      <c r="K62" s="65">
        <v>4.3999999999999999E-5</v>
      </c>
      <c r="L62" s="96"/>
      <c r="M62" s="82"/>
      <c r="N62" s="33" t="e">
        <f t="shared" si="2"/>
        <v>#DIV/0!</v>
      </c>
      <c r="O62" s="82"/>
      <c r="P62" s="82"/>
      <c r="Q62" s="82"/>
      <c r="R62" s="82"/>
      <c r="S62" s="100"/>
      <c r="T62" s="12"/>
      <c r="U62" s="2"/>
    </row>
    <row r="63" spans="1:21" x14ac:dyDescent="0.25">
      <c r="A63" s="2"/>
      <c r="B63" s="11"/>
      <c r="C63" s="80"/>
      <c r="D63" s="81"/>
      <c r="E63" s="82"/>
      <c r="F63" s="34" t="e">
        <f t="shared" si="0"/>
        <v>#DIV/0!</v>
      </c>
      <c r="G63" s="82"/>
      <c r="H63" s="33" t="e">
        <f t="shared" si="1"/>
        <v>#DIV/0!</v>
      </c>
      <c r="I63" s="82"/>
      <c r="J63" s="33">
        <v>101325</v>
      </c>
      <c r="K63" s="65">
        <v>4.3999999999999999E-5</v>
      </c>
      <c r="L63" s="96"/>
      <c r="M63" s="82"/>
      <c r="N63" s="33" t="e">
        <f t="shared" si="2"/>
        <v>#DIV/0!</v>
      </c>
      <c r="O63" s="82"/>
      <c r="P63" s="82"/>
      <c r="Q63" s="82"/>
      <c r="R63" s="82"/>
      <c r="S63" s="100"/>
      <c r="T63" s="12"/>
      <c r="U63" s="2"/>
    </row>
    <row r="64" spans="1:21" x14ac:dyDescent="0.25">
      <c r="A64" s="2"/>
      <c r="B64" s="11"/>
      <c r="C64" s="80"/>
      <c r="D64" s="81"/>
      <c r="E64" s="82"/>
      <c r="F64" s="34" t="e">
        <f t="shared" si="0"/>
        <v>#DIV/0!</v>
      </c>
      <c r="G64" s="82"/>
      <c r="H64" s="33" t="e">
        <f t="shared" si="1"/>
        <v>#DIV/0!</v>
      </c>
      <c r="I64" s="82"/>
      <c r="J64" s="33">
        <v>101325</v>
      </c>
      <c r="K64" s="65">
        <v>4.3999999999999999E-5</v>
      </c>
      <c r="L64" s="96"/>
      <c r="M64" s="82"/>
      <c r="N64" s="33" t="e">
        <f t="shared" si="2"/>
        <v>#DIV/0!</v>
      </c>
      <c r="O64" s="82"/>
      <c r="P64" s="82"/>
      <c r="Q64" s="82"/>
      <c r="R64" s="82"/>
      <c r="S64" s="100"/>
      <c r="T64" s="12"/>
      <c r="U64" s="2"/>
    </row>
    <row r="65" spans="1:21" x14ac:dyDescent="0.25">
      <c r="A65" s="2"/>
      <c r="B65" s="11"/>
      <c r="C65" s="80"/>
      <c r="D65" s="81"/>
      <c r="E65" s="82"/>
      <c r="F65" s="34" t="e">
        <f t="shared" si="0"/>
        <v>#DIV/0!</v>
      </c>
      <c r="G65" s="82"/>
      <c r="H65" s="33" t="e">
        <f t="shared" si="1"/>
        <v>#DIV/0!</v>
      </c>
      <c r="I65" s="82"/>
      <c r="J65" s="33">
        <v>101325</v>
      </c>
      <c r="K65" s="65">
        <v>4.3999999999999999E-5</v>
      </c>
      <c r="L65" s="96"/>
      <c r="M65" s="82"/>
      <c r="N65" s="33" t="e">
        <f t="shared" si="2"/>
        <v>#DIV/0!</v>
      </c>
      <c r="O65" s="82"/>
      <c r="P65" s="82"/>
      <c r="Q65" s="82"/>
      <c r="R65" s="82"/>
      <c r="S65" s="100"/>
      <c r="T65" s="12"/>
      <c r="U65" s="2"/>
    </row>
    <row r="66" spans="1:21" x14ac:dyDescent="0.25">
      <c r="A66" s="2"/>
      <c r="B66" s="11"/>
      <c r="C66" s="80"/>
      <c r="D66" s="81"/>
      <c r="E66" s="82"/>
      <c r="F66" s="34" t="e">
        <f t="shared" si="0"/>
        <v>#DIV/0!</v>
      </c>
      <c r="G66" s="82"/>
      <c r="H66" s="33" t="e">
        <f t="shared" si="1"/>
        <v>#DIV/0!</v>
      </c>
      <c r="I66" s="82"/>
      <c r="J66" s="33">
        <v>101325</v>
      </c>
      <c r="K66" s="65">
        <v>4.3999999999999999E-5</v>
      </c>
      <c r="L66" s="96"/>
      <c r="M66" s="82"/>
      <c r="N66" s="33" t="e">
        <f t="shared" si="2"/>
        <v>#DIV/0!</v>
      </c>
      <c r="O66" s="82"/>
      <c r="P66" s="82"/>
      <c r="Q66" s="82"/>
      <c r="R66" s="82"/>
      <c r="S66" s="100"/>
      <c r="T66" s="12"/>
      <c r="U66" s="2"/>
    </row>
    <row r="67" spans="1:21" x14ac:dyDescent="0.25">
      <c r="A67" s="2"/>
      <c r="B67" s="11"/>
      <c r="C67" s="80"/>
      <c r="D67" s="81"/>
      <c r="E67" s="82"/>
      <c r="F67" s="34" t="e">
        <f t="shared" si="0"/>
        <v>#DIV/0!</v>
      </c>
      <c r="G67" s="82"/>
      <c r="H67" s="33" t="e">
        <f t="shared" si="1"/>
        <v>#DIV/0!</v>
      </c>
      <c r="I67" s="82"/>
      <c r="J67" s="33">
        <v>101325</v>
      </c>
      <c r="K67" s="65">
        <v>4.3999999999999999E-5</v>
      </c>
      <c r="L67" s="96"/>
      <c r="M67" s="82"/>
      <c r="N67" s="33" t="e">
        <f t="shared" si="2"/>
        <v>#DIV/0!</v>
      </c>
      <c r="O67" s="82"/>
      <c r="P67" s="82"/>
      <c r="Q67" s="82"/>
      <c r="R67" s="82"/>
      <c r="S67" s="100"/>
      <c r="T67" s="12"/>
      <c r="U67" s="2"/>
    </row>
    <row r="68" spans="1:21" x14ac:dyDescent="0.25">
      <c r="A68" s="2"/>
      <c r="B68" s="11"/>
      <c r="C68" s="80"/>
      <c r="D68" s="81"/>
      <c r="E68" s="82"/>
      <c r="F68" s="34" t="e">
        <f t="shared" si="0"/>
        <v>#DIV/0!</v>
      </c>
      <c r="G68" s="82"/>
      <c r="H68" s="33" t="e">
        <f t="shared" si="1"/>
        <v>#DIV/0!</v>
      </c>
      <c r="I68" s="82"/>
      <c r="J68" s="33">
        <v>101325</v>
      </c>
      <c r="K68" s="65">
        <v>4.3999999999999999E-5</v>
      </c>
      <c r="L68" s="96"/>
      <c r="M68" s="82"/>
      <c r="N68" s="33" t="e">
        <f t="shared" si="2"/>
        <v>#DIV/0!</v>
      </c>
      <c r="O68" s="82"/>
      <c r="P68" s="82"/>
      <c r="Q68" s="82"/>
      <c r="R68" s="82"/>
      <c r="S68" s="100"/>
      <c r="T68" s="12"/>
      <c r="U68" s="2"/>
    </row>
    <row r="69" spans="1:21" x14ac:dyDescent="0.25">
      <c r="A69" s="2"/>
      <c r="B69" s="11"/>
      <c r="C69" s="80"/>
      <c r="D69" s="81"/>
      <c r="E69" s="82"/>
      <c r="F69" s="34" t="e">
        <f t="shared" si="0"/>
        <v>#DIV/0!</v>
      </c>
      <c r="G69" s="82"/>
      <c r="H69" s="33" t="e">
        <f t="shared" si="1"/>
        <v>#DIV/0!</v>
      </c>
      <c r="I69" s="82"/>
      <c r="J69" s="33">
        <v>101325</v>
      </c>
      <c r="K69" s="65">
        <v>4.3999999999999999E-5</v>
      </c>
      <c r="L69" s="96"/>
      <c r="M69" s="82"/>
      <c r="N69" s="33" t="e">
        <f t="shared" si="2"/>
        <v>#DIV/0!</v>
      </c>
      <c r="O69" s="82"/>
      <c r="P69" s="82"/>
      <c r="Q69" s="82"/>
      <c r="R69" s="82"/>
      <c r="S69" s="100"/>
      <c r="T69" s="12"/>
      <c r="U69" s="2"/>
    </row>
    <row r="70" spans="1:21" x14ac:dyDescent="0.25">
      <c r="A70" s="2"/>
      <c r="B70" s="11"/>
      <c r="C70" s="80"/>
      <c r="D70" s="81"/>
      <c r="E70" s="82"/>
      <c r="F70" s="34" t="e">
        <f t="shared" si="0"/>
        <v>#DIV/0!</v>
      </c>
      <c r="G70" s="82"/>
      <c r="H70" s="33" t="e">
        <f t="shared" si="1"/>
        <v>#DIV/0!</v>
      </c>
      <c r="I70" s="82"/>
      <c r="J70" s="33">
        <v>101325</v>
      </c>
      <c r="K70" s="65">
        <v>4.3999999999999999E-5</v>
      </c>
      <c r="L70" s="96"/>
      <c r="M70" s="82"/>
      <c r="N70" s="33" t="e">
        <f t="shared" si="2"/>
        <v>#DIV/0!</v>
      </c>
      <c r="O70" s="82"/>
      <c r="P70" s="82"/>
      <c r="Q70" s="82"/>
      <c r="R70" s="82"/>
      <c r="S70" s="100"/>
      <c r="T70" s="12"/>
      <c r="U70" s="2"/>
    </row>
    <row r="71" spans="1:21" x14ac:dyDescent="0.25">
      <c r="A71" s="2"/>
      <c r="B71" s="11"/>
      <c r="C71" s="80"/>
      <c r="D71" s="81"/>
      <c r="E71" s="82"/>
      <c r="F71" s="34" t="e">
        <f t="shared" si="0"/>
        <v>#DIV/0!</v>
      </c>
      <c r="G71" s="82"/>
      <c r="H71" s="33" t="e">
        <f t="shared" si="1"/>
        <v>#DIV/0!</v>
      </c>
      <c r="I71" s="82"/>
      <c r="J71" s="33">
        <v>101325</v>
      </c>
      <c r="K71" s="65">
        <v>4.3999999999999999E-5</v>
      </c>
      <c r="L71" s="96"/>
      <c r="M71" s="82"/>
      <c r="N71" s="33" t="e">
        <f t="shared" si="2"/>
        <v>#DIV/0!</v>
      </c>
      <c r="O71" s="82"/>
      <c r="P71" s="82"/>
      <c r="Q71" s="82"/>
      <c r="R71" s="82"/>
      <c r="S71" s="100"/>
      <c r="T71" s="12"/>
      <c r="U71" s="2"/>
    </row>
    <row r="72" spans="1:21" x14ac:dyDescent="0.25">
      <c r="A72" s="2"/>
      <c r="B72" s="11"/>
      <c r="C72" s="80"/>
      <c r="D72" s="81"/>
      <c r="E72" s="82"/>
      <c r="F72" s="34" t="e">
        <f t="shared" si="0"/>
        <v>#DIV/0!</v>
      </c>
      <c r="G72" s="82"/>
      <c r="H72" s="33" t="e">
        <f t="shared" si="1"/>
        <v>#DIV/0!</v>
      </c>
      <c r="I72" s="82"/>
      <c r="J72" s="33">
        <v>101325</v>
      </c>
      <c r="K72" s="65">
        <v>4.3999999999999999E-5</v>
      </c>
      <c r="L72" s="96"/>
      <c r="M72" s="82"/>
      <c r="N72" s="33" t="e">
        <f t="shared" si="2"/>
        <v>#DIV/0!</v>
      </c>
      <c r="O72" s="82"/>
      <c r="P72" s="82"/>
      <c r="Q72" s="82"/>
      <c r="R72" s="82"/>
      <c r="S72" s="100"/>
      <c r="T72" s="12"/>
      <c r="U72" s="2"/>
    </row>
    <row r="73" spans="1:21" x14ac:dyDescent="0.25">
      <c r="A73" s="2"/>
      <c r="B73" s="11"/>
      <c r="C73" s="80"/>
      <c r="D73" s="81"/>
      <c r="E73" s="82"/>
      <c r="F73" s="34" t="e">
        <f t="shared" si="0"/>
        <v>#DIV/0!</v>
      </c>
      <c r="G73" s="82"/>
      <c r="H73" s="33" t="e">
        <f t="shared" si="1"/>
        <v>#DIV/0!</v>
      </c>
      <c r="I73" s="82"/>
      <c r="J73" s="33">
        <v>101325</v>
      </c>
      <c r="K73" s="65">
        <v>4.3999999999999999E-5</v>
      </c>
      <c r="L73" s="96"/>
      <c r="M73" s="82"/>
      <c r="N73" s="33" t="e">
        <f t="shared" si="2"/>
        <v>#DIV/0!</v>
      </c>
      <c r="O73" s="82"/>
      <c r="P73" s="82"/>
      <c r="Q73" s="82"/>
      <c r="R73" s="82"/>
      <c r="S73" s="100"/>
      <c r="T73" s="12"/>
      <c r="U73" s="2"/>
    </row>
    <row r="74" spans="1:21" x14ac:dyDescent="0.25">
      <c r="A74" s="2"/>
      <c r="B74" s="11"/>
      <c r="C74" s="80"/>
      <c r="D74" s="81"/>
      <c r="E74" s="82"/>
      <c r="F74" s="34" t="e">
        <f t="shared" si="0"/>
        <v>#DIV/0!</v>
      </c>
      <c r="G74" s="82"/>
      <c r="H74" s="33" t="e">
        <f t="shared" si="1"/>
        <v>#DIV/0!</v>
      </c>
      <c r="I74" s="82"/>
      <c r="J74" s="33">
        <v>101325</v>
      </c>
      <c r="K74" s="65">
        <v>4.3999999999999999E-5</v>
      </c>
      <c r="L74" s="96"/>
      <c r="M74" s="82"/>
      <c r="N74" s="33" t="e">
        <f t="shared" si="2"/>
        <v>#DIV/0!</v>
      </c>
      <c r="O74" s="82"/>
      <c r="P74" s="82"/>
      <c r="Q74" s="82"/>
      <c r="R74" s="82"/>
      <c r="S74" s="100"/>
      <c r="T74" s="12"/>
      <c r="U74" s="2"/>
    </row>
    <row r="75" spans="1:21" x14ac:dyDescent="0.25">
      <c r="A75" s="2"/>
      <c r="B75" s="11"/>
      <c r="C75" s="83"/>
      <c r="D75" s="84"/>
      <c r="E75" s="82"/>
      <c r="F75" s="34" t="e">
        <f t="shared" si="0"/>
        <v>#DIV/0!</v>
      </c>
      <c r="G75" s="82"/>
      <c r="H75" s="33" t="e">
        <f t="shared" si="1"/>
        <v>#DIV/0!</v>
      </c>
      <c r="I75" s="82"/>
      <c r="J75" s="33">
        <v>101325</v>
      </c>
      <c r="K75" s="65">
        <v>4.3999999999999999E-5</v>
      </c>
      <c r="L75" s="97"/>
      <c r="M75" s="85"/>
      <c r="N75" s="33" t="e">
        <f t="shared" si="2"/>
        <v>#DIV/0!</v>
      </c>
      <c r="O75" s="85"/>
      <c r="P75" s="85"/>
      <c r="Q75" s="85"/>
      <c r="R75" s="85"/>
      <c r="S75" s="101"/>
      <c r="T75" s="12"/>
      <c r="U75" s="2"/>
    </row>
    <row r="76" spans="1:21" x14ac:dyDescent="0.25">
      <c r="A76" s="2"/>
      <c r="B76" s="11"/>
      <c r="C76" s="83"/>
      <c r="D76" s="84"/>
      <c r="E76" s="82"/>
      <c r="F76" s="34" t="e">
        <f t="shared" si="0"/>
        <v>#DIV/0!</v>
      </c>
      <c r="G76" s="82"/>
      <c r="H76" s="33" t="e">
        <f t="shared" si="1"/>
        <v>#DIV/0!</v>
      </c>
      <c r="I76" s="82"/>
      <c r="J76" s="33">
        <v>101325</v>
      </c>
      <c r="K76" s="65">
        <v>4.3999999999999999E-5</v>
      </c>
      <c r="L76" s="97"/>
      <c r="M76" s="85"/>
      <c r="N76" s="33" t="e">
        <f t="shared" si="2"/>
        <v>#DIV/0!</v>
      </c>
      <c r="O76" s="85"/>
      <c r="P76" s="85"/>
      <c r="Q76" s="85"/>
      <c r="R76" s="85"/>
      <c r="S76" s="101"/>
      <c r="T76" s="12"/>
      <c r="U76" s="2"/>
    </row>
    <row r="77" spans="1:21" x14ac:dyDescent="0.25">
      <c r="A77" s="2"/>
      <c r="B77" s="11"/>
      <c r="C77" s="83"/>
      <c r="D77" s="84"/>
      <c r="E77" s="82"/>
      <c r="F77" s="34" t="e">
        <f t="shared" si="0"/>
        <v>#DIV/0!</v>
      </c>
      <c r="G77" s="82"/>
      <c r="H77" s="33" t="e">
        <f t="shared" si="1"/>
        <v>#DIV/0!</v>
      </c>
      <c r="I77" s="82"/>
      <c r="J77" s="33">
        <v>101325</v>
      </c>
      <c r="K77" s="65">
        <v>4.3999999999999999E-5</v>
      </c>
      <c r="L77" s="97"/>
      <c r="M77" s="85"/>
      <c r="N77" s="33" t="e">
        <f t="shared" si="2"/>
        <v>#DIV/0!</v>
      </c>
      <c r="O77" s="85"/>
      <c r="P77" s="85"/>
      <c r="Q77" s="85"/>
      <c r="R77" s="85"/>
      <c r="S77" s="101"/>
      <c r="T77" s="12"/>
      <c r="U77" s="2"/>
    </row>
    <row r="78" spans="1:21" x14ac:dyDescent="0.25">
      <c r="A78" s="2"/>
      <c r="B78" s="11"/>
      <c r="C78" s="83"/>
      <c r="D78" s="84"/>
      <c r="E78" s="82"/>
      <c r="F78" s="34" t="e">
        <f t="shared" si="0"/>
        <v>#DIV/0!</v>
      </c>
      <c r="G78" s="82"/>
      <c r="H78" s="33" t="e">
        <f t="shared" si="1"/>
        <v>#DIV/0!</v>
      </c>
      <c r="I78" s="82"/>
      <c r="J78" s="33">
        <v>101325</v>
      </c>
      <c r="K78" s="65">
        <v>4.3999999999999999E-5</v>
      </c>
      <c r="L78" s="97"/>
      <c r="M78" s="85"/>
      <c r="N78" s="33" t="e">
        <f t="shared" si="2"/>
        <v>#DIV/0!</v>
      </c>
      <c r="O78" s="85"/>
      <c r="P78" s="85"/>
      <c r="Q78" s="85"/>
      <c r="R78" s="85"/>
      <c r="S78" s="101"/>
      <c r="T78" s="12"/>
      <c r="U78" s="2"/>
    </row>
    <row r="79" spans="1:21" x14ac:dyDescent="0.25">
      <c r="A79" s="2"/>
      <c r="B79" s="11"/>
      <c r="C79" s="83"/>
      <c r="D79" s="84"/>
      <c r="E79" s="82"/>
      <c r="F79" s="34" t="e">
        <f t="shared" si="0"/>
        <v>#DIV/0!</v>
      </c>
      <c r="G79" s="82"/>
      <c r="H79" s="33" t="e">
        <f t="shared" si="1"/>
        <v>#DIV/0!</v>
      </c>
      <c r="I79" s="82"/>
      <c r="J79" s="33">
        <v>101325</v>
      </c>
      <c r="K79" s="65">
        <v>4.3999999999999999E-5</v>
      </c>
      <c r="L79" s="97"/>
      <c r="M79" s="85"/>
      <c r="N79" s="33" t="e">
        <f t="shared" si="2"/>
        <v>#DIV/0!</v>
      </c>
      <c r="O79" s="85"/>
      <c r="P79" s="85"/>
      <c r="Q79" s="85"/>
      <c r="R79" s="85"/>
      <c r="S79" s="101"/>
      <c r="T79" s="12"/>
      <c r="U79" s="2"/>
    </row>
    <row r="80" spans="1:21" x14ac:dyDescent="0.25">
      <c r="A80" s="2"/>
      <c r="B80" s="11"/>
      <c r="C80" s="83"/>
      <c r="D80" s="84"/>
      <c r="E80" s="82"/>
      <c r="F80" s="34" t="e">
        <f t="shared" si="0"/>
        <v>#DIV/0!</v>
      </c>
      <c r="G80" s="82"/>
      <c r="H80" s="33" t="e">
        <f t="shared" si="1"/>
        <v>#DIV/0!</v>
      </c>
      <c r="I80" s="82"/>
      <c r="J80" s="33">
        <v>101325</v>
      </c>
      <c r="K80" s="65">
        <v>4.3999999999999999E-5</v>
      </c>
      <c r="L80" s="97"/>
      <c r="M80" s="85"/>
      <c r="N80" s="33" t="e">
        <f t="shared" si="2"/>
        <v>#DIV/0!</v>
      </c>
      <c r="O80" s="85"/>
      <c r="P80" s="85"/>
      <c r="Q80" s="85"/>
      <c r="R80" s="85"/>
      <c r="S80" s="101"/>
      <c r="T80" s="12"/>
      <c r="U80" s="2"/>
    </row>
    <row r="81" spans="1:21" ht="15.75" thickBot="1" x14ac:dyDescent="0.3">
      <c r="A81" s="2"/>
      <c r="B81" s="11"/>
      <c r="C81" s="86"/>
      <c r="D81" s="87"/>
      <c r="E81" s="89"/>
      <c r="F81" s="35" t="e">
        <f t="shared" si="0"/>
        <v>#DIV/0!</v>
      </c>
      <c r="G81" s="89"/>
      <c r="H81" s="35" t="e">
        <f t="shared" si="1"/>
        <v>#DIV/0!</v>
      </c>
      <c r="I81" s="89"/>
      <c r="J81" s="35">
        <v>101325</v>
      </c>
      <c r="K81" s="66">
        <v>4.3999999999999999E-5</v>
      </c>
      <c r="L81" s="98"/>
      <c r="M81" s="88"/>
      <c r="N81" s="66" t="e">
        <f t="shared" si="2"/>
        <v>#DIV/0!</v>
      </c>
      <c r="O81" s="88"/>
      <c r="P81" s="88"/>
      <c r="Q81" s="88"/>
      <c r="R81" s="88"/>
      <c r="S81" s="102"/>
      <c r="T81" s="12"/>
      <c r="U81" s="2"/>
    </row>
    <row r="82" spans="1:21" x14ac:dyDescent="0.25">
      <c r="A82" s="2"/>
      <c r="B82" s="11"/>
      <c r="C82" s="8"/>
      <c r="D82" s="8"/>
      <c r="E82" s="8"/>
      <c r="F82" s="8"/>
      <c r="G82" s="8"/>
      <c r="H82" s="8"/>
      <c r="I82" s="8"/>
      <c r="J82" s="8"/>
      <c r="K82" s="8"/>
      <c r="L82" s="8"/>
      <c r="M82" s="8"/>
      <c r="N82" s="8"/>
      <c r="O82" s="8"/>
      <c r="P82" s="8"/>
      <c r="Q82" s="8"/>
      <c r="R82" s="8"/>
      <c r="S82" s="8"/>
      <c r="T82" s="12"/>
      <c r="U82" s="2"/>
    </row>
    <row r="83" spans="1:21" ht="15.75" thickBot="1" x14ac:dyDescent="0.3">
      <c r="A83" s="2"/>
      <c r="B83" s="13"/>
      <c r="C83" s="24"/>
      <c r="D83" s="24"/>
      <c r="E83" s="24"/>
      <c r="F83" s="24"/>
      <c r="G83" s="24"/>
      <c r="H83" s="24"/>
      <c r="I83" s="24"/>
      <c r="J83" s="24"/>
      <c r="K83" s="24"/>
      <c r="L83" s="24"/>
      <c r="M83" s="24"/>
      <c r="N83" s="24"/>
      <c r="O83" s="24"/>
      <c r="P83" s="24"/>
      <c r="Q83" s="24"/>
      <c r="R83" s="24"/>
      <c r="S83" s="24"/>
      <c r="T83" s="16"/>
      <c r="U83" s="2"/>
    </row>
    <row r="84" spans="1:21" x14ac:dyDescent="0.25">
      <c r="A84" s="2"/>
      <c r="B84" s="2"/>
      <c r="C84" s="2"/>
      <c r="D84" s="2"/>
      <c r="E84" s="2"/>
      <c r="F84" s="2"/>
      <c r="G84" s="2"/>
      <c r="H84" s="2"/>
      <c r="I84" s="2"/>
      <c r="J84" s="2"/>
      <c r="K84" s="2"/>
      <c r="L84" s="2"/>
      <c r="M84" s="2"/>
      <c r="N84" s="2"/>
      <c r="O84" s="2"/>
      <c r="P84" s="2"/>
      <c r="Q84" s="2"/>
      <c r="R84" s="2"/>
      <c r="S84" s="2"/>
      <c r="T84" s="2"/>
      <c r="U84" s="2"/>
    </row>
    <row r="85" spans="1:21" x14ac:dyDescent="0.25">
      <c r="A85" s="2"/>
      <c r="B85" s="2"/>
      <c r="C85" s="2"/>
      <c r="D85" s="2"/>
      <c r="E85" s="2"/>
      <c r="F85" s="2"/>
      <c r="G85" s="2"/>
      <c r="H85" s="2"/>
      <c r="I85" s="2"/>
      <c r="J85" s="2"/>
      <c r="K85" s="2"/>
      <c r="L85" s="2"/>
      <c r="M85" s="2"/>
      <c r="N85" s="2"/>
      <c r="O85" s="2"/>
      <c r="P85" s="2"/>
      <c r="Q85" s="2"/>
      <c r="R85" s="2"/>
      <c r="S85" s="2"/>
      <c r="T85" s="2"/>
      <c r="U85" s="2"/>
    </row>
  </sheetData>
  <mergeCells count="17">
    <mergeCell ref="S17:S19"/>
    <mergeCell ref="M17:M19"/>
    <mergeCell ref="N17:N19"/>
    <mergeCell ref="O17:O19"/>
    <mergeCell ref="P17:P19"/>
    <mergeCell ref="R17:R19"/>
    <mergeCell ref="Q17:Q19"/>
    <mergeCell ref="C17:C19"/>
    <mergeCell ref="D17:D19"/>
    <mergeCell ref="F17:F19"/>
    <mergeCell ref="I17:I19"/>
    <mergeCell ref="L17:L19"/>
    <mergeCell ref="K17:K19"/>
    <mergeCell ref="J17:J19"/>
    <mergeCell ref="E17:E19"/>
    <mergeCell ref="G17:G19"/>
    <mergeCell ref="H17:H19"/>
  </mergeCells>
  <dataValidations count="1">
    <dataValidation type="list" allowBlank="1" showInputMessage="1" showErrorMessage="1" sqref="E20:E81" xr:uid="{2112F44B-E074-4F08-A3C3-99837E216628}">
      <formula1>"0-2 mm,2-4 mm,4-8 mm,8-16 mm,16-22 mm,&gt;22 mm"</formula1>
    </dataValidation>
  </dataValidations>
  <pageMargins left="0.7" right="0.7" top="0.75" bottom="0.75" header="0.3" footer="0.3"/>
  <ignoredErrors>
    <ignoredError sqref="F20 F21:F81 H20:H81 N20:N81"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6159" r:id="rId3" name="Button 15">
              <controlPr defaultSize="0" print="0" autoFill="0" autoPict="0" macro="[0]!Redirect_ex_post_direct_parameter_description">
                <anchor moveWithCells="1" sizeWithCells="1">
                  <from>
                    <xdr:col>5</xdr:col>
                    <xdr:colOff>628650</xdr:colOff>
                    <xdr:row>13</xdr:row>
                    <xdr:rowOff>76200</xdr:rowOff>
                  </from>
                  <to>
                    <xdr:col>8</xdr:col>
                    <xdr:colOff>171450</xdr:colOff>
                    <xdr:row>15</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2206A-2AF9-4890-9DC6-F8EDAFBA0B80}">
  <sheetPr codeName="Sheet4"/>
  <dimension ref="A1:L84"/>
  <sheetViews>
    <sheetView workbookViewId="0">
      <selection activeCell="N25" sqref="N23:N25"/>
    </sheetView>
  </sheetViews>
  <sheetFormatPr defaultRowHeight="15" x14ac:dyDescent="0.25"/>
  <cols>
    <col min="1" max="3" width="9.140625" style="1"/>
    <col min="4" max="4" width="15.140625" style="1" bestFit="1" customWidth="1"/>
    <col min="5" max="5" width="14.42578125" style="1" customWidth="1"/>
    <col min="6" max="6" width="17.42578125" style="1" customWidth="1"/>
    <col min="7" max="7" width="14.42578125" style="1" customWidth="1"/>
    <col min="8" max="8" width="13.28515625" style="1" customWidth="1"/>
    <col min="9" max="9" width="21" style="1" bestFit="1" customWidth="1"/>
    <col min="10" max="10" width="22.140625" style="1" customWidth="1"/>
    <col min="11" max="11" width="9.140625" style="1" customWidth="1"/>
    <col min="12" max="16384" width="9.140625" style="1"/>
  </cols>
  <sheetData>
    <row r="1" spans="1:12" x14ac:dyDescent="0.25">
      <c r="A1" s="2"/>
      <c r="B1" s="2"/>
      <c r="C1" s="2"/>
      <c r="D1" s="2"/>
      <c r="E1" s="2"/>
      <c r="F1" s="2"/>
      <c r="G1" s="2"/>
      <c r="H1" s="2"/>
      <c r="I1" s="2"/>
      <c r="J1" s="2"/>
      <c r="K1" s="2"/>
      <c r="L1" s="2"/>
    </row>
    <row r="2" spans="1:12" x14ac:dyDescent="0.25">
      <c r="A2" s="2"/>
      <c r="B2" s="2"/>
      <c r="C2" s="2"/>
      <c r="D2" s="2"/>
      <c r="E2" s="2"/>
      <c r="F2" s="2"/>
      <c r="G2" s="2"/>
      <c r="H2" s="2"/>
      <c r="I2" s="2"/>
      <c r="J2" s="2"/>
      <c r="K2" s="2"/>
      <c r="L2" s="2"/>
    </row>
    <row r="3" spans="1:12" x14ac:dyDescent="0.25">
      <c r="A3" s="2"/>
      <c r="B3" s="2"/>
      <c r="C3" s="2"/>
      <c r="D3" s="2"/>
      <c r="E3" s="2"/>
      <c r="F3" s="2"/>
      <c r="G3" s="2"/>
      <c r="H3" s="2"/>
      <c r="I3" s="2"/>
      <c r="J3" s="2"/>
      <c r="K3" s="2"/>
      <c r="L3" s="2"/>
    </row>
    <row r="4" spans="1:12" x14ac:dyDescent="0.25">
      <c r="A4" s="2"/>
      <c r="B4" s="2"/>
      <c r="C4" s="2"/>
      <c r="D4" s="2"/>
      <c r="E4" s="2"/>
      <c r="F4" s="2"/>
      <c r="G4" s="2"/>
      <c r="H4" s="2"/>
      <c r="I4" s="2"/>
      <c r="J4" s="2"/>
      <c r="K4" s="2"/>
      <c r="L4" s="2"/>
    </row>
    <row r="5" spans="1:12" ht="15.75" thickBot="1" x14ac:dyDescent="0.3">
      <c r="A5" s="2"/>
      <c r="B5" s="2"/>
      <c r="C5" s="2"/>
      <c r="D5" s="2"/>
      <c r="E5" s="2"/>
      <c r="F5" s="2"/>
      <c r="G5" s="2"/>
      <c r="H5" s="2"/>
      <c r="I5" s="2"/>
      <c r="J5" s="2"/>
      <c r="K5" s="2"/>
      <c r="L5" s="2"/>
    </row>
    <row r="6" spans="1:12" x14ac:dyDescent="0.25">
      <c r="A6" s="2"/>
      <c r="B6" s="36"/>
      <c r="C6" s="37"/>
      <c r="D6" s="37"/>
      <c r="E6" s="37"/>
      <c r="F6" s="37"/>
      <c r="G6" s="37"/>
      <c r="H6" s="37"/>
      <c r="I6" s="37"/>
      <c r="J6" s="37"/>
      <c r="K6" s="38"/>
      <c r="L6" s="2"/>
    </row>
    <row r="7" spans="1:12" x14ac:dyDescent="0.25">
      <c r="A7" s="2"/>
      <c r="B7" s="11"/>
      <c r="C7" s="8"/>
      <c r="D7" s="8"/>
      <c r="E7" s="8"/>
      <c r="F7" s="8"/>
      <c r="G7" s="8"/>
      <c r="H7" s="8"/>
      <c r="I7" s="8"/>
      <c r="J7" s="8"/>
      <c r="K7" s="12"/>
      <c r="L7" s="2"/>
    </row>
    <row r="8" spans="1:12" ht="18.75" x14ac:dyDescent="0.3">
      <c r="A8" s="2"/>
      <c r="B8" s="11"/>
      <c r="C8" s="40" t="s">
        <v>102</v>
      </c>
      <c r="D8" s="8"/>
      <c r="E8" s="8"/>
      <c r="F8" s="8"/>
      <c r="G8" s="8"/>
      <c r="H8" s="8"/>
      <c r="I8" s="94">
        <v>2022</v>
      </c>
      <c r="J8" s="8"/>
      <c r="K8" s="12"/>
      <c r="L8" s="2"/>
    </row>
    <row r="9" spans="1:12" x14ac:dyDescent="0.25">
      <c r="A9" s="2"/>
      <c r="B9" s="11"/>
      <c r="C9" s="23"/>
      <c r="D9" s="8"/>
      <c r="E9" s="8"/>
      <c r="F9" s="8"/>
      <c r="G9" s="8"/>
      <c r="H9" s="8"/>
      <c r="I9" s="8"/>
      <c r="J9" s="8"/>
      <c r="K9" s="12"/>
      <c r="L9" s="2"/>
    </row>
    <row r="10" spans="1:12" x14ac:dyDescent="0.25">
      <c r="A10" s="2"/>
      <c r="B10" s="11"/>
      <c r="C10" s="23" t="s">
        <v>62</v>
      </c>
      <c r="D10" s="23"/>
      <c r="E10" s="8"/>
      <c r="F10" s="8"/>
      <c r="G10" s="8"/>
      <c r="H10" s="8"/>
      <c r="I10" s="8"/>
      <c r="J10" s="8"/>
      <c r="K10" s="12"/>
      <c r="L10" s="2"/>
    </row>
    <row r="11" spans="1:12" ht="15.75" thickBot="1" x14ac:dyDescent="0.3">
      <c r="A11" s="2"/>
      <c r="B11" s="11"/>
      <c r="C11" s="23"/>
      <c r="D11" s="23"/>
      <c r="E11" s="8"/>
      <c r="F11" s="23"/>
      <c r="G11" s="8"/>
      <c r="H11" s="8"/>
      <c r="I11" s="8"/>
      <c r="J11" s="8"/>
      <c r="K11" s="12"/>
      <c r="L11" s="2"/>
    </row>
    <row r="12" spans="1:12" ht="19.5" thickTop="1" thickBot="1" x14ac:dyDescent="0.4">
      <c r="A12" s="2"/>
      <c r="B12" s="11"/>
      <c r="C12" s="23"/>
      <c r="D12" s="31" t="s">
        <v>67</v>
      </c>
      <c r="E12" s="31">
        <f>SUMIF(C19:C80,I8,I19:I80)</f>
        <v>0</v>
      </c>
      <c r="F12" s="8"/>
      <c r="G12" s="8"/>
      <c r="H12" s="8"/>
      <c r="I12" s="8"/>
      <c r="J12" s="8"/>
      <c r="K12" s="12"/>
      <c r="L12" s="2"/>
    </row>
    <row r="13" spans="1:12" ht="15.75" thickTop="1" x14ac:dyDescent="0.25">
      <c r="A13" s="2"/>
      <c r="B13" s="11"/>
      <c r="C13" s="23"/>
      <c r="D13" s="23"/>
      <c r="E13" s="8"/>
      <c r="F13" s="23"/>
      <c r="G13" s="8"/>
      <c r="H13" s="8"/>
      <c r="I13" s="8"/>
      <c r="J13" s="8"/>
      <c r="K13" s="12"/>
      <c r="L13" s="2"/>
    </row>
    <row r="14" spans="1:12" x14ac:dyDescent="0.25">
      <c r="A14" s="2"/>
      <c r="B14" s="11"/>
      <c r="C14" s="30"/>
      <c r="D14" s="39" t="s">
        <v>103</v>
      </c>
      <c r="E14" s="8"/>
      <c r="F14" s="8"/>
      <c r="G14" s="8"/>
      <c r="H14" s="8"/>
      <c r="I14" s="8"/>
      <c r="J14" s="8"/>
      <c r="K14" s="12"/>
      <c r="L14" s="2"/>
    </row>
    <row r="15" spans="1:12" ht="15.75" thickBot="1" x14ac:dyDescent="0.3">
      <c r="A15" s="2"/>
      <c r="B15" s="11"/>
      <c r="C15" s="8"/>
      <c r="D15" s="8"/>
      <c r="E15" s="24"/>
      <c r="F15" s="8"/>
      <c r="G15" s="24"/>
      <c r="H15" s="24"/>
      <c r="I15" s="24"/>
      <c r="J15" s="8"/>
      <c r="K15" s="12"/>
      <c r="L15" s="2"/>
    </row>
    <row r="16" spans="1:12" x14ac:dyDescent="0.25">
      <c r="A16" s="2"/>
      <c r="B16" s="11"/>
      <c r="C16" s="159" t="s">
        <v>104</v>
      </c>
      <c r="D16" s="162" t="s">
        <v>105</v>
      </c>
      <c r="E16" s="157" t="s">
        <v>107</v>
      </c>
      <c r="F16" s="166" t="s">
        <v>117</v>
      </c>
      <c r="G16" s="167" t="s">
        <v>120</v>
      </c>
      <c r="H16" s="167" t="s">
        <v>118</v>
      </c>
      <c r="I16" s="166" t="s">
        <v>119</v>
      </c>
      <c r="J16" s="154" t="s">
        <v>110</v>
      </c>
      <c r="K16" s="12"/>
      <c r="L16" s="2"/>
    </row>
    <row r="17" spans="1:12" x14ac:dyDescent="0.25">
      <c r="A17" s="2"/>
      <c r="B17" s="11"/>
      <c r="C17" s="160"/>
      <c r="D17" s="157"/>
      <c r="E17" s="157"/>
      <c r="F17" s="167"/>
      <c r="G17" s="167"/>
      <c r="H17" s="167"/>
      <c r="I17" s="167"/>
      <c r="J17" s="155"/>
      <c r="K17" s="12"/>
      <c r="L17" s="2"/>
    </row>
    <row r="18" spans="1:12" ht="15.75" thickBot="1" x14ac:dyDescent="0.3">
      <c r="A18" s="2"/>
      <c r="B18" s="11"/>
      <c r="C18" s="161"/>
      <c r="D18" s="158"/>
      <c r="E18" s="158"/>
      <c r="F18" s="168"/>
      <c r="G18" s="168"/>
      <c r="H18" s="168"/>
      <c r="I18" s="168"/>
      <c r="J18" s="156"/>
      <c r="K18" s="12"/>
      <c r="L18" s="2"/>
    </row>
    <row r="19" spans="1:12" x14ac:dyDescent="0.25">
      <c r="A19" s="2"/>
      <c r="B19" s="11"/>
      <c r="C19" s="76">
        <v>2021</v>
      </c>
      <c r="D19" s="77" t="s">
        <v>111</v>
      </c>
      <c r="E19" s="79" t="s">
        <v>112</v>
      </c>
      <c r="F19" s="32">
        <f>G19</f>
        <v>0</v>
      </c>
      <c r="G19" s="79">
        <v>0</v>
      </c>
      <c r="H19" s="79">
        <v>0</v>
      </c>
      <c r="I19" s="32">
        <f>H19-F19</f>
        <v>0</v>
      </c>
      <c r="J19" s="90" t="s">
        <v>128</v>
      </c>
      <c r="K19" s="12"/>
      <c r="L19" s="2"/>
    </row>
    <row r="20" spans="1:12" x14ac:dyDescent="0.25">
      <c r="A20" s="2"/>
      <c r="B20" s="11"/>
      <c r="C20" s="80">
        <v>2021</v>
      </c>
      <c r="D20" s="81" t="s">
        <v>114</v>
      </c>
      <c r="E20" s="82" t="s">
        <v>115</v>
      </c>
      <c r="F20" s="32">
        <f t="shared" ref="F20:F80" si="0">G20</f>
        <v>0</v>
      </c>
      <c r="G20" s="82"/>
      <c r="H20" s="79"/>
      <c r="I20" s="32">
        <f t="shared" ref="I20:I80" si="1">H20-F20</f>
        <v>0</v>
      </c>
      <c r="J20" s="91" t="s">
        <v>128</v>
      </c>
      <c r="K20" s="12"/>
      <c r="L20" s="2"/>
    </row>
    <row r="21" spans="1:12" x14ac:dyDescent="0.25">
      <c r="A21" s="2"/>
      <c r="B21" s="11"/>
      <c r="C21" s="80">
        <v>2022</v>
      </c>
      <c r="D21" s="81" t="s">
        <v>111</v>
      </c>
      <c r="E21" s="82" t="s">
        <v>112</v>
      </c>
      <c r="F21" s="32">
        <f t="shared" si="0"/>
        <v>0</v>
      </c>
      <c r="G21" s="82"/>
      <c r="H21" s="79"/>
      <c r="I21" s="32">
        <f t="shared" si="1"/>
        <v>0</v>
      </c>
      <c r="J21" s="91" t="s">
        <v>128</v>
      </c>
      <c r="K21" s="12"/>
      <c r="L21" s="2"/>
    </row>
    <row r="22" spans="1:12" x14ac:dyDescent="0.25">
      <c r="A22" s="2"/>
      <c r="B22" s="11"/>
      <c r="C22" s="80">
        <v>2022</v>
      </c>
      <c r="D22" s="81" t="s">
        <v>114</v>
      </c>
      <c r="E22" s="82" t="s">
        <v>115</v>
      </c>
      <c r="F22" s="32">
        <f t="shared" si="0"/>
        <v>0</v>
      </c>
      <c r="G22" s="82"/>
      <c r="H22" s="79"/>
      <c r="I22" s="32">
        <f t="shared" si="1"/>
        <v>0</v>
      </c>
      <c r="J22" s="91" t="s">
        <v>128</v>
      </c>
      <c r="K22" s="12"/>
      <c r="L22" s="2"/>
    </row>
    <row r="23" spans="1:12" x14ac:dyDescent="0.25">
      <c r="A23" s="2"/>
      <c r="B23" s="11"/>
      <c r="C23" s="80">
        <v>2023</v>
      </c>
      <c r="D23" s="81" t="s">
        <v>111</v>
      </c>
      <c r="E23" s="82" t="s">
        <v>112</v>
      </c>
      <c r="F23" s="32">
        <f t="shared" si="0"/>
        <v>0</v>
      </c>
      <c r="G23" s="82"/>
      <c r="H23" s="79"/>
      <c r="I23" s="32">
        <f t="shared" si="1"/>
        <v>0</v>
      </c>
      <c r="J23" s="91" t="s">
        <v>128</v>
      </c>
      <c r="K23" s="12"/>
      <c r="L23" s="2"/>
    </row>
    <row r="24" spans="1:12" x14ac:dyDescent="0.25">
      <c r="A24" s="2"/>
      <c r="B24" s="11"/>
      <c r="C24" s="80">
        <v>2023</v>
      </c>
      <c r="D24" s="81" t="s">
        <v>114</v>
      </c>
      <c r="E24" s="82" t="s">
        <v>115</v>
      </c>
      <c r="F24" s="32">
        <f t="shared" si="0"/>
        <v>0</v>
      </c>
      <c r="G24" s="82"/>
      <c r="H24" s="79"/>
      <c r="I24" s="32">
        <f t="shared" si="1"/>
        <v>0</v>
      </c>
      <c r="J24" s="91" t="s">
        <v>128</v>
      </c>
      <c r="K24" s="12"/>
      <c r="L24" s="2"/>
    </row>
    <row r="25" spans="1:12" x14ac:dyDescent="0.25">
      <c r="A25" s="2"/>
      <c r="B25" s="11"/>
      <c r="C25" s="80">
        <v>2024</v>
      </c>
      <c r="D25" s="81" t="s">
        <v>111</v>
      </c>
      <c r="E25" s="82" t="s">
        <v>112</v>
      </c>
      <c r="F25" s="32">
        <f t="shared" si="0"/>
        <v>0</v>
      </c>
      <c r="G25" s="82"/>
      <c r="H25" s="79"/>
      <c r="I25" s="32">
        <f t="shared" si="1"/>
        <v>0</v>
      </c>
      <c r="J25" s="91" t="s">
        <v>128</v>
      </c>
      <c r="K25" s="12"/>
      <c r="L25" s="2"/>
    </row>
    <row r="26" spans="1:12" x14ac:dyDescent="0.25">
      <c r="A26" s="2"/>
      <c r="B26" s="11"/>
      <c r="C26" s="80">
        <v>2024</v>
      </c>
      <c r="D26" s="81" t="s">
        <v>114</v>
      </c>
      <c r="E26" s="82" t="s">
        <v>115</v>
      </c>
      <c r="F26" s="32">
        <f t="shared" si="0"/>
        <v>0</v>
      </c>
      <c r="G26" s="82"/>
      <c r="H26" s="79"/>
      <c r="I26" s="32">
        <f t="shared" si="1"/>
        <v>0</v>
      </c>
      <c r="J26" s="91" t="s">
        <v>128</v>
      </c>
      <c r="K26" s="12"/>
      <c r="L26" s="2"/>
    </row>
    <row r="27" spans="1:12" x14ac:dyDescent="0.25">
      <c r="A27" s="2"/>
      <c r="B27" s="11"/>
      <c r="C27" s="80"/>
      <c r="D27" s="81"/>
      <c r="E27" s="82"/>
      <c r="F27" s="32">
        <f t="shared" si="0"/>
        <v>0</v>
      </c>
      <c r="G27" s="82"/>
      <c r="H27" s="79"/>
      <c r="I27" s="32">
        <f t="shared" si="1"/>
        <v>0</v>
      </c>
      <c r="J27" s="91"/>
      <c r="K27" s="12"/>
      <c r="L27" s="2"/>
    </row>
    <row r="28" spans="1:12" x14ac:dyDescent="0.25">
      <c r="A28" s="2"/>
      <c r="B28" s="11"/>
      <c r="C28" s="80"/>
      <c r="D28" s="81"/>
      <c r="E28" s="82"/>
      <c r="F28" s="32">
        <f t="shared" si="0"/>
        <v>0</v>
      </c>
      <c r="G28" s="82"/>
      <c r="H28" s="79"/>
      <c r="I28" s="32">
        <f t="shared" si="1"/>
        <v>0</v>
      </c>
      <c r="J28" s="91"/>
      <c r="K28" s="12"/>
      <c r="L28" s="2"/>
    </row>
    <row r="29" spans="1:12" x14ac:dyDescent="0.25">
      <c r="A29" s="2"/>
      <c r="B29" s="11"/>
      <c r="C29" s="80"/>
      <c r="D29" s="81"/>
      <c r="E29" s="82"/>
      <c r="F29" s="32">
        <f t="shared" si="0"/>
        <v>0</v>
      </c>
      <c r="G29" s="82"/>
      <c r="H29" s="79"/>
      <c r="I29" s="32">
        <f t="shared" si="1"/>
        <v>0</v>
      </c>
      <c r="J29" s="91"/>
      <c r="K29" s="12"/>
      <c r="L29" s="2"/>
    </row>
    <row r="30" spans="1:12" x14ac:dyDescent="0.25">
      <c r="A30" s="2"/>
      <c r="B30" s="11"/>
      <c r="C30" s="80"/>
      <c r="D30" s="81"/>
      <c r="E30" s="82"/>
      <c r="F30" s="32">
        <f t="shared" si="0"/>
        <v>0</v>
      </c>
      <c r="G30" s="82"/>
      <c r="H30" s="79"/>
      <c r="I30" s="32">
        <f t="shared" si="1"/>
        <v>0</v>
      </c>
      <c r="J30" s="91"/>
      <c r="K30" s="12"/>
      <c r="L30" s="2"/>
    </row>
    <row r="31" spans="1:12" x14ac:dyDescent="0.25">
      <c r="A31" s="2"/>
      <c r="B31" s="11"/>
      <c r="C31" s="80"/>
      <c r="D31" s="81"/>
      <c r="E31" s="82"/>
      <c r="F31" s="32">
        <f t="shared" si="0"/>
        <v>0</v>
      </c>
      <c r="G31" s="82"/>
      <c r="H31" s="79"/>
      <c r="I31" s="32">
        <f t="shared" si="1"/>
        <v>0</v>
      </c>
      <c r="J31" s="91"/>
      <c r="K31" s="12"/>
      <c r="L31" s="2"/>
    </row>
    <row r="32" spans="1:12" x14ac:dyDescent="0.25">
      <c r="A32" s="2"/>
      <c r="B32" s="11"/>
      <c r="C32" s="80"/>
      <c r="D32" s="81"/>
      <c r="E32" s="82"/>
      <c r="F32" s="32">
        <f t="shared" si="0"/>
        <v>0</v>
      </c>
      <c r="G32" s="82"/>
      <c r="H32" s="79"/>
      <c r="I32" s="32">
        <f t="shared" si="1"/>
        <v>0</v>
      </c>
      <c r="J32" s="91"/>
      <c r="K32" s="12"/>
      <c r="L32" s="2"/>
    </row>
    <row r="33" spans="1:12" x14ac:dyDescent="0.25">
      <c r="A33" s="2"/>
      <c r="B33" s="11"/>
      <c r="C33" s="80"/>
      <c r="D33" s="81"/>
      <c r="E33" s="82"/>
      <c r="F33" s="32">
        <f t="shared" si="0"/>
        <v>0</v>
      </c>
      <c r="G33" s="82"/>
      <c r="H33" s="79"/>
      <c r="I33" s="32">
        <f t="shared" si="1"/>
        <v>0</v>
      </c>
      <c r="J33" s="91"/>
      <c r="K33" s="12"/>
      <c r="L33" s="2"/>
    </row>
    <row r="34" spans="1:12" x14ac:dyDescent="0.25">
      <c r="A34" s="2"/>
      <c r="B34" s="11"/>
      <c r="C34" s="80"/>
      <c r="D34" s="81"/>
      <c r="E34" s="82"/>
      <c r="F34" s="32">
        <f t="shared" si="0"/>
        <v>0</v>
      </c>
      <c r="G34" s="82"/>
      <c r="H34" s="79"/>
      <c r="I34" s="32">
        <f t="shared" si="1"/>
        <v>0</v>
      </c>
      <c r="J34" s="91"/>
      <c r="K34" s="12"/>
      <c r="L34" s="2"/>
    </row>
    <row r="35" spans="1:12" x14ac:dyDescent="0.25">
      <c r="A35" s="2"/>
      <c r="B35" s="11"/>
      <c r="C35" s="80"/>
      <c r="D35" s="81"/>
      <c r="E35" s="82"/>
      <c r="F35" s="32">
        <f t="shared" si="0"/>
        <v>0</v>
      </c>
      <c r="G35" s="82"/>
      <c r="H35" s="79"/>
      <c r="I35" s="32">
        <f t="shared" si="1"/>
        <v>0</v>
      </c>
      <c r="J35" s="91"/>
      <c r="K35" s="12"/>
      <c r="L35" s="2"/>
    </row>
    <row r="36" spans="1:12" x14ac:dyDescent="0.25">
      <c r="A36" s="2"/>
      <c r="B36" s="11"/>
      <c r="C36" s="80"/>
      <c r="D36" s="81"/>
      <c r="E36" s="82"/>
      <c r="F36" s="32">
        <f t="shared" si="0"/>
        <v>0</v>
      </c>
      <c r="G36" s="82"/>
      <c r="H36" s="79"/>
      <c r="I36" s="32">
        <f t="shared" si="1"/>
        <v>0</v>
      </c>
      <c r="J36" s="91"/>
      <c r="K36" s="12"/>
      <c r="L36" s="2"/>
    </row>
    <row r="37" spans="1:12" x14ac:dyDescent="0.25">
      <c r="A37" s="2"/>
      <c r="B37" s="11"/>
      <c r="C37" s="80"/>
      <c r="D37" s="81"/>
      <c r="E37" s="82"/>
      <c r="F37" s="32">
        <f t="shared" si="0"/>
        <v>0</v>
      </c>
      <c r="G37" s="82"/>
      <c r="H37" s="79"/>
      <c r="I37" s="32">
        <f t="shared" si="1"/>
        <v>0</v>
      </c>
      <c r="J37" s="91"/>
      <c r="K37" s="12"/>
      <c r="L37" s="2"/>
    </row>
    <row r="38" spans="1:12" x14ac:dyDescent="0.25">
      <c r="A38" s="2"/>
      <c r="B38" s="11"/>
      <c r="C38" s="80"/>
      <c r="D38" s="81"/>
      <c r="E38" s="82"/>
      <c r="F38" s="32">
        <f t="shared" si="0"/>
        <v>0</v>
      </c>
      <c r="G38" s="82"/>
      <c r="H38" s="79"/>
      <c r="I38" s="32">
        <f t="shared" si="1"/>
        <v>0</v>
      </c>
      <c r="J38" s="91"/>
      <c r="K38" s="12"/>
      <c r="L38" s="2"/>
    </row>
    <row r="39" spans="1:12" x14ac:dyDescent="0.25">
      <c r="A39" s="2"/>
      <c r="B39" s="11"/>
      <c r="C39" s="80"/>
      <c r="D39" s="81"/>
      <c r="E39" s="82"/>
      <c r="F39" s="32">
        <f t="shared" si="0"/>
        <v>0</v>
      </c>
      <c r="G39" s="82"/>
      <c r="H39" s="79"/>
      <c r="I39" s="32">
        <f t="shared" si="1"/>
        <v>0</v>
      </c>
      <c r="J39" s="91"/>
      <c r="K39" s="12"/>
      <c r="L39" s="2"/>
    </row>
    <row r="40" spans="1:12" x14ac:dyDescent="0.25">
      <c r="A40" s="2"/>
      <c r="B40" s="11"/>
      <c r="C40" s="80"/>
      <c r="D40" s="81"/>
      <c r="E40" s="82"/>
      <c r="F40" s="32">
        <f t="shared" si="0"/>
        <v>0</v>
      </c>
      <c r="G40" s="82"/>
      <c r="H40" s="79"/>
      <c r="I40" s="32">
        <f t="shared" si="1"/>
        <v>0</v>
      </c>
      <c r="J40" s="91"/>
      <c r="K40" s="12"/>
      <c r="L40" s="2"/>
    </row>
    <row r="41" spans="1:12" x14ac:dyDescent="0.25">
      <c r="A41" s="2"/>
      <c r="B41" s="11"/>
      <c r="C41" s="80"/>
      <c r="D41" s="81"/>
      <c r="E41" s="82"/>
      <c r="F41" s="32">
        <f t="shared" si="0"/>
        <v>0</v>
      </c>
      <c r="G41" s="82"/>
      <c r="H41" s="79"/>
      <c r="I41" s="32">
        <f t="shared" si="1"/>
        <v>0</v>
      </c>
      <c r="J41" s="91"/>
      <c r="K41" s="12"/>
      <c r="L41" s="2"/>
    </row>
    <row r="42" spans="1:12" x14ac:dyDescent="0.25">
      <c r="A42" s="2"/>
      <c r="B42" s="11"/>
      <c r="C42" s="80"/>
      <c r="D42" s="81"/>
      <c r="E42" s="82"/>
      <c r="F42" s="32">
        <f t="shared" si="0"/>
        <v>0</v>
      </c>
      <c r="G42" s="82"/>
      <c r="H42" s="79"/>
      <c r="I42" s="32">
        <f t="shared" si="1"/>
        <v>0</v>
      </c>
      <c r="J42" s="91"/>
      <c r="K42" s="12"/>
      <c r="L42" s="2"/>
    </row>
    <row r="43" spans="1:12" x14ac:dyDescent="0.25">
      <c r="A43" s="2"/>
      <c r="B43" s="11"/>
      <c r="C43" s="80"/>
      <c r="D43" s="81"/>
      <c r="E43" s="82"/>
      <c r="F43" s="32">
        <f t="shared" si="0"/>
        <v>0</v>
      </c>
      <c r="G43" s="82"/>
      <c r="H43" s="79"/>
      <c r="I43" s="32">
        <f t="shared" si="1"/>
        <v>0</v>
      </c>
      <c r="J43" s="91"/>
      <c r="K43" s="12"/>
      <c r="L43" s="2"/>
    </row>
    <row r="44" spans="1:12" x14ac:dyDescent="0.25">
      <c r="A44" s="2"/>
      <c r="B44" s="11"/>
      <c r="C44" s="80"/>
      <c r="D44" s="81"/>
      <c r="E44" s="82"/>
      <c r="F44" s="32">
        <f t="shared" si="0"/>
        <v>0</v>
      </c>
      <c r="G44" s="82"/>
      <c r="H44" s="79"/>
      <c r="I44" s="32">
        <f t="shared" si="1"/>
        <v>0</v>
      </c>
      <c r="J44" s="91"/>
      <c r="K44" s="12"/>
      <c r="L44" s="2"/>
    </row>
    <row r="45" spans="1:12" x14ac:dyDescent="0.25">
      <c r="A45" s="2"/>
      <c r="B45" s="11"/>
      <c r="C45" s="80"/>
      <c r="D45" s="81"/>
      <c r="E45" s="82"/>
      <c r="F45" s="32">
        <f t="shared" si="0"/>
        <v>0</v>
      </c>
      <c r="G45" s="82"/>
      <c r="H45" s="79"/>
      <c r="I45" s="32">
        <f t="shared" si="1"/>
        <v>0</v>
      </c>
      <c r="J45" s="91"/>
      <c r="K45" s="12"/>
      <c r="L45" s="2"/>
    </row>
    <row r="46" spans="1:12" x14ac:dyDescent="0.25">
      <c r="A46" s="2"/>
      <c r="B46" s="11"/>
      <c r="C46" s="80"/>
      <c r="D46" s="81"/>
      <c r="E46" s="82"/>
      <c r="F46" s="32">
        <f t="shared" si="0"/>
        <v>0</v>
      </c>
      <c r="G46" s="82"/>
      <c r="H46" s="79"/>
      <c r="I46" s="32">
        <f t="shared" si="1"/>
        <v>0</v>
      </c>
      <c r="J46" s="91"/>
      <c r="K46" s="12"/>
      <c r="L46" s="2"/>
    </row>
    <row r="47" spans="1:12" x14ac:dyDescent="0.25">
      <c r="A47" s="2"/>
      <c r="B47" s="11"/>
      <c r="C47" s="80"/>
      <c r="D47" s="81"/>
      <c r="E47" s="82"/>
      <c r="F47" s="32">
        <f t="shared" si="0"/>
        <v>0</v>
      </c>
      <c r="G47" s="82"/>
      <c r="H47" s="79"/>
      <c r="I47" s="32">
        <f t="shared" si="1"/>
        <v>0</v>
      </c>
      <c r="J47" s="91"/>
      <c r="K47" s="12"/>
      <c r="L47" s="2"/>
    </row>
    <row r="48" spans="1:12" x14ac:dyDescent="0.25">
      <c r="A48" s="2"/>
      <c r="B48" s="11"/>
      <c r="C48" s="80"/>
      <c r="D48" s="81"/>
      <c r="E48" s="82"/>
      <c r="F48" s="32">
        <f t="shared" si="0"/>
        <v>0</v>
      </c>
      <c r="G48" s="82"/>
      <c r="H48" s="79"/>
      <c r="I48" s="32">
        <f t="shared" si="1"/>
        <v>0</v>
      </c>
      <c r="J48" s="91"/>
      <c r="K48" s="12"/>
      <c r="L48" s="2"/>
    </row>
    <row r="49" spans="1:12" x14ac:dyDescent="0.25">
      <c r="A49" s="2"/>
      <c r="B49" s="11"/>
      <c r="C49" s="80"/>
      <c r="D49" s="81"/>
      <c r="E49" s="82"/>
      <c r="F49" s="32">
        <f t="shared" si="0"/>
        <v>0</v>
      </c>
      <c r="G49" s="82"/>
      <c r="H49" s="79"/>
      <c r="I49" s="32">
        <f t="shared" si="1"/>
        <v>0</v>
      </c>
      <c r="J49" s="91"/>
      <c r="K49" s="12"/>
      <c r="L49" s="2"/>
    </row>
    <row r="50" spans="1:12" x14ac:dyDescent="0.25">
      <c r="A50" s="2"/>
      <c r="B50" s="11"/>
      <c r="C50" s="80"/>
      <c r="D50" s="81"/>
      <c r="E50" s="82"/>
      <c r="F50" s="32">
        <f t="shared" si="0"/>
        <v>0</v>
      </c>
      <c r="G50" s="82"/>
      <c r="H50" s="79"/>
      <c r="I50" s="32">
        <f t="shared" si="1"/>
        <v>0</v>
      </c>
      <c r="J50" s="91"/>
      <c r="K50" s="12"/>
      <c r="L50" s="2"/>
    </row>
    <row r="51" spans="1:12" x14ac:dyDescent="0.25">
      <c r="A51" s="2"/>
      <c r="B51" s="11"/>
      <c r="C51" s="80"/>
      <c r="D51" s="81"/>
      <c r="E51" s="82"/>
      <c r="F51" s="32">
        <f t="shared" si="0"/>
        <v>0</v>
      </c>
      <c r="G51" s="82"/>
      <c r="H51" s="79"/>
      <c r="I51" s="32">
        <f t="shared" si="1"/>
        <v>0</v>
      </c>
      <c r="J51" s="91"/>
      <c r="K51" s="12"/>
      <c r="L51" s="2"/>
    </row>
    <row r="52" spans="1:12" x14ac:dyDescent="0.25">
      <c r="A52" s="2"/>
      <c r="B52" s="11"/>
      <c r="C52" s="80"/>
      <c r="D52" s="81"/>
      <c r="E52" s="82"/>
      <c r="F52" s="32">
        <f t="shared" si="0"/>
        <v>0</v>
      </c>
      <c r="G52" s="82"/>
      <c r="H52" s="79"/>
      <c r="I52" s="32">
        <f t="shared" si="1"/>
        <v>0</v>
      </c>
      <c r="J52" s="91"/>
      <c r="K52" s="12"/>
      <c r="L52" s="2"/>
    </row>
    <row r="53" spans="1:12" x14ac:dyDescent="0.25">
      <c r="A53" s="2"/>
      <c r="B53" s="11"/>
      <c r="C53" s="80"/>
      <c r="D53" s="81"/>
      <c r="E53" s="82"/>
      <c r="F53" s="32">
        <f t="shared" si="0"/>
        <v>0</v>
      </c>
      <c r="G53" s="82"/>
      <c r="H53" s="79"/>
      <c r="I53" s="32">
        <f t="shared" si="1"/>
        <v>0</v>
      </c>
      <c r="J53" s="91"/>
      <c r="K53" s="12"/>
      <c r="L53" s="2"/>
    </row>
    <row r="54" spans="1:12" x14ac:dyDescent="0.25">
      <c r="A54" s="2"/>
      <c r="B54" s="11"/>
      <c r="C54" s="80"/>
      <c r="D54" s="81"/>
      <c r="E54" s="82"/>
      <c r="F54" s="32">
        <f t="shared" si="0"/>
        <v>0</v>
      </c>
      <c r="G54" s="82"/>
      <c r="H54" s="79"/>
      <c r="I54" s="32">
        <f t="shared" si="1"/>
        <v>0</v>
      </c>
      <c r="J54" s="91"/>
      <c r="K54" s="12"/>
      <c r="L54" s="2"/>
    </row>
    <row r="55" spans="1:12" x14ac:dyDescent="0.25">
      <c r="A55" s="2"/>
      <c r="B55" s="11"/>
      <c r="C55" s="80"/>
      <c r="D55" s="81"/>
      <c r="E55" s="82"/>
      <c r="F55" s="32">
        <f t="shared" si="0"/>
        <v>0</v>
      </c>
      <c r="G55" s="82"/>
      <c r="H55" s="79"/>
      <c r="I55" s="32">
        <f t="shared" si="1"/>
        <v>0</v>
      </c>
      <c r="J55" s="91"/>
      <c r="K55" s="12"/>
      <c r="L55" s="2"/>
    </row>
    <row r="56" spans="1:12" x14ac:dyDescent="0.25">
      <c r="A56" s="2"/>
      <c r="B56" s="11"/>
      <c r="C56" s="80"/>
      <c r="D56" s="81"/>
      <c r="E56" s="82"/>
      <c r="F56" s="32">
        <f t="shared" si="0"/>
        <v>0</v>
      </c>
      <c r="G56" s="82"/>
      <c r="H56" s="79"/>
      <c r="I56" s="32">
        <f t="shared" si="1"/>
        <v>0</v>
      </c>
      <c r="J56" s="91"/>
      <c r="K56" s="12"/>
      <c r="L56" s="2"/>
    </row>
    <row r="57" spans="1:12" x14ac:dyDescent="0.25">
      <c r="A57" s="2"/>
      <c r="B57" s="11"/>
      <c r="C57" s="80"/>
      <c r="D57" s="81"/>
      <c r="E57" s="82"/>
      <c r="F57" s="32">
        <f t="shared" si="0"/>
        <v>0</v>
      </c>
      <c r="G57" s="82"/>
      <c r="H57" s="79"/>
      <c r="I57" s="32">
        <f t="shared" si="1"/>
        <v>0</v>
      </c>
      <c r="J57" s="91"/>
      <c r="K57" s="12"/>
      <c r="L57" s="2"/>
    </row>
    <row r="58" spans="1:12" x14ac:dyDescent="0.25">
      <c r="A58" s="2"/>
      <c r="B58" s="11"/>
      <c r="C58" s="80"/>
      <c r="D58" s="81"/>
      <c r="E58" s="82"/>
      <c r="F58" s="32">
        <f t="shared" si="0"/>
        <v>0</v>
      </c>
      <c r="G58" s="82"/>
      <c r="H58" s="79"/>
      <c r="I58" s="32">
        <f t="shared" si="1"/>
        <v>0</v>
      </c>
      <c r="J58" s="91"/>
      <c r="K58" s="12"/>
      <c r="L58" s="2"/>
    </row>
    <row r="59" spans="1:12" x14ac:dyDescent="0.25">
      <c r="A59" s="2"/>
      <c r="B59" s="11"/>
      <c r="C59" s="80"/>
      <c r="D59" s="81"/>
      <c r="E59" s="82"/>
      <c r="F59" s="32">
        <f t="shared" si="0"/>
        <v>0</v>
      </c>
      <c r="G59" s="82"/>
      <c r="H59" s="79"/>
      <c r="I59" s="32">
        <f t="shared" si="1"/>
        <v>0</v>
      </c>
      <c r="J59" s="91"/>
      <c r="K59" s="12"/>
      <c r="L59" s="2"/>
    </row>
    <row r="60" spans="1:12" x14ac:dyDescent="0.25">
      <c r="A60" s="2"/>
      <c r="B60" s="11"/>
      <c r="C60" s="80"/>
      <c r="D60" s="81"/>
      <c r="E60" s="82"/>
      <c r="F60" s="32">
        <f t="shared" si="0"/>
        <v>0</v>
      </c>
      <c r="G60" s="82"/>
      <c r="H60" s="79"/>
      <c r="I60" s="32">
        <f t="shared" si="1"/>
        <v>0</v>
      </c>
      <c r="J60" s="91"/>
      <c r="K60" s="12"/>
      <c r="L60" s="2"/>
    </row>
    <row r="61" spans="1:12" x14ac:dyDescent="0.25">
      <c r="A61" s="2"/>
      <c r="B61" s="11"/>
      <c r="C61" s="80"/>
      <c r="D61" s="81"/>
      <c r="E61" s="82"/>
      <c r="F61" s="32">
        <f t="shared" si="0"/>
        <v>0</v>
      </c>
      <c r="G61" s="82"/>
      <c r="H61" s="79"/>
      <c r="I61" s="32">
        <f t="shared" si="1"/>
        <v>0</v>
      </c>
      <c r="J61" s="91"/>
      <c r="K61" s="12"/>
      <c r="L61" s="2"/>
    </row>
    <row r="62" spans="1:12" x14ac:dyDescent="0.25">
      <c r="A62" s="2"/>
      <c r="B62" s="11"/>
      <c r="C62" s="80"/>
      <c r="D62" s="81"/>
      <c r="E62" s="82"/>
      <c r="F62" s="32">
        <f t="shared" si="0"/>
        <v>0</v>
      </c>
      <c r="G62" s="82"/>
      <c r="H62" s="79"/>
      <c r="I62" s="32">
        <f t="shared" si="1"/>
        <v>0</v>
      </c>
      <c r="J62" s="91"/>
      <c r="K62" s="12"/>
      <c r="L62" s="2"/>
    </row>
    <row r="63" spans="1:12" x14ac:dyDescent="0.25">
      <c r="A63" s="2"/>
      <c r="B63" s="11"/>
      <c r="C63" s="80"/>
      <c r="D63" s="81"/>
      <c r="E63" s="82"/>
      <c r="F63" s="32">
        <f t="shared" si="0"/>
        <v>0</v>
      </c>
      <c r="G63" s="82"/>
      <c r="H63" s="79"/>
      <c r="I63" s="32">
        <f t="shared" si="1"/>
        <v>0</v>
      </c>
      <c r="J63" s="91"/>
      <c r="K63" s="12"/>
      <c r="L63" s="2"/>
    </row>
    <row r="64" spans="1:12" x14ac:dyDescent="0.25">
      <c r="A64" s="2"/>
      <c r="B64" s="11"/>
      <c r="C64" s="80"/>
      <c r="D64" s="81"/>
      <c r="E64" s="82"/>
      <c r="F64" s="32">
        <f t="shared" si="0"/>
        <v>0</v>
      </c>
      <c r="G64" s="82"/>
      <c r="H64" s="79"/>
      <c r="I64" s="32">
        <f t="shared" si="1"/>
        <v>0</v>
      </c>
      <c r="J64" s="91"/>
      <c r="K64" s="12"/>
      <c r="L64" s="2"/>
    </row>
    <row r="65" spans="1:12" x14ac:dyDescent="0.25">
      <c r="A65" s="2"/>
      <c r="B65" s="11"/>
      <c r="C65" s="80"/>
      <c r="D65" s="81"/>
      <c r="E65" s="82"/>
      <c r="F65" s="32">
        <f t="shared" si="0"/>
        <v>0</v>
      </c>
      <c r="G65" s="82"/>
      <c r="H65" s="79"/>
      <c r="I65" s="32">
        <f t="shared" si="1"/>
        <v>0</v>
      </c>
      <c r="J65" s="91"/>
      <c r="K65" s="12"/>
      <c r="L65" s="2"/>
    </row>
    <row r="66" spans="1:12" x14ac:dyDescent="0.25">
      <c r="A66" s="2"/>
      <c r="B66" s="11"/>
      <c r="C66" s="80"/>
      <c r="D66" s="81"/>
      <c r="E66" s="82"/>
      <c r="F66" s="32">
        <f t="shared" si="0"/>
        <v>0</v>
      </c>
      <c r="G66" s="82"/>
      <c r="H66" s="79"/>
      <c r="I66" s="32">
        <f t="shared" si="1"/>
        <v>0</v>
      </c>
      <c r="J66" s="91"/>
      <c r="K66" s="12"/>
      <c r="L66" s="2"/>
    </row>
    <row r="67" spans="1:12" x14ac:dyDescent="0.25">
      <c r="A67" s="2"/>
      <c r="B67" s="11"/>
      <c r="C67" s="80"/>
      <c r="D67" s="81"/>
      <c r="E67" s="82"/>
      <c r="F67" s="32">
        <f t="shared" si="0"/>
        <v>0</v>
      </c>
      <c r="G67" s="82"/>
      <c r="H67" s="79"/>
      <c r="I67" s="32">
        <f t="shared" si="1"/>
        <v>0</v>
      </c>
      <c r="J67" s="91"/>
      <c r="K67" s="12"/>
      <c r="L67" s="2"/>
    </row>
    <row r="68" spans="1:12" x14ac:dyDescent="0.25">
      <c r="A68" s="2"/>
      <c r="B68" s="11"/>
      <c r="C68" s="80"/>
      <c r="D68" s="81"/>
      <c r="E68" s="82"/>
      <c r="F68" s="32">
        <f t="shared" si="0"/>
        <v>0</v>
      </c>
      <c r="G68" s="82"/>
      <c r="H68" s="79"/>
      <c r="I68" s="32">
        <f t="shared" si="1"/>
        <v>0</v>
      </c>
      <c r="J68" s="91"/>
      <c r="K68" s="12"/>
      <c r="L68" s="2"/>
    </row>
    <row r="69" spans="1:12" x14ac:dyDescent="0.25">
      <c r="A69" s="2"/>
      <c r="B69" s="11"/>
      <c r="C69" s="80"/>
      <c r="D69" s="81"/>
      <c r="E69" s="82"/>
      <c r="F69" s="32">
        <f t="shared" si="0"/>
        <v>0</v>
      </c>
      <c r="G69" s="82"/>
      <c r="H69" s="79"/>
      <c r="I69" s="32">
        <f t="shared" si="1"/>
        <v>0</v>
      </c>
      <c r="J69" s="91"/>
      <c r="K69" s="12"/>
      <c r="L69" s="2"/>
    </row>
    <row r="70" spans="1:12" x14ac:dyDescent="0.25">
      <c r="A70" s="2"/>
      <c r="B70" s="11"/>
      <c r="C70" s="80"/>
      <c r="D70" s="81"/>
      <c r="E70" s="82"/>
      <c r="F70" s="32">
        <f t="shared" si="0"/>
        <v>0</v>
      </c>
      <c r="G70" s="82"/>
      <c r="H70" s="79"/>
      <c r="I70" s="32">
        <f t="shared" si="1"/>
        <v>0</v>
      </c>
      <c r="J70" s="91"/>
      <c r="K70" s="12"/>
      <c r="L70" s="2"/>
    </row>
    <row r="71" spans="1:12" x14ac:dyDescent="0.25">
      <c r="A71" s="2"/>
      <c r="B71" s="11"/>
      <c r="C71" s="80"/>
      <c r="D71" s="81"/>
      <c r="E71" s="82"/>
      <c r="F71" s="32">
        <f t="shared" si="0"/>
        <v>0</v>
      </c>
      <c r="G71" s="82"/>
      <c r="H71" s="79"/>
      <c r="I71" s="32">
        <f t="shared" si="1"/>
        <v>0</v>
      </c>
      <c r="J71" s="91"/>
      <c r="K71" s="12"/>
      <c r="L71" s="2"/>
    </row>
    <row r="72" spans="1:12" x14ac:dyDescent="0.25">
      <c r="A72" s="2"/>
      <c r="B72" s="11"/>
      <c r="C72" s="80"/>
      <c r="D72" s="81"/>
      <c r="E72" s="82"/>
      <c r="F72" s="32">
        <f t="shared" si="0"/>
        <v>0</v>
      </c>
      <c r="G72" s="82"/>
      <c r="H72" s="79"/>
      <c r="I72" s="32">
        <f t="shared" si="1"/>
        <v>0</v>
      </c>
      <c r="J72" s="91"/>
      <c r="K72" s="12"/>
      <c r="L72" s="2"/>
    </row>
    <row r="73" spans="1:12" x14ac:dyDescent="0.25">
      <c r="A73" s="2"/>
      <c r="B73" s="11"/>
      <c r="C73" s="80"/>
      <c r="D73" s="81"/>
      <c r="E73" s="82"/>
      <c r="F73" s="32">
        <f t="shared" si="0"/>
        <v>0</v>
      </c>
      <c r="G73" s="82"/>
      <c r="H73" s="79"/>
      <c r="I73" s="32">
        <f t="shared" si="1"/>
        <v>0</v>
      </c>
      <c r="J73" s="91"/>
      <c r="K73" s="12"/>
      <c r="L73" s="2"/>
    </row>
    <row r="74" spans="1:12" x14ac:dyDescent="0.25">
      <c r="A74" s="2"/>
      <c r="B74" s="11"/>
      <c r="C74" s="83"/>
      <c r="D74" s="84"/>
      <c r="E74" s="82"/>
      <c r="F74" s="32">
        <f t="shared" si="0"/>
        <v>0</v>
      </c>
      <c r="G74" s="82"/>
      <c r="H74" s="79"/>
      <c r="I74" s="32">
        <f t="shared" si="1"/>
        <v>0</v>
      </c>
      <c r="J74" s="92"/>
      <c r="K74" s="12"/>
      <c r="L74" s="2"/>
    </row>
    <row r="75" spans="1:12" x14ac:dyDescent="0.25">
      <c r="A75" s="2"/>
      <c r="B75" s="11"/>
      <c r="C75" s="83"/>
      <c r="D75" s="84"/>
      <c r="E75" s="82"/>
      <c r="F75" s="32">
        <f t="shared" si="0"/>
        <v>0</v>
      </c>
      <c r="G75" s="82"/>
      <c r="H75" s="79"/>
      <c r="I75" s="32">
        <f t="shared" si="1"/>
        <v>0</v>
      </c>
      <c r="J75" s="92"/>
      <c r="K75" s="12"/>
      <c r="L75" s="2"/>
    </row>
    <row r="76" spans="1:12" x14ac:dyDescent="0.25">
      <c r="A76" s="2"/>
      <c r="B76" s="11"/>
      <c r="C76" s="83"/>
      <c r="D76" s="84"/>
      <c r="E76" s="82"/>
      <c r="F76" s="32">
        <f t="shared" si="0"/>
        <v>0</v>
      </c>
      <c r="G76" s="82"/>
      <c r="H76" s="79"/>
      <c r="I76" s="32">
        <f t="shared" si="1"/>
        <v>0</v>
      </c>
      <c r="J76" s="92"/>
      <c r="K76" s="12"/>
      <c r="L76" s="2"/>
    </row>
    <row r="77" spans="1:12" x14ac:dyDescent="0.25">
      <c r="A77" s="2"/>
      <c r="B77" s="11"/>
      <c r="C77" s="83"/>
      <c r="D77" s="84"/>
      <c r="E77" s="82"/>
      <c r="F77" s="32">
        <f t="shared" si="0"/>
        <v>0</v>
      </c>
      <c r="G77" s="82"/>
      <c r="H77" s="79"/>
      <c r="I77" s="32">
        <f t="shared" si="1"/>
        <v>0</v>
      </c>
      <c r="J77" s="92"/>
      <c r="K77" s="12"/>
      <c r="L77" s="2"/>
    </row>
    <row r="78" spans="1:12" x14ac:dyDescent="0.25">
      <c r="A78" s="2"/>
      <c r="B78" s="11"/>
      <c r="C78" s="83"/>
      <c r="D78" s="84"/>
      <c r="E78" s="82"/>
      <c r="F78" s="32">
        <f t="shared" si="0"/>
        <v>0</v>
      </c>
      <c r="G78" s="82"/>
      <c r="H78" s="79"/>
      <c r="I78" s="32">
        <f t="shared" si="1"/>
        <v>0</v>
      </c>
      <c r="J78" s="92"/>
      <c r="K78" s="12"/>
      <c r="L78" s="2"/>
    </row>
    <row r="79" spans="1:12" x14ac:dyDescent="0.25">
      <c r="A79" s="2"/>
      <c r="B79" s="11"/>
      <c r="C79" s="83"/>
      <c r="D79" s="84"/>
      <c r="E79" s="82"/>
      <c r="F79" s="32">
        <f t="shared" si="0"/>
        <v>0</v>
      </c>
      <c r="G79" s="82"/>
      <c r="H79" s="79"/>
      <c r="I79" s="32">
        <f t="shared" si="1"/>
        <v>0</v>
      </c>
      <c r="J79" s="92"/>
      <c r="K79" s="12"/>
      <c r="L79" s="2"/>
    </row>
    <row r="80" spans="1:12" ht="15.75" thickBot="1" x14ac:dyDescent="0.3">
      <c r="A80" s="2"/>
      <c r="B80" s="11"/>
      <c r="C80" s="86"/>
      <c r="D80" s="87"/>
      <c r="E80" s="89"/>
      <c r="F80" s="28">
        <f t="shared" si="0"/>
        <v>0</v>
      </c>
      <c r="G80" s="89"/>
      <c r="H80" s="89"/>
      <c r="I80" s="28">
        <f t="shared" si="1"/>
        <v>0</v>
      </c>
      <c r="J80" s="93"/>
      <c r="K80" s="12"/>
      <c r="L80" s="2"/>
    </row>
    <row r="81" spans="1:12" x14ac:dyDescent="0.25">
      <c r="A81" s="2"/>
      <c r="B81" s="11"/>
      <c r="C81" s="8"/>
      <c r="D81" s="8"/>
      <c r="E81" s="8"/>
      <c r="F81" s="8"/>
      <c r="G81" s="8"/>
      <c r="H81" s="8"/>
      <c r="I81" s="8"/>
      <c r="J81" s="8"/>
      <c r="K81" s="12"/>
      <c r="L81" s="2"/>
    </row>
    <row r="82" spans="1:12" ht="15.75" thickBot="1" x14ac:dyDescent="0.3">
      <c r="A82" s="2"/>
      <c r="B82" s="13"/>
      <c r="C82" s="24"/>
      <c r="D82" s="24"/>
      <c r="E82" s="24"/>
      <c r="F82" s="24"/>
      <c r="G82" s="24"/>
      <c r="H82" s="24"/>
      <c r="I82" s="24"/>
      <c r="J82" s="24"/>
      <c r="K82" s="16"/>
      <c r="L82" s="2"/>
    </row>
    <row r="83" spans="1:12" x14ac:dyDescent="0.25">
      <c r="A83" s="2"/>
      <c r="B83" s="2"/>
      <c r="C83" s="2"/>
      <c r="D83" s="2"/>
      <c r="E83" s="2"/>
      <c r="F83" s="2"/>
      <c r="G83" s="2"/>
      <c r="H83" s="2"/>
      <c r="I83" s="2"/>
      <c r="J83" s="2"/>
      <c r="K83" s="2"/>
      <c r="L83" s="2"/>
    </row>
    <row r="84" spans="1:12" x14ac:dyDescent="0.25">
      <c r="A84" s="2"/>
      <c r="B84" s="2"/>
      <c r="C84" s="2"/>
      <c r="D84" s="2"/>
      <c r="E84" s="2"/>
      <c r="F84" s="2"/>
      <c r="G84" s="2"/>
      <c r="H84" s="2"/>
      <c r="I84" s="2"/>
      <c r="J84" s="2"/>
      <c r="K84" s="2"/>
      <c r="L84" s="2"/>
    </row>
  </sheetData>
  <mergeCells count="8">
    <mergeCell ref="J16:J18"/>
    <mergeCell ref="G16:G18"/>
    <mergeCell ref="E16:E18"/>
    <mergeCell ref="C16:C18"/>
    <mergeCell ref="D16:D18"/>
    <mergeCell ref="F16:F18"/>
    <mergeCell ref="H16:H18"/>
    <mergeCell ref="I16:I18"/>
  </mergeCells>
  <dataValidations count="1">
    <dataValidation type="list" allowBlank="1" showInputMessage="1" showErrorMessage="1" sqref="E19:E80" xr:uid="{F57E2820-9A13-42A4-9725-19E98BAEAE3E}">
      <formula1>"0-2 mm,2-4 mm,4-8 mm,8-16 mm,16-22 mm,&gt;22 mm"</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3" r:id="rId3" name="Button 5">
              <controlPr defaultSize="0" print="0" autoFill="0" autoPict="0" macro="[0]!Redirect_ex_post_indirect_parameter_description">
                <anchor moveWithCells="1" sizeWithCells="1">
                  <from>
                    <xdr:col>7</xdr:col>
                    <xdr:colOff>504825</xdr:colOff>
                    <xdr:row>12</xdr:row>
                    <xdr:rowOff>114300</xdr:rowOff>
                  </from>
                  <to>
                    <xdr:col>10</xdr:col>
                    <xdr:colOff>0</xdr:colOff>
                    <xdr:row>14</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5087C-DCBD-4B7F-A2C3-2AEDA3CA6BD7}">
  <sheetPr codeName="Sheet10"/>
  <dimension ref="A1:U70"/>
  <sheetViews>
    <sheetView topLeftCell="A18" workbookViewId="0">
      <selection activeCell="D19" sqref="D19:F19"/>
    </sheetView>
  </sheetViews>
  <sheetFormatPr defaultRowHeight="15" x14ac:dyDescent="0.25"/>
  <cols>
    <col min="1" max="3" width="9.140625" style="1"/>
    <col min="4" max="4" width="11.85546875" style="1" customWidth="1"/>
    <col min="5" max="16384" width="9.140625" style="1"/>
  </cols>
  <sheetData>
    <row r="1" spans="1:21" x14ac:dyDescent="0.25">
      <c r="A1" s="2"/>
      <c r="B1" s="2"/>
      <c r="C1" s="2"/>
      <c r="D1" s="2"/>
      <c r="E1" s="2"/>
      <c r="F1" s="2"/>
      <c r="G1" s="2"/>
      <c r="H1" s="2"/>
      <c r="I1" s="2"/>
      <c r="J1" s="2"/>
      <c r="K1" s="2"/>
      <c r="L1" s="2"/>
      <c r="M1" s="2"/>
      <c r="N1" s="2"/>
      <c r="O1" s="2"/>
      <c r="P1" s="2"/>
      <c r="Q1" s="2"/>
      <c r="R1" s="2"/>
      <c r="S1" s="2"/>
      <c r="T1" s="2"/>
      <c r="U1" s="2"/>
    </row>
    <row r="2" spans="1:21" x14ac:dyDescent="0.25">
      <c r="A2" s="2"/>
      <c r="B2" s="2"/>
      <c r="C2" s="2"/>
      <c r="D2" s="2"/>
      <c r="E2" s="2"/>
      <c r="F2" s="2"/>
      <c r="G2" s="2"/>
      <c r="H2" s="2"/>
      <c r="I2" s="2"/>
      <c r="J2" s="2"/>
      <c r="K2" s="2"/>
      <c r="L2" s="2"/>
      <c r="M2" s="2"/>
      <c r="N2" s="2"/>
      <c r="O2" s="2"/>
      <c r="P2" s="2"/>
      <c r="Q2" s="2"/>
      <c r="R2" s="2"/>
      <c r="S2" s="2"/>
      <c r="T2" s="2"/>
      <c r="U2" s="2"/>
    </row>
    <row r="3" spans="1:21" ht="15.75" thickBot="1" x14ac:dyDescent="0.3">
      <c r="A3" s="2"/>
      <c r="B3" s="2"/>
      <c r="C3" s="2"/>
      <c r="D3" s="2"/>
      <c r="E3" s="2"/>
      <c r="F3" s="2"/>
      <c r="G3" s="2"/>
      <c r="H3" s="2"/>
      <c r="I3" s="2"/>
      <c r="J3" s="2"/>
      <c r="K3" s="2"/>
      <c r="L3" s="2"/>
      <c r="M3" s="2"/>
      <c r="N3" s="2"/>
      <c r="O3" s="2"/>
      <c r="P3" s="2"/>
      <c r="Q3" s="2"/>
      <c r="R3" s="2"/>
      <c r="S3" s="2"/>
      <c r="T3" s="2"/>
      <c r="U3" s="2"/>
    </row>
    <row r="4" spans="1:21" x14ac:dyDescent="0.25">
      <c r="A4" s="2"/>
      <c r="B4" s="129" t="s">
        <v>130</v>
      </c>
      <c r="C4" s="130"/>
      <c r="D4" s="130"/>
      <c r="E4" s="130"/>
      <c r="F4" s="130"/>
      <c r="G4" s="130"/>
      <c r="H4" s="130"/>
      <c r="I4" s="130"/>
      <c r="J4" s="130"/>
      <c r="K4" s="130"/>
      <c r="L4" s="130"/>
      <c r="M4" s="130"/>
      <c r="N4" s="130"/>
      <c r="O4" s="130"/>
      <c r="P4" s="130"/>
      <c r="Q4" s="130"/>
      <c r="R4" s="130"/>
      <c r="S4" s="130"/>
      <c r="T4" s="131"/>
      <c r="U4" s="2"/>
    </row>
    <row r="5" spans="1:21" x14ac:dyDescent="0.25">
      <c r="A5" s="2"/>
      <c r="B5" s="132"/>
      <c r="C5" s="133"/>
      <c r="D5" s="133"/>
      <c r="E5" s="133"/>
      <c r="F5" s="133"/>
      <c r="G5" s="133"/>
      <c r="H5" s="133"/>
      <c r="I5" s="133"/>
      <c r="J5" s="133"/>
      <c r="K5" s="133"/>
      <c r="L5" s="133"/>
      <c r="M5" s="133"/>
      <c r="N5" s="133"/>
      <c r="O5" s="133"/>
      <c r="P5" s="133"/>
      <c r="Q5" s="133"/>
      <c r="R5" s="133"/>
      <c r="S5" s="133"/>
      <c r="T5" s="134"/>
      <c r="U5" s="2"/>
    </row>
    <row r="6" spans="1:21" ht="15.75" thickBot="1" x14ac:dyDescent="0.3">
      <c r="A6" s="2"/>
      <c r="B6" s="135"/>
      <c r="C6" s="136"/>
      <c r="D6" s="136"/>
      <c r="E6" s="136"/>
      <c r="F6" s="136"/>
      <c r="G6" s="136"/>
      <c r="H6" s="136"/>
      <c r="I6" s="136"/>
      <c r="J6" s="136"/>
      <c r="K6" s="136"/>
      <c r="L6" s="136"/>
      <c r="M6" s="136"/>
      <c r="N6" s="136"/>
      <c r="O6" s="136"/>
      <c r="P6" s="136"/>
      <c r="Q6" s="136"/>
      <c r="R6" s="136"/>
      <c r="S6" s="136"/>
      <c r="T6" s="137"/>
      <c r="U6" s="2"/>
    </row>
    <row r="7" spans="1:21" ht="15.75" customHeight="1" thickTop="1" x14ac:dyDescent="0.25">
      <c r="A7" s="2"/>
      <c r="B7" s="11"/>
      <c r="C7" s="8"/>
      <c r="D7" s="8"/>
      <c r="E7" s="8"/>
      <c r="F7" s="8"/>
      <c r="G7" s="8"/>
      <c r="H7" s="8"/>
      <c r="I7" s="8"/>
      <c r="J7" s="8"/>
      <c r="K7" s="8"/>
      <c r="L7" s="8"/>
      <c r="M7" s="8"/>
      <c r="N7" s="8"/>
      <c r="O7" s="8"/>
      <c r="P7" s="8"/>
      <c r="Q7" s="8"/>
      <c r="R7" s="8"/>
      <c r="S7" s="8"/>
      <c r="T7" s="12"/>
      <c r="U7" s="2"/>
    </row>
    <row r="8" spans="1:21" ht="15.75" customHeight="1" x14ac:dyDescent="0.25">
      <c r="A8" s="2"/>
      <c r="B8" s="11"/>
      <c r="C8" s="8"/>
      <c r="D8" s="8"/>
      <c r="E8" s="8"/>
      <c r="F8" s="8"/>
      <c r="G8" s="8"/>
      <c r="H8" s="8"/>
      <c r="I8" s="8"/>
      <c r="J8" s="8"/>
      <c r="K8" s="8"/>
      <c r="L8" s="8"/>
      <c r="M8" s="8"/>
      <c r="N8" s="8"/>
      <c r="O8" s="8"/>
      <c r="P8" s="8"/>
      <c r="Q8" s="8"/>
      <c r="R8" s="8"/>
      <c r="S8" s="8"/>
      <c r="T8" s="12"/>
      <c r="U8" s="2"/>
    </row>
    <row r="9" spans="1:21" ht="15.75" x14ac:dyDescent="0.25">
      <c r="A9" s="2"/>
      <c r="B9" s="11"/>
      <c r="C9" s="22" t="s">
        <v>49</v>
      </c>
      <c r="D9" s="8"/>
      <c r="E9" s="8"/>
      <c r="F9" s="8"/>
      <c r="G9" s="8"/>
      <c r="H9" s="8"/>
      <c r="I9" s="8"/>
      <c r="J9" s="8"/>
      <c r="K9" s="8"/>
      <c r="L9" s="8"/>
      <c r="M9" s="8"/>
      <c r="N9" s="8"/>
      <c r="O9" s="8"/>
      <c r="P9" s="8"/>
      <c r="Q9" s="8"/>
      <c r="R9" s="8"/>
      <c r="S9" s="8"/>
      <c r="T9" s="12"/>
      <c r="U9" s="2"/>
    </row>
    <row r="10" spans="1:21" ht="15.75" x14ac:dyDescent="0.25">
      <c r="A10" s="2"/>
      <c r="B10" s="11"/>
      <c r="C10" s="47" t="s">
        <v>131</v>
      </c>
      <c r="D10" s="8"/>
      <c r="E10" s="8"/>
      <c r="F10" s="8"/>
      <c r="G10" s="8"/>
      <c r="H10" s="8"/>
      <c r="I10" s="8"/>
      <c r="J10" s="8"/>
      <c r="K10" s="8"/>
      <c r="L10" s="8"/>
      <c r="M10" s="8"/>
      <c r="N10" s="8"/>
      <c r="O10" s="8"/>
      <c r="P10" s="8"/>
      <c r="Q10" s="8"/>
      <c r="R10" s="8"/>
      <c r="S10" s="8"/>
      <c r="T10" s="12"/>
      <c r="U10" s="2"/>
    </row>
    <row r="11" spans="1:21" x14ac:dyDescent="0.25">
      <c r="A11" s="2"/>
      <c r="B11" s="11"/>
      <c r="C11" s="8"/>
      <c r="D11" s="8"/>
      <c r="E11" s="8"/>
      <c r="F11" s="8"/>
      <c r="G11" s="8"/>
      <c r="H11" s="8"/>
      <c r="I11" s="8"/>
      <c r="J11" s="8"/>
      <c r="K11" s="8"/>
      <c r="L11" s="8"/>
      <c r="M11" s="8"/>
      <c r="N11" s="8"/>
      <c r="O11" s="8"/>
      <c r="P11" s="8"/>
      <c r="Q11" s="8"/>
      <c r="R11" s="8"/>
      <c r="S11" s="8"/>
      <c r="T11" s="12"/>
      <c r="U11" s="2"/>
    </row>
    <row r="12" spans="1:21" x14ac:dyDescent="0.25">
      <c r="A12" s="2"/>
      <c r="B12" s="11"/>
      <c r="C12" s="23" t="s">
        <v>70</v>
      </c>
      <c r="D12" s="8"/>
      <c r="E12" s="8"/>
      <c r="F12" s="8"/>
      <c r="G12" s="8"/>
      <c r="H12" s="8"/>
      <c r="I12" s="8"/>
      <c r="J12" s="8"/>
      <c r="K12" s="8"/>
      <c r="L12" s="8"/>
      <c r="M12" s="8"/>
      <c r="N12" s="8"/>
      <c r="O12" s="8"/>
      <c r="P12" s="8"/>
      <c r="Q12" s="8"/>
      <c r="R12" s="8"/>
      <c r="S12" s="8"/>
      <c r="T12" s="12"/>
      <c r="U12" s="2"/>
    </row>
    <row r="13" spans="1:21" x14ac:dyDescent="0.25">
      <c r="A13" s="2"/>
      <c r="B13" s="11"/>
      <c r="C13" s="23"/>
      <c r="D13" s="8"/>
      <c r="E13" s="8"/>
      <c r="F13" s="8"/>
      <c r="G13" s="8"/>
      <c r="H13" s="8"/>
      <c r="I13" s="8"/>
      <c r="J13" s="8"/>
      <c r="K13" s="8"/>
      <c r="L13" s="8"/>
      <c r="M13" s="8"/>
      <c r="N13" s="8"/>
      <c r="O13" s="8"/>
      <c r="P13" s="8"/>
      <c r="Q13" s="8"/>
      <c r="R13" s="8"/>
      <c r="S13" s="8"/>
      <c r="T13" s="12"/>
      <c r="U13" s="2"/>
    </row>
    <row r="14" spans="1:21" x14ac:dyDescent="0.25">
      <c r="A14" s="2"/>
      <c r="B14" s="11"/>
      <c r="C14" s="23"/>
      <c r="D14" s="147" t="s">
        <v>279</v>
      </c>
      <c r="E14" s="149"/>
      <c r="F14" s="148"/>
      <c r="G14" s="8"/>
      <c r="H14" s="8"/>
      <c r="I14" s="8"/>
      <c r="J14" s="8"/>
      <c r="K14" s="8"/>
      <c r="L14" s="8"/>
      <c r="M14" s="8"/>
      <c r="N14" s="8"/>
      <c r="O14" s="8"/>
      <c r="P14" s="8"/>
      <c r="Q14" s="8"/>
      <c r="R14" s="8"/>
      <c r="S14" s="8"/>
      <c r="T14" s="12"/>
      <c r="U14" s="2"/>
    </row>
    <row r="15" spans="1:21" x14ac:dyDescent="0.25">
      <c r="A15" s="2"/>
      <c r="B15" s="11"/>
      <c r="C15" s="8"/>
      <c r="D15" s="8"/>
      <c r="E15" s="8"/>
      <c r="F15" s="8"/>
      <c r="G15" s="8"/>
      <c r="H15" s="8"/>
      <c r="I15" s="8"/>
      <c r="J15" s="8"/>
      <c r="K15" s="8"/>
      <c r="L15" s="8"/>
      <c r="M15" s="8"/>
      <c r="N15" s="8"/>
      <c r="O15" s="8"/>
      <c r="P15" s="8"/>
      <c r="Q15" s="8"/>
      <c r="R15" s="8"/>
      <c r="S15" s="8"/>
      <c r="T15" s="12"/>
      <c r="U15" s="2"/>
    </row>
    <row r="16" spans="1:21" x14ac:dyDescent="0.25">
      <c r="A16" s="2"/>
      <c r="B16" s="11"/>
      <c r="C16" s="8"/>
      <c r="D16" s="8"/>
      <c r="E16" s="8"/>
      <c r="F16" s="8"/>
      <c r="G16" s="8"/>
      <c r="H16" s="8"/>
      <c r="I16" s="8"/>
      <c r="J16" s="8"/>
      <c r="K16" s="8"/>
      <c r="L16" s="8"/>
      <c r="M16" s="8"/>
      <c r="N16" s="8"/>
      <c r="O16" s="8"/>
      <c r="P16" s="8"/>
      <c r="Q16" s="8"/>
      <c r="R16" s="8"/>
      <c r="S16" s="8"/>
      <c r="T16" s="12"/>
      <c r="U16" s="2"/>
    </row>
    <row r="17" spans="1:21" ht="18" x14ac:dyDescent="0.35">
      <c r="A17" s="2"/>
      <c r="B17" s="11"/>
      <c r="C17" s="23" t="s">
        <v>132</v>
      </c>
      <c r="D17" s="8"/>
      <c r="E17" s="8"/>
      <c r="F17" s="8"/>
      <c r="G17" s="8"/>
      <c r="H17" s="8"/>
      <c r="I17" s="8"/>
      <c r="J17" s="8"/>
      <c r="K17" s="8"/>
      <c r="L17" s="8"/>
      <c r="M17" s="8"/>
      <c r="N17" s="8"/>
      <c r="O17" s="8"/>
      <c r="P17" s="8"/>
      <c r="Q17" s="8"/>
      <c r="R17" s="8"/>
      <c r="S17" s="8"/>
      <c r="T17" s="12"/>
      <c r="U17" s="2"/>
    </row>
    <row r="18" spans="1:21" x14ac:dyDescent="0.25">
      <c r="A18" s="2"/>
      <c r="B18" s="11"/>
      <c r="C18" s="8"/>
      <c r="D18" s="8"/>
      <c r="E18" s="8"/>
      <c r="F18" s="8"/>
      <c r="G18" s="8"/>
      <c r="H18" s="8"/>
      <c r="I18" s="8"/>
      <c r="J18" s="8"/>
      <c r="K18" s="8"/>
      <c r="L18" s="8"/>
      <c r="M18" s="8"/>
      <c r="N18" s="8"/>
      <c r="O18" s="8"/>
      <c r="P18" s="8"/>
      <c r="Q18" s="8"/>
      <c r="R18" s="8"/>
      <c r="S18" s="8"/>
      <c r="T18" s="12"/>
      <c r="U18" s="2"/>
    </row>
    <row r="19" spans="1:21" x14ac:dyDescent="0.25">
      <c r="A19" s="2"/>
      <c r="B19" s="11"/>
      <c r="C19" s="8"/>
      <c r="D19" s="147" t="s">
        <v>133</v>
      </c>
      <c r="E19" s="149"/>
      <c r="F19" s="148"/>
      <c r="G19" s="8"/>
      <c r="H19" s="8"/>
      <c r="I19" s="8"/>
      <c r="J19" s="8"/>
      <c r="K19" s="8"/>
      <c r="L19" s="8"/>
      <c r="M19" s="8"/>
      <c r="N19" s="8"/>
      <c r="O19" s="8"/>
      <c r="P19" s="8"/>
      <c r="Q19" s="8"/>
      <c r="R19" s="8"/>
      <c r="S19" s="8"/>
      <c r="T19" s="12"/>
      <c r="U19" s="2"/>
    </row>
    <row r="20" spans="1:21" x14ac:dyDescent="0.25">
      <c r="A20" s="2"/>
      <c r="B20" s="11"/>
      <c r="C20" s="8"/>
      <c r="D20" s="8"/>
      <c r="E20" s="8"/>
      <c r="F20" s="8"/>
      <c r="G20" s="8"/>
      <c r="H20" s="8"/>
      <c r="I20" s="8"/>
      <c r="J20" s="8"/>
      <c r="K20" s="8"/>
      <c r="L20" s="8"/>
      <c r="M20" s="8"/>
      <c r="N20" s="8"/>
      <c r="O20" s="8"/>
      <c r="P20" s="8"/>
      <c r="Q20" s="8"/>
      <c r="R20" s="8"/>
      <c r="S20" s="8"/>
      <c r="T20" s="12"/>
      <c r="U20" s="2"/>
    </row>
    <row r="21" spans="1:21" x14ac:dyDescent="0.25">
      <c r="A21" s="2"/>
      <c r="B21" s="11"/>
      <c r="C21" s="8"/>
      <c r="D21" s="8"/>
      <c r="E21" s="8"/>
      <c r="F21" s="8"/>
      <c r="G21" s="8"/>
      <c r="H21" s="8"/>
      <c r="I21" s="8"/>
      <c r="J21" s="8"/>
      <c r="K21" s="8"/>
      <c r="L21" s="8"/>
      <c r="M21" s="8"/>
      <c r="N21" s="8"/>
      <c r="O21" s="8"/>
      <c r="P21" s="8"/>
      <c r="Q21" s="8"/>
      <c r="R21" s="8"/>
      <c r="S21" s="8"/>
      <c r="T21" s="12"/>
      <c r="U21" s="2"/>
    </row>
    <row r="22" spans="1:21" x14ac:dyDescent="0.25">
      <c r="A22" s="2"/>
      <c r="B22" s="11"/>
      <c r="C22" s="8"/>
      <c r="D22" s="8"/>
      <c r="E22" s="8"/>
      <c r="F22" s="8"/>
      <c r="G22" s="8"/>
      <c r="H22" s="8"/>
      <c r="I22" s="8"/>
      <c r="J22" s="8"/>
      <c r="K22" s="8"/>
      <c r="L22" s="8"/>
      <c r="M22" s="8"/>
      <c r="N22" s="8"/>
      <c r="O22" s="8"/>
      <c r="P22" s="8"/>
      <c r="Q22" s="8"/>
      <c r="R22" s="8"/>
      <c r="S22" s="8"/>
      <c r="T22" s="12"/>
      <c r="U22" s="2"/>
    </row>
    <row r="23" spans="1:21" ht="15.75" x14ac:dyDescent="0.25">
      <c r="A23" s="2"/>
      <c r="B23" s="11"/>
      <c r="C23" s="22" t="s">
        <v>56</v>
      </c>
      <c r="D23" s="8"/>
      <c r="E23" s="8"/>
      <c r="F23" s="8"/>
      <c r="G23" s="8"/>
      <c r="H23" s="8"/>
      <c r="I23" s="8"/>
      <c r="J23" s="8"/>
      <c r="K23" s="8"/>
      <c r="L23" s="8"/>
      <c r="M23" s="8"/>
      <c r="N23" s="8"/>
      <c r="O23" s="8"/>
      <c r="P23" s="8"/>
      <c r="Q23" s="8"/>
      <c r="R23" s="8"/>
      <c r="S23" s="8"/>
      <c r="T23" s="12"/>
      <c r="U23" s="2"/>
    </row>
    <row r="24" spans="1:21" x14ac:dyDescent="0.25">
      <c r="A24" s="2"/>
      <c r="B24" s="11"/>
      <c r="C24" s="8" t="s">
        <v>134</v>
      </c>
      <c r="D24" s="8"/>
      <c r="E24" s="8"/>
      <c r="F24" s="8"/>
      <c r="G24" s="8"/>
      <c r="H24" s="8"/>
      <c r="I24" s="8"/>
      <c r="J24" s="8"/>
      <c r="K24" s="8"/>
      <c r="L24" s="8"/>
      <c r="M24" s="8"/>
      <c r="N24" s="8"/>
      <c r="O24" s="8"/>
      <c r="P24" s="8"/>
      <c r="Q24" s="8"/>
      <c r="R24" s="8"/>
      <c r="S24" s="8"/>
      <c r="T24" s="12"/>
      <c r="U24" s="2"/>
    </row>
    <row r="25" spans="1:21" x14ac:dyDescent="0.25">
      <c r="A25" s="2"/>
      <c r="B25" s="11"/>
      <c r="C25" s="8"/>
      <c r="D25" s="8"/>
      <c r="E25" s="8"/>
      <c r="F25" s="8"/>
      <c r="G25" s="8"/>
      <c r="H25" s="8"/>
      <c r="I25" s="8"/>
      <c r="J25" s="8"/>
      <c r="K25" s="8"/>
      <c r="L25" s="8"/>
      <c r="M25" s="8"/>
      <c r="N25" s="8"/>
      <c r="O25" s="8"/>
      <c r="P25" s="8"/>
      <c r="Q25" s="8"/>
      <c r="R25" s="8"/>
      <c r="S25" s="8"/>
      <c r="T25" s="12"/>
      <c r="U25" s="2"/>
    </row>
    <row r="26" spans="1:21" x14ac:dyDescent="0.25">
      <c r="A26" s="2"/>
      <c r="B26" s="11"/>
      <c r="C26" s="8"/>
      <c r="D26" s="43" t="s">
        <v>104</v>
      </c>
      <c r="E26" s="8" t="s">
        <v>390</v>
      </c>
      <c r="F26" s="8"/>
      <c r="G26" s="8"/>
      <c r="H26" s="8"/>
      <c r="I26" s="8"/>
      <c r="J26" s="8"/>
      <c r="K26" s="8"/>
      <c r="L26" s="8"/>
      <c r="M26" s="8"/>
      <c r="N26" s="8"/>
      <c r="O26" s="8"/>
      <c r="P26" s="8"/>
      <c r="Q26" s="8"/>
      <c r="R26" s="8"/>
      <c r="S26" s="8"/>
      <c r="T26" s="12"/>
      <c r="U26" s="2"/>
    </row>
    <row r="27" spans="1:21" x14ac:dyDescent="0.25">
      <c r="A27" s="2"/>
      <c r="B27" s="11"/>
      <c r="C27" s="8"/>
      <c r="D27" s="8"/>
      <c r="E27" s="8"/>
      <c r="F27" s="8"/>
      <c r="G27" s="8"/>
      <c r="H27" s="8"/>
      <c r="I27" s="8"/>
      <c r="J27" s="8"/>
      <c r="K27" s="8"/>
      <c r="L27" s="8"/>
      <c r="M27" s="8"/>
      <c r="N27" s="8"/>
      <c r="O27" s="8"/>
      <c r="P27" s="8"/>
      <c r="Q27" s="8"/>
      <c r="R27" s="8"/>
      <c r="S27" s="8"/>
      <c r="T27" s="12"/>
      <c r="U27" s="2"/>
    </row>
    <row r="28" spans="1:21" ht="15" customHeight="1" x14ac:dyDescent="0.25">
      <c r="A28" s="2"/>
      <c r="B28" s="11"/>
      <c r="C28" s="8"/>
      <c r="D28" s="152" t="s">
        <v>394</v>
      </c>
      <c r="E28" s="153"/>
      <c r="F28" s="8" t="s">
        <v>395</v>
      </c>
      <c r="G28" s="8"/>
      <c r="H28" s="8"/>
      <c r="I28" s="8"/>
      <c r="J28" s="8"/>
      <c r="K28" s="8"/>
      <c r="L28" s="8"/>
      <c r="M28" s="8"/>
      <c r="N28" s="8"/>
      <c r="O28" s="8"/>
      <c r="P28" s="8"/>
      <c r="Q28" s="8"/>
      <c r="R28" s="8"/>
      <c r="S28" s="8"/>
      <c r="T28" s="12"/>
      <c r="U28" s="2"/>
    </row>
    <row r="29" spans="1:21" x14ac:dyDescent="0.25">
      <c r="A29" s="2"/>
      <c r="B29" s="11"/>
      <c r="C29" s="8"/>
      <c r="D29" s="8"/>
      <c r="E29" s="8"/>
      <c r="F29" s="8"/>
      <c r="G29" s="8"/>
      <c r="H29" s="8"/>
      <c r="I29" s="8"/>
      <c r="J29" s="8"/>
      <c r="K29" s="8"/>
      <c r="L29" s="8"/>
      <c r="M29" s="8"/>
      <c r="N29" s="8"/>
      <c r="O29" s="8"/>
      <c r="P29" s="8"/>
      <c r="Q29" s="8"/>
      <c r="R29" s="8"/>
      <c r="S29" s="8"/>
      <c r="T29" s="12"/>
      <c r="U29" s="2"/>
    </row>
    <row r="30" spans="1:21" ht="18" x14ac:dyDescent="0.35">
      <c r="A30" s="2"/>
      <c r="B30" s="11"/>
      <c r="C30" s="8"/>
      <c r="D30" s="43" t="s">
        <v>135</v>
      </c>
      <c r="E30" s="8" t="s">
        <v>136</v>
      </c>
      <c r="F30" s="8"/>
      <c r="G30" s="8"/>
      <c r="H30" s="8"/>
      <c r="I30" s="8"/>
      <c r="J30" s="8"/>
      <c r="K30" s="8"/>
      <c r="L30" s="8"/>
      <c r="M30" s="8"/>
      <c r="N30" s="8"/>
      <c r="O30" s="8"/>
      <c r="P30" s="8"/>
      <c r="Q30" s="8"/>
      <c r="R30" s="8"/>
      <c r="S30" s="8"/>
      <c r="T30" s="12"/>
      <c r="U30" s="2"/>
    </row>
    <row r="31" spans="1:21" x14ac:dyDescent="0.25">
      <c r="A31" s="2"/>
      <c r="B31" s="11"/>
      <c r="C31" s="8"/>
      <c r="D31" s="8"/>
      <c r="E31" s="8"/>
      <c r="F31" s="8"/>
      <c r="G31" s="8"/>
      <c r="H31" s="8"/>
      <c r="I31" s="8"/>
      <c r="J31" s="8"/>
      <c r="K31" s="8"/>
      <c r="L31" s="8"/>
      <c r="M31" s="8"/>
      <c r="N31" s="8"/>
      <c r="O31" s="8"/>
      <c r="P31" s="8"/>
      <c r="Q31" s="8"/>
      <c r="R31" s="8"/>
      <c r="S31" s="8"/>
      <c r="T31" s="12"/>
      <c r="U31" s="2"/>
    </row>
    <row r="32" spans="1:21" ht="18" x14ac:dyDescent="0.35">
      <c r="A32" s="2"/>
      <c r="B32" s="11"/>
      <c r="C32" s="8"/>
      <c r="D32" s="43" t="s">
        <v>137</v>
      </c>
      <c r="E32" s="8" t="s">
        <v>138</v>
      </c>
      <c r="F32" s="8"/>
      <c r="G32" s="8"/>
      <c r="H32" s="8"/>
      <c r="I32" s="8"/>
      <c r="J32" s="8"/>
      <c r="K32" s="8"/>
      <c r="L32" s="8"/>
      <c r="M32" s="8"/>
      <c r="N32" s="8"/>
      <c r="O32" s="8"/>
      <c r="P32" s="8"/>
      <c r="Q32" s="8"/>
      <c r="R32" s="8"/>
      <c r="S32" s="8"/>
      <c r="T32" s="12"/>
      <c r="U32" s="2"/>
    </row>
    <row r="33" spans="1:21" x14ac:dyDescent="0.25">
      <c r="A33" s="2"/>
      <c r="B33" s="11"/>
      <c r="C33" s="8"/>
      <c r="D33" s="8"/>
      <c r="E33" s="8"/>
      <c r="F33" s="8"/>
      <c r="G33" s="8"/>
      <c r="H33" s="8"/>
      <c r="I33" s="8"/>
      <c r="J33" s="8"/>
      <c r="K33" s="8"/>
      <c r="L33" s="8"/>
      <c r="M33" s="8"/>
      <c r="N33" s="8"/>
      <c r="O33" s="8"/>
      <c r="P33" s="8"/>
      <c r="Q33" s="8"/>
      <c r="R33" s="8"/>
      <c r="S33" s="8"/>
      <c r="T33" s="12"/>
      <c r="U33" s="2"/>
    </row>
    <row r="34" spans="1:21" ht="18" x14ac:dyDescent="0.35">
      <c r="A34" s="2"/>
      <c r="B34" s="11"/>
      <c r="C34" s="8"/>
      <c r="D34" s="43" t="s">
        <v>139</v>
      </c>
      <c r="E34" s="8" t="s">
        <v>140</v>
      </c>
      <c r="F34" s="8"/>
      <c r="G34" s="8"/>
      <c r="H34" s="8"/>
      <c r="I34" s="8"/>
      <c r="J34" s="8"/>
      <c r="K34" s="8"/>
      <c r="L34" s="8"/>
      <c r="M34" s="8"/>
      <c r="N34" s="8"/>
      <c r="O34" s="8"/>
      <c r="P34" s="8"/>
      <c r="Q34" s="8"/>
      <c r="R34" s="8"/>
      <c r="S34" s="8"/>
      <c r="T34" s="12"/>
      <c r="U34" s="2"/>
    </row>
    <row r="35" spans="1:21" x14ac:dyDescent="0.25">
      <c r="A35" s="2"/>
      <c r="B35" s="11"/>
      <c r="C35" s="8"/>
      <c r="D35" s="8"/>
      <c r="E35" s="8"/>
      <c r="F35" s="8"/>
      <c r="G35" s="8"/>
      <c r="H35" s="8"/>
      <c r="I35" s="8"/>
      <c r="J35" s="8"/>
      <c r="K35" s="8"/>
      <c r="L35" s="8"/>
      <c r="M35" s="8"/>
      <c r="N35" s="8"/>
      <c r="O35" s="8"/>
      <c r="P35" s="8"/>
      <c r="Q35" s="8"/>
      <c r="R35" s="8"/>
      <c r="S35" s="8"/>
      <c r="T35" s="12"/>
      <c r="U35" s="2"/>
    </row>
    <row r="36" spans="1:21" ht="18" x14ac:dyDescent="0.35">
      <c r="A36" s="2"/>
      <c r="B36" s="11"/>
      <c r="C36" s="8"/>
      <c r="D36" s="43" t="s">
        <v>141</v>
      </c>
      <c r="E36" s="8" t="s">
        <v>142</v>
      </c>
      <c r="F36" s="8"/>
      <c r="G36" s="8"/>
      <c r="H36" s="8"/>
      <c r="I36" s="8"/>
      <c r="J36" s="8"/>
      <c r="K36" s="8"/>
      <c r="L36" s="8"/>
      <c r="M36" s="8"/>
      <c r="N36" s="8"/>
      <c r="O36" s="8"/>
      <c r="P36" s="8"/>
      <c r="Q36" s="8"/>
      <c r="R36" s="8"/>
      <c r="S36" s="8"/>
      <c r="T36" s="12"/>
      <c r="U36" s="2"/>
    </row>
    <row r="37" spans="1:21" x14ac:dyDescent="0.25">
      <c r="A37" s="2"/>
      <c r="B37" s="11"/>
      <c r="C37" s="8"/>
      <c r="D37" s="8"/>
      <c r="E37" s="8"/>
      <c r="F37" s="8"/>
      <c r="G37" s="8"/>
      <c r="H37" s="8"/>
      <c r="I37" s="8"/>
      <c r="J37" s="8"/>
      <c r="K37" s="8"/>
      <c r="L37" s="8"/>
      <c r="M37" s="8"/>
      <c r="N37" s="8"/>
      <c r="O37" s="8"/>
      <c r="P37" s="8"/>
      <c r="Q37" s="8"/>
      <c r="R37" s="8"/>
      <c r="S37" s="8"/>
      <c r="T37" s="12"/>
      <c r="U37" s="2"/>
    </row>
    <row r="38" spans="1:21" x14ac:dyDescent="0.25">
      <c r="A38" s="2"/>
      <c r="B38" s="11"/>
      <c r="C38" s="8"/>
      <c r="D38" s="8"/>
      <c r="E38" s="8"/>
      <c r="F38" s="8"/>
      <c r="G38" s="8"/>
      <c r="H38" s="8"/>
      <c r="I38" s="8"/>
      <c r="J38" s="8"/>
      <c r="K38" s="8"/>
      <c r="L38" s="8"/>
      <c r="M38" s="8"/>
      <c r="N38" s="8"/>
      <c r="O38" s="8"/>
      <c r="P38" s="8"/>
      <c r="Q38" s="8"/>
      <c r="R38" s="8"/>
      <c r="S38" s="8"/>
      <c r="T38" s="12"/>
      <c r="U38" s="2"/>
    </row>
    <row r="39" spans="1:21" x14ac:dyDescent="0.25">
      <c r="A39" s="2"/>
      <c r="B39" s="11"/>
      <c r="C39" s="8"/>
      <c r="D39" s="8"/>
      <c r="E39" s="8"/>
      <c r="F39" s="8"/>
      <c r="G39" s="8"/>
      <c r="H39" s="8"/>
      <c r="I39" s="8"/>
      <c r="J39" s="8"/>
      <c r="K39" s="8"/>
      <c r="L39" s="8"/>
      <c r="M39" s="8"/>
      <c r="N39" s="8"/>
      <c r="O39" s="8"/>
      <c r="P39" s="8"/>
      <c r="Q39" s="8"/>
      <c r="R39" s="8"/>
      <c r="S39" s="8"/>
      <c r="T39" s="12"/>
      <c r="U39" s="2"/>
    </row>
    <row r="40" spans="1:21" x14ac:dyDescent="0.25">
      <c r="A40" s="2"/>
      <c r="B40" s="11"/>
      <c r="C40" s="8"/>
      <c r="D40" s="8"/>
      <c r="E40" s="8"/>
      <c r="F40" s="8"/>
      <c r="G40" s="8"/>
      <c r="H40" s="8"/>
      <c r="I40" s="8"/>
      <c r="J40" s="8"/>
      <c r="K40" s="8"/>
      <c r="L40" s="8"/>
      <c r="M40" s="8"/>
      <c r="N40" s="8"/>
      <c r="O40" s="8"/>
      <c r="P40" s="8"/>
      <c r="Q40" s="8"/>
      <c r="R40" s="8"/>
      <c r="S40" s="8"/>
      <c r="T40" s="12"/>
      <c r="U40" s="2"/>
    </row>
    <row r="41" spans="1:21" ht="18" x14ac:dyDescent="0.35">
      <c r="A41" s="2"/>
      <c r="B41" s="11"/>
      <c r="C41" s="8"/>
      <c r="D41" s="21" t="s">
        <v>143</v>
      </c>
      <c r="E41" s="94">
        <v>0.24</v>
      </c>
      <c r="F41" s="8" t="s">
        <v>406</v>
      </c>
      <c r="G41" s="8"/>
      <c r="H41" s="8"/>
      <c r="I41" s="8"/>
      <c r="J41" s="8"/>
      <c r="K41" s="8"/>
      <c r="L41" s="8"/>
      <c r="M41" s="8"/>
      <c r="N41" s="8"/>
      <c r="O41" s="8"/>
      <c r="P41" s="8"/>
      <c r="Q41" s="8"/>
      <c r="R41" s="8"/>
      <c r="S41" s="8"/>
      <c r="T41" s="12"/>
      <c r="U41" s="2"/>
    </row>
    <row r="42" spans="1:21" x14ac:dyDescent="0.25">
      <c r="A42" s="2"/>
      <c r="B42" s="11"/>
      <c r="C42" s="8"/>
      <c r="D42" s="8"/>
      <c r="E42" s="8"/>
      <c r="F42" s="8"/>
      <c r="G42" s="8"/>
      <c r="H42" s="8"/>
      <c r="I42" s="8"/>
      <c r="J42" s="8"/>
      <c r="K42" s="8"/>
      <c r="L42" s="8"/>
      <c r="M42" s="8"/>
      <c r="N42" s="8"/>
      <c r="O42" s="8"/>
      <c r="P42" s="8"/>
      <c r="Q42" s="8"/>
      <c r="R42" s="8"/>
      <c r="S42" s="8"/>
      <c r="T42" s="12"/>
      <c r="U42" s="2"/>
    </row>
    <row r="43" spans="1:21" ht="18" x14ac:dyDescent="0.35">
      <c r="A43" s="2"/>
      <c r="B43" s="11"/>
      <c r="C43" s="8"/>
      <c r="D43" s="21" t="s">
        <v>146</v>
      </c>
      <c r="E43" s="94">
        <v>5.4699999999999999E-2</v>
      </c>
      <c r="F43" s="8" t="s">
        <v>147</v>
      </c>
      <c r="G43" s="8"/>
      <c r="H43" s="8"/>
      <c r="I43" s="8"/>
      <c r="J43" s="8"/>
      <c r="K43" s="8"/>
      <c r="L43" s="8"/>
      <c r="M43" s="8"/>
      <c r="N43" s="8"/>
      <c r="O43" s="8"/>
      <c r="P43" s="8"/>
      <c r="Q43" s="8"/>
      <c r="R43" s="8"/>
      <c r="S43" s="8"/>
      <c r="T43" s="12"/>
      <c r="U43" s="2"/>
    </row>
    <row r="44" spans="1:21" x14ac:dyDescent="0.25">
      <c r="A44" s="2"/>
      <c r="B44" s="11"/>
      <c r="C44" s="8"/>
      <c r="D44" s="8"/>
      <c r="E44" s="8"/>
      <c r="F44" s="8"/>
      <c r="G44" s="8"/>
      <c r="H44" s="8"/>
      <c r="I44" s="8"/>
      <c r="J44" s="8"/>
      <c r="K44" s="8"/>
      <c r="L44" s="8"/>
      <c r="M44" s="8"/>
      <c r="N44" s="8"/>
      <c r="O44" s="8"/>
      <c r="P44" s="8"/>
      <c r="Q44" s="8"/>
      <c r="R44" s="8"/>
      <c r="S44" s="8"/>
      <c r="T44" s="12"/>
      <c r="U44" s="2"/>
    </row>
    <row r="45" spans="1:21" ht="15.75" x14ac:dyDescent="0.25">
      <c r="A45" s="2"/>
      <c r="B45" s="11"/>
      <c r="C45" s="8"/>
      <c r="D45" s="56" t="str">
        <f>IF(AND(D19="No"),"The Following Data Point is Required.",IF(AND(D19="Yes"),"The Following Data Point is Not Required."))</f>
        <v>The Following Data Point is Not Required.</v>
      </c>
      <c r="E45" s="8"/>
      <c r="F45" s="8"/>
      <c r="G45" s="8"/>
      <c r="H45" s="8"/>
      <c r="I45" s="8"/>
      <c r="J45" s="8"/>
      <c r="K45" s="8"/>
      <c r="L45" s="8"/>
      <c r="M45" s="8"/>
      <c r="N45" s="8"/>
      <c r="O45" s="8"/>
      <c r="P45" s="8"/>
      <c r="Q45" s="8"/>
      <c r="R45" s="8"/>
      <c r="S45" s="8"/>
      <c r="T45" s="12"/>
      <c r="U45" s="2"/>
    </row>
    <row r="46" spans="1:21" x14ac:dyDescent="0.25">
      <c r="A46" s="2"/>
      <c r="B46" s="11"/>
      <c r="C46" s="8"/>
      <c r="D46" s="8"/>
      <c r="E46" s="8"/>
      <c r="F46" s="8"/>
      <c r="G46" s="8"/>
      <c r="H46" s="8"/>
      <c r="I46" s="8"/>
      <c r="J46" s="8"/>
      <c r="K46" s="8"/>
      <c r="L46" s="8"/>
      <c r="M46" s="8"/>
      <c r="N46" s="8"/>
      <c r="O46" s="8"/>
      <c r="P46" s="8"/>
      <c r="Q46" s="8"/>
      <c r="R46" s="8"/>
      <c r="S46" s="8"/>
      <c r="T46" s="12"/>
      <c r="U46" s="2"/>
    </row>
    <row r="47" spans="1:21" ht="18" x14ac:dyDescent="0.35">
      <c r="A47" s="2"/>
      <c r="B47" s="11"/>
      <c r="C47" s="8"/>
      <c r="D47" s="21" t="s">
        <v>144</v>
      </c>
      <c r="E47" s="94">
        <v>0</v>
      </c>
      <c r="F47" s="8" t="s">
        <v>145</v>
      </c>
      <c r="G47" s="8"/>
      <c r="H47" s="8"/>
      <c r="I47" s="8"/>
      <c r="J47" s="8"/>
      <c r="K47" s="8"/>
      <c r="L47" s="8"/>
      <c r="M47" s="8"/>
      <c r="N47" s="8"/>
      <c r="O47" s="8"/>
      <c r="P47" s="8"/>
      <c r="Q47" s="8"/>
      <c r="R47" s="8"/>
      <c r="S47" s="8"/>
      <c r="T47" s="12"/>
      <c r="U47" s="2"/>
    </row>
    <row r="48" spans="1:21" x14ac:dyDescent="0.25">
      <c r="A48" s="2"/>
      <c r="B48" s="11"/>
      <c r="C48" s="8"/>
      <c r="D48" s="8"/>
      <c r="E48" s="8"/>
      <c r="F48" s="8"/>
      <c r="G48" s="8"/>
      <c r="H48" s="8"/>
      <c r="I48" s="8"/>
      <c r="J48" s="8"/>
      <c r="K48" s="8"/>
      <c r="L48" s="8"/>
      <c r="M48" s="8"/>
      <c r="N48" s="8"/>
      <c r="O48" s="8"/>
      <c r="P48" s="8"/>
      <c r="Q48" s="8"/>
      <c r="R48" s="8"/>
      <c r="S48" s="8"/>
      <c r="T48" s="12"/>
      <c r="U48" s="2"/>
    </row>
    <row r="49" spans="1:21" ht="15.75" x14ac:dyDescent="0.25">
      <c r="A49" s="2"/>
      <c r="B49" s="11"/>
      <c r="C49" s="8"/>
      <c r="D49" s="56" t="str">
        <f>IF(AND(D14="Indirect Mineral Carbonation"),"The Following Data Points are Required.",IF(AND(D14="Direct Mineral Carbonation"),"The Following Data Points are Not Required."))</f>
        <v>The Following Data Points are Not Required.</v>
      </c>
      <c r="E49" s="8"/>
      <c r="F49" s="8"/>
      <c r="G49" s="8"/>
      <c r="H49" s="8"/>
      <c r="I49" s="8"/>
      <c r="J49" s="8"/>
      <c r="K49" s="8"/>
      <c r="L49" s="8"/>
      <c r="M49" s="8"/>
      <c r="N49" s="8"/>
      <c r="O49" s="8"/>
      <c r="P49" s="8"/>
      <c r="Q49" s="8"/>
      <c r="R49" s="8"/>
      <c r="S49" s="8"/>
      <c r="T49" s="12"/>
      <c r="U49" s="2"/>
    </row>
    <row r="50" spans="1:21" x14ac:dyDescent="0.25">
      <c r="A50" s="2"/>
      <c r="B50" s="11"/>
      <c r="C50" s="8"/>
      <c r="D50" s="8"/>
      <c r="E50" s="8"/>
      <c r="F50" s="8"/>
      <c r="G50" s="8"/>
      <c r="H50" s="8"/>
      <c r="I50" s="8"/>
      <c r="J50" s="8"/>
      <c r="K50" s="8"/>
      <c r="L50" s="8"/>
      <c r="M50" s="8"/>
      <c r="N50" s="8"/>
      <c r="O50" s="8"/>
      <c r="P50" s="8"/>
      <c r="Q50" s="8"/>
      <c r="R50" s="8"/>
      <c r="S50" s="8"/>
      <c r="T50" s="12"/>
      <c r="U50" s="2"/>
    </row>
    <row r="51" spans="1:21" ht="18" x14ac:dyDescent="0.35">
      <c r="A51" s="2"/>
      <c r="B51" s="11"/>
      <c r="C51" s="8"/>
      <c r="D51" s="21" t="s">
        <v>148</v>
      </c>
      <c r="E51" s="94">
        <v>0</v>
      </c>
      <c r="F51" s="8" t="s">
        <v>149</v>
      </c>
      <c r="G51" s="8"/>
      <c r="H51" s="8"/>
      <c r="I51" s="8"/>
      <c r="J51" s="8"/>
      <c r="K51" s="8"/>
      <c r="L51" s="8"/>
      <c r="M51" s="8"/>
      <c r="N51" s="8"/>
      <c r="O51" s="8"/>
      <c r="P51" s="8"/>
      <c r="Q51" s="8"/>
      <c r="R51" s="8"/>
      <c r="S51" s="8"/>
      <c r="T51" s="12"/>
      <c r="U51" s="2"/>
    </row>
    <row r="52" spans="1:21" x14ac:dyDescent="0.25">
      <c r="A52" s="2"/>
      <c r="B52" s="11"/>
      <c r="C52" s="8"/>
      <c r="D52" s="8"/>
      <c r="E52" s="8"/>
      <c r="F52" s="8"/>
      <c r="G52" s="8"/>
      <c r="H52" s="8"/>
      <c r="I52" s="8"/>
      <c r="J52" s="8"/>
      <c r="K52" s="8"/>
      <c r="L52" s="8"/>
      <c r="M52" s="8"/>
      <c r="N52" s="8"/>
      <c r="O52" s="8"/>
      <c r="P52" s="8"/>
      <c r="Q52" s="8"/>
      <c r="R52" s="8"/>
      <c r="S52" s="8"/>
      <c r="T52" s="12"/>
      <c r="U52" s="2"/>
    </row>
    <row r="53" spans="1:21" ht="18" x14ac:dyDescent="0.35">
      <c r="A53" s="2"/>
      <c r="B53" s="11"/>
      <c r="C53" s="8"/>
      <c r="D53" s="21" t="s">
        <v>150</v>
      </c>
      <c r="E53" s="94">
        <v>0</v>
      </c>
      <c r="F53" s="8" t="s">
        <v>151</v>
      </c>
      <c r="G53" s="8"/>
      <c r="H53" s="8"/>
      <c r="I53" s="8"/>
      <c r="J53" s="8"/>
      <c r="K53" s="8"/>
      <c r="L53" s="8"/>
      <c r="M53" s="8"/>
      <c r="N53" s="8"/>
      <c r="O53" s="8"/>
      <c r="P53" s="8"/>
      <c r="Q53" s="8"/>
      <c r="R53" s="8"/>
      <c r="S53" s="8"/>
      <c r="T53" s="12"/>
      <c r="U53" s="2"/>
    </row>
    <row r="54" spans="1:21" x14ac:dyDescent="0.25">
      <c r="A54" s="2"/>
      <c r="B54" s="11"/>
      <c r="C54" s="8"/>
      <c r="D54" s="8"/>
      <c r="E54" s="8"/>
      <c r="F54" s="8"/>
      <c r="G54" s="8"/>
      <c r="H54" s="8"/>
      <c r="I54" s="8"/>
      <c r="J54" s="8"/>
      <c r="K54" s="8"/>
      <c r="L54" s="8"/>
      <c r="M54" s="8"/>
      <c r="N54" s="8"/>
      <c r="O54" s="8"/>
      <c r="P54" s="8"/>
      <c r="Q54" s="8"/>
      <c r="R54" s="8"/>
      <c r="S54" s="8"/>
      <c r="T54" s="12"/>
      <c r="U54" s="2"/>
    </row>
    <row r="55" spans="1:21" x14ac:dyDescent="0.25">
      <c r="A55" s="2"/>
      <c r="B55" s="11"/>
      <c r="C55" s="8"/>
      <c r="D55" s="8"/>
      <c r="E55" s="8"/>
      <c r="F55" s="8"/>
      <c r="G55" s="8"/>
      <c r="H55" s="8"/>
      <c r="I55" s="8"/>
      <c r="J55" s="8"/>
      <c r="K55" s="8"/>
      <c r="L55" s="8"/>
      <c r="M55" s="8"/>
      <c r="N55" s="8"/>
      <c r="O55" s="8"/>
      <c r="P55" s="8"/>
      <c r="Q55" s="8"/>
      <c r="R55" s="8"/>
      <c r="S55" s="8"/>
      <c r="T55" s="12"/>
      <c r="U55" s="2"/>
    </row>
    <row r="56" spans="1:21" x14ac:dyDescent="0.25">
      <c r="A56" s="2"/>
      <c r="B56" s="11"/>
      <c r="C56" s="23" t="s">
        <v>62</v>
      </c>
      <c r="D56" s="8"/>
      <c r="E56" s="8"/>
      <c r="F56" s="8"/>
      <c r="G56" s="8"/>
      <c r="H56" s="8"/>
      <c r="I56" s="8"/>
      <c r="J56" s="8"/>
      <c r="K56" s="8"/>
      <c r="L56" s="8"/>
      <c r="M56" s="8"/>
      <c r="N56" s="8"/>
      <c r="O56" s="8"/>
      <c r="P56" s="8"/>
      <c r="Q56" s="8"/>
      <c r="R56" s="8"/>
      <c r="S56" s="8"/>
      <c r="T56" s="12"/>
      <c r="U56" s="2"/>
    </row>
    <row r="57" spans="1:21" ht="15.75" thickBot="1" x14ac:dyDescent="0.3">
      <c r="A57" s="2"/>
      <c r="B57" s="11"/>
      <c r="C57" s="8"/>
      <c r="D57" s="8"/>
      <c r="E57" s="8"/>
      <c r="F57" s="8"/>
      <c r="G57" s="8"/>
      <c r="H57" s="8"/>
      <c r="I57" s="8"/>
      <c r="J57" s="8"/>
      <c r="K57" s="8"/>
      <c r="L57" s="8"/>
      <c r="M57" s="8"/>
      <c r="N57" s="8"/>
      <c r="O57" s="8"/>
      <c r="P57" s="8"/>
      <c r="Q57" s="8"/>
      <c r="R57" s="8"/>
      <c r="S57" s="8"/>
      <c r="T57" s="12"/>
      <c r="U57" s="2"/>
    </row>
    <row r="58" spans="1:21" ht="19.5" thickTop="1" thickBot="1" x14ac:dyDescent="0.4">
      <c r="A58" s="2"/>
      <c r="B58" s="11"/>
      <c r="C58" s="8"/>
      <c r="D58" s="31" t="s">
        <v>152</v>
      </c>
      <c r="E58" s="31">
        <f>E60+E62+E64</f>
        <v>0.39602799999999999</v>
      </c>
      <c r="F58" s="8" t="s">
        <v>153</v>
      </c>
      <c r="G58" s="8"/>
      <c r="H58" s="8"/>
      <c r="I58" s="8"/>
      <c r="J58" s="8"/>
      <c r="K58" s="8"/>
      <c r="L58" s="8"/>
      <c r="M58" s="8"/>
      <c r="N58" s="8"/>
      <c r="O58" s="8"/>
      <c r="P58" s="8"/>
      <c r="Q58" s="8"/>
      <c r="R58" s="8"/>
      <c r="S58" s="8"/>
      <c r="T58" s="12"/>
      <c r="U58" s="2"/>
    </row>
    <row r="59" spans="1:21" ht="16.5" thickTop="1" thickBot="1" x14ac:dyDescent="0.3">
      <c r="A59" s="2"/>
      <c r="B59" s="11"/>
      <c r="C59" s="8"/>
      <c r="D59" s="8"/>
      <c r="E59" s="8"/>
      <c r="F59" s="8"/>
      <c r="G59" s="8"/>
      <c r="H59" s="8"/>
      <c r="I59" s="8"/>
      <c r="J59" s="8"/>
      <c r="K59" s="8"/>
      <c r="L59" s="8"/>
      <c r="M59" s="8"/>
      <c r="N59" s="8"/>
      <c r="O59" s="8"/>
      <c r="P59" s="8"/>
      <c r="Q59" s="8"/>
      <c r="R59" s="8"/>
      <c r="S59" s="8"/>
      <c r="T59" s="12"/>
      <c r="U59" s="2"/>
    </row>
    <row r="60" spans="1:21" ht="19.5" thickTop="1" thickBot="1" x14ac:dyDescent="0.4">
      <c r="A60" s="2"/>
      <c r="B60" s="11"/>
      <c r="C60" s="8"/>
      <c r="D60" s="31" t="s">
        <v>154</v>
      </c>
      <c r="E60" s="31">
        <f>E41*E43+'PE from Fuel Consumption'!F14</f>
        <v>0.39602799999999999</v>
      </c>
      <c r="F60" s="8" t="s">
        <v>155</v>
      </c>
      <c r="G60" s="8"/>
      <c r="H60" s="8"/>
      <c r="I60" s="8"/>
      <c r="J60" s="8"/>
      <c r="K60" s="8"/>
      <c r="L60" s="8"/>
      <c r="M60" s="8"/>
      <c r="N60" s="8"/>
      <c r="O60" s="8"/>
      <c r="P60" s="8"/>
      <c r="Q60" s="8"/>
      <c r="R60" s="8"/>
      <c r="S60" s="8"/>
      <c r="T60" s="12"/>
      <c r="U60" s="2"/>
    </row>
    <row r="61" spans="1:21" ht="16.5" thickTop="1" thickBot="1" x14ac:dyDescent="0.3">
      <c r="A61" s="2"/>
      <c r="B61" s="11"/>
      <c r="C61" s="8"/>
      <c r="D61" s="8"/>
      <c r="E61" s="8"/>
      <c r="F61" s="8"/>
      <c r="G61" s="8"/>
      <c r="H61" s="8"/>
      <c r="I61" s="8"/>
      <c r="J61" s="8"/>
      <c r="K61" s="8"/>
      <c r="L61" s="8"/>
      <c r="M61" s="8"/>
      <c r="N61" s="8"/>
      <c r="O61" s="8"/>
      <c r="P61" s="8"/>
      <c r="Q61" s="8"/>
      <c r="R61" s="8"/>
      <c r="S61" s="8"/>
      <c r="T61" s="12"/>
      <c r="U61" s="2"/>
    </row>
    <row r="62" spans="1:21" ht="19.5" thickTop="1" thickBot="1" x14ac:dyDescent="0.4">
      <c r="A62" s="2"/>
      <c r="B62" s="11"/>
      <c r="C62" s="8"/>
      <c r="D62" s="31" t="s">
        <v>156</v>
      </c>
      <c r="E62" s="31">
        <f>IF(AND(D19="Yes"),0,IF(AND(D19="No"),E47*E43+'PE from Fuel Consumption'!F16))</f>
        <v>0</v>
      </c>
      <c r="F62" s="8" t="s">
        <v>157</v>
      </c>
      <c r="G62" s="8"/>
      <c r="H62" s="8"/>
      <c r="I62" s="8"/>
      <c r="J62" s="8"/>
      <c r="K62" s="8"/>
      <c r="L62" s="8"/>
      <c r="M62" s="8"/>
      <c r="N62" s="8"/>
      <c r="O62" s="8"/>
      <c r="P62" s="8"/>
      <c r="Q62" s="8"/>
      <c r="R62" s="8"/>
      <c r="S62" s="8"/>
      <c r="T62" s="12"/>
      <c r="U62" s="2"/>
    </row>
    <row r="63" spans="1:21" ht="16.5" thickTop="1" thickBot="1" x14ac:dyDescent="0.3">
      <c r="A63" s="2"/>
      <c r="B63" s="11"/>
      <c r="C63" s="8"/>
      <c r="D63" s="8"/>
      <c r="E63" s="8"/>
      <c r="F63" s="8"/>
      <c r="G63" s="8"/>
      <c r="H63" s="8"/>
      <c r="I63" s="8"/>
      <c r="J63" s="8"/>
      <c r="K63" s="8"/>
      <c r="L63" s="8"/>
      <c r="M63" s="8"/>
      <c r="N63" s="8"/>
      <c r="O63" s="8"/>
      <c r="P63" s="8"/>
      <c r="Q63" s="8"/>
      <c r="R63" s="8"/>
      <c r="S63" s="8"/>
      <c r="T63" s="12"/>
      <c r="U63" s="2"/>
    </row>
    <row r="64" spans="1:21" ht="19.5" thickTop="1" thickBot="1" x14ac:dyDescent="0.4">
      <c r="A64" s="2"/>
      <c r="B64" s="11"/>
      <c r="C64" s="8"/>
      <c r="D64" s="31" t="s">
        <v>158</v>
      </c>
      <c r="E64" s="31">
        <f>IF(AND(D14="Direct Mineral Carbonation"),0,IF(AND(D14="Indirect Mineral Carbonation"),E51*E53))</f>
        <v>0</v>
      </c>
      <c r="F64" s="8" t="s">
        <v>159</v>
      </c>
      <c r="G64" s="8"/>
      <c r="H64" s="8"/>
      <c r="I64" s="8"/>
      <c r="J64" s="8"/>
      <c r="K64" s="8"/>
      <c r="L64" s="8"/>
      <c r="M64" s="8"/>
      <c r="N64" s="8"/>
      <c r="O64" s="8"/>
      <c r="P64" s="8"/>
      <c r="Q64" s="8"/>
      <c r="R64" s="8"/>
      <c r="S64" s="8"/>
      <c r="T64" s="12"/>
      <c r="U64" s="2"/>
    </row>
    <row r="65" spans="1:21" ht="15.75" thickTop="1" x14ac:dyDescent="0.25">
      <c r="A65" s="2"/>
      <c r="B65" s="11"/>
      <c r="C65" s="8"/>
      <c r="D65" s="8"/>
      <c r="E65" s="8"/>
      <c r="F65" s="8"/>
      <c r="G65" s="8"/>
      <c r="H65" s="8"/>
      <c r="I65" s="8"/>
      <c r="J65" s="8"/>
      <c r="K65" s="8"/>
      <c r="L65" s="8"/>
      <c r="M65" s="8"/>
      <c r="N65" s="8"/>
      <c r="O65" s="8"/>
      <c r="P65" s="8"/>
      <c r="Q65" s="8"/>
      <c r="R65" s="8"/>
      <c r="S65" s="8"/>
      <c r="T65" s="12"/>
      <c r="U65" s="2"/>
    </row>
    <row r="66" spans="1:21" x14ac:dyDescent="0.25">
      <c r="A66" s="2"/>
      <c r="B66" s="11"/>
      <c r="C66" s="8"/>
      <c r="D66" s="8"/>
      <c r="E66" s="8"/>
      <c r="F66" s="8"/>
      <c r="G66" s="8"/>
      <c r="H66" s="8"/>
      <c r="I66" s="8"/>
      <c r="J66" s="8"/>
      <c r="K66" s="8"/>
      <c r="L66" s="8"/>
      <c r="M66" s="8"/>
      <c r="N66" s="8"/>
      <c r="O66" s="8"/>
      <c r="P66" s="8"/>
      <c r="Q66" s="8"/>
      <c r="R66" s="8"/>
      <c r="S66" s="8"/>
      <c r="T66" s="12"/>
      <c r="U66" s="2"/>
    </row>
    <row r="67" spans="1:21" x14ac:dyDescent="0.25">
      <c r="A67" s="2"/>
      <c r="B67" s="11"/>
      <c r="C67" s="8"/>
      <c r="D67" s="8"/>
      <c r="E67" s="8"/>
      <c r="F67" s="8"/>
      <c r="G67" s="8"/>
      <c r="H67" s="8"/>
      <c r="I67" s="8"/>
      <c r="J67" s="8"/>
      <c r="K67" s="8"/>
      <c r="L67" s="8"/>
      <c r="M67" s="8"/>
      <c r="N67" s="8"/>
      <c r="O67" s="8"/>
      <c r="P67" s="8"/>
      <c r="Q67" s="8"/>
      <c r="R67" s="8"/>
      <c r="S67" s="8"/>
      <c r="T67" s="12"/>
      <c r="U67" s="2"/>
    </row>
    <row r="68" spans="1:21" ht="15.75" thickBot="1" x14ac:dyDescent="0.3">
      <c r="A68" s="2"/>
      <c r="B68" s="13"/>
      <c r="C68" s="24"/>
      <c r="D68" s="24"/>
      <c r="E68" s="24"/>
      <c r="F68" s="24"/>
      <c r="G68" s="24"/>
      <c r="H68" s="24"/>
      <c r="I68" s="24"/>
      <c r="J68" s="24"/>
      <c r="K68" s="24"/>
      <c r="L68" s="24"/>
      <c r="M68" s="24"/>
      <c r="N68" s="24"/>
      <c r="O68" s="24"/>
      <c r="P68" s="24"/>
      <c r="Q68" s="24"/>
      <c r="R68" s="24"/>
      <c r="S68" s="24"/>
      <c r="T68" s="16"/>
      <c r="U68" s="2"/>
    </row>
    <row r="69" spans="1:21" x14ac:dyDescent="0.25">
      <c r="A69" s="2"/>
      <c r="B69" s="2"/>
      <c r="C69" s="2"/>
      <c r="D69" s="2"/>
      <c r="E69" s="2"/>
      <c r="F69" s="2"/>
      <c r="G69" s="2"/>
      <c r="H69" s="2"/>
      <c r="I69" s="2"/>
      <c r="J69" s="2"/>
      <c r="K69" s="2"/>
      <c r="L69" s="2"/>
      <c r="M69" s="2"/>
      <c r="N69" s="2"/>
      <c r="O69" s="2"/>
      <c r="P69" s="2"/>
      <c r="Q69" s="2"/>
      <c r="R69" s="2"/>
      <c r="S69" s="2"/>
      <c r="T69" s="2"/>
      <c r="U69" s="2"/>
    </row>
    <row r="70" spans="1:21" x14ac:dyDescent="0.25">
      <c r="A70" s="2"/>
      <c r="B70" s="2"/>
      <c r="C70" s="2"/>
      <c r="D70" s="2"/>
      <c r="E70" s="2"/>
      <c r="F70" s="2"/>
      <c r="G70" s="2"/>
      <c r="H70" s="2"/>
      <c r="I70" s="2"/>
      <c r="J70" s="2"/>
      <c r="K70" s="2"/>
      <c r="L70" s="2"/>
      <c r="M70" s="2"/>
      <c r="N70" s="2"/>
      <c r="O70" s="2"/>
      <c r="P70" s="2"/>
      <c r="Q70" s="2"/>
      <c r="R70" s="2"/>
      <c r="S70" s="2"/>
      <c r="T70" s="2"/>
      <c r="U70" s="2"/>
    </row>
  </sheetData>
  <mergeCells count="4">
    <mergeCell ref="D19:F19"/>
    <mergeCell ref="B4:T6"/>
    <mergeCell ref="D14:F14"/>
    <mergeCell ref="D28:E28"/>
  </mergeCells>
  <dataValidations count="2">
    <dataValidation type="list" allowBlank="1" showInputMessage="1" showErrorMessage="1" sqref="D14" xr:uid="{F5A34AA8-50E7-4DAC-8EE8-3869C1CF6235}">
      <formula1>"Direct Mineral Carbonation, Indirect Mineral Carbonation"</formula1>
    </dataValidation>
    <dataValidation type="list" allowBlank="1" showInputMessage="1" showErrorMessage="1" sqref="D19:F19" xr:uid="{6F547625-9CAA-4CE7-BF53-FFC8D0A127ED}">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3" r:id="rId3" name="Button 11">
              <controlPr defaultSize="0" print="0" autoFill="0" autoPict="0" macro="[0]!Project_emissions_data">
                <anchor moveWithCells="1" sizeWithCells="1">
                  <from>
                    <xdr:col>2</xdr:col>
                    <xdr:colOff>600075</xdr:colOff>
                    <xdr:row>37</xdr:row>
                    <xdr:rowOff>0</xdr:rowOff>
                  </from>
                  <to>
                    <xdr:col>7</xdr:col>
                    <xdr:colOff>257175</xdr:colOff>
                    <xdr:row>38</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8204D-C581-472C-9F31-7E25FE910DC5}">
  <sheetPr codeName="Sheet6"/>
  <dimension ref="A1:L90"/>
  <sheetViews>
    <sheetView topLeftCell="A6" workbookViewId="0">
      <selection activeCell="C10" sqref="C10"/>
    </sheetView>
  </sheetViews>
  <sheetFormatPr defaultRowHeight="15" x14ac:dyDescent="0.25"/>
  <cols>
    <col min="1" max="3" width="9.140625" style="1"/>
    <col min="4" max="4" width="13.28515625" style="1" customWidth="1"/>
    <col min="5" max="6" width="15.7109375" style="1" customWidth="1"/>
    <col min="7" max="7" width="14.42578125" style="1" customWidth="1"/>
    <col min="8" max="8" width="13.28515625" style="1" customWidth="1"/>
    <col min="9" max="10" width="33.85546875" style="1" bestFit="1" customWidth="1"/>
    <col min="11" max="11" width="9.140625" style="1" customWidth="1"/>
    <col min="12" max="16384" width="9.140625" style="1"/>
  </cols>
  <sheetData>
    <row r="1" spans="1:12" x14ac:dyDescent="0.25">
      <c r="A1" s="2"/>
      <c r="B1" s="2"/>
      <c r="C1" s="2"/>
      <c r="D1" s="2"/>
      <c r="E1" s="2"/>
      <c r="F1" s="2"/>
      <c r="G1" s="2"/>
      <c r="H1" s="2"/>
      <c r="I1" s="2"/>
      <c r="J1" s="2"/>
      <c r="K1" s="2"/>
      <c r="L1" s="2"/>
    </row>
    <row r="2" spans="1:12" x14ac:dyDescent="0.25">
      <c r="A2" s="2"/>
      <c r="B2" s="2"/>
      <c r="C2" s="2"/>
      <c r="D2" s="2"/>
      <c r="E2" s="2"/>
      <c r="F2" s="2"/>
      <c r="G2" s="2"/>
      <c r="H2" s="2"/>
      <c r="I2" s="2"/>
      <c r="J2" s="2"/>
      <c r="K2" s="2"/>
      <c r="L2" s="2"/>
    </row>
    <row r="3" spans="1:12" x14ac:dyDescent="0.25">
      <c r="A3" s="2"/>
      <c r="B3" s="2"/>
      <c r="C3" s="2"/>
      <c r="D3" s="2"/>
      <c r="E3" s="2"/>
      <c r="F3" s="2"/>
      <c r="G3" s="2"/>
      <c r="H3" s="2"/>
      <c r="I3" s="2"/>
      <c r="J3" s="2"/>
      <c r="K3" s="2"/>
      <c r="L3" s="2"/>
    </row>
    <row r="4" spans="1:12" ht="15.75" thickBot="1" x14ac:dyDescent="0.3">
      <c r="A4" s="2"/>
      <c r="B4" s="2"/>
      <c r="C4" s="2"/>
      <c r="D4" s="2"/>
      <c r="E4" s="2"/>
      <c r="F4" s="2"/>
      <c r="G4" s="2"/>
      <c r="H4" s="2"/>
      <c r="I4" s="2"/>
      <c r="J4" s="2"/>
      <c r="K4" s="2"/>
      <c r="L4" s="2"/>
    </row>
    <row r="5" spans="1:12" ht="15" customHeight="1" x14ac:dyDescent="0.25">
      <c r="A5" s="2"/>
      <c r="B5" s="129" t="s">
        <v>268</v>
      </c>
      <c r="C5" s="179"/>
      <c r="D5" s="179"/>
      <c r="E5" s="179"/>
      <c r="F5" s="179"/>
      <c r="G5" s="179"/>
      <c r="H5" s="179"/>
      <c r="I5" s="179"/>
      <c r="J5" s="179"/>
      <c r="K5" s="180"/>
      <c r="L5" s="2"/>
    </row>
    <row r="6" spans="1:12" ht="15" customHeight="1" x14ac:dyDescent="0.25">
      <c r="A6" s="2"/>
      <c r="B6" s="181"/>
      <c r="C6" s="182"/>
      <c r="D6" s="182"/>
      <c r="E6" s="182"/>
      <c r="F6" s="182"/>
      <c r="G6" s="182"/>
      <c r="H6" s="182"/>
      <c r="I6" s="182"/>
      <c r="J6" s="182"/>
      <c r="K6" s="183"/>
      <c r="L6" s="2"/>
    </row>
    <row r="7" spans="1:12" ht="15.75" customHeight="1" thickBot="1" x14ac:dyDescent="0.3">
      <c r="A7" s="2"/>
      <c r="B7" s="184"/>
      <c r="C7" s="185"/>
      <c r="D7" s="185"/>
      <c r="E7" s="185"/>
      <c r="F7" s="185"/>
      <c r="G7" s="185"/>
      <c r="H7" s="185"/>
      <c r="I7" s="185"/>
      <c r="J7" s="185"/>
      <c r="K7" s="186"/>
      <c r="L7" s="2"/>
    </row>
    <row r="8" spans="1:12" ht="15.75" thickTop="1" x14ac:dyDescent="0.25">
      <c r="A8" s="2"/>
      <c r="B8" s="11"/>
      <c r="C8" s="8"/>
      <c r="D8" s="8"/>
      <c r="E8" s="8"/>
      <c r="F8" s="8"/>
      <c r="G8" s="8"/>
      <c r="H8" s="8"/>
      <c r="I8" s="8"/>
      <c r="J8" s="8"/>
      <c r="K8" s="12"/>
      <c r="L8" s="2"/>
    </row>
    <row r="9" spans="1:12" x14ac:dyDescent="0.25">
      <c r="A9" s="2"/>
      <c r="B9" s="11"/>
      <c r="C9" s="8"/>
      <c r="D9" s="8"/>
      <c r="E9" s="8"/>
      <c r="F9" s="8"/>
      <c r="G9" s="8"/>
      <c r="H9" s="8"/>
      <c r="I9" s="8"/>
      <c r="J9" s="8"/>
      <c r="K9" s="12"/>
      <c r="L9" s="2"/>
    </row>
    <row r="10" spans="1:12" ht="18.75" x14ac:dyDescent="0.3">
      <c r="A10" s="2"/>
      <c r="B10" s="11"/>
      <c r="C10" s="40" t="s">
        <v>269</v>
      </c>
      <c r="D10" s="8"/>
      <c r="E10" s="8"/>
      <c r="F10" s="8"/>
      <c r="G10" s="8"/>
      <c r="H10" s="8"/>
      <c r="I10" s="8"/>
      <c r="J10" s="94">
        <v>2022</v>
      </c>
      <c r="K10" s="12"/>
      <c r="L10" s="2"/>
    </row>
    <row r="11" spans="1:12" x14ac:dyDescent="0.25">
      <c r="A11" s="2"/>
      <c r="B11" s="11"/>
      <c r="C11" s="23"/>
      <c r="D11" s="8"/>
      <c r="E11" s="8"/>
      <c r="F11" s="8"/>
      <c r="G11" s="8"/>
      <c r="H11" s="8"/>
      <c r="I11" s="8"/>
      <c r="J11" s="8"/>
      <c r="K11" s="12"/>
      <c r="L11" s="2"/>
    </row>
    <row r="12" spans="1:12" x14ac:dyDescent="0.25">
      <c r="A12" s="2"/>
      <c r="B12" s="11"/>
      <c r="C12" s="23" t="s">
        <v>62</v>
      </c>
      <c r="D12" s="23"/>
      <c r="E12" s="8"/>
      <c r="F12" s="8"/>
      <c r="G12" s="8"/>
      <c r="H12" s="8"/>
      <c r="I12" s="8"/>
      <c r="J12" s="8"/>
      <c r="K12" s="12"/>
      <c r="L12" s="2"/>
    </row>
    <row r="13" spans="1:12" ht="15.75" thickBot="1" x14ac:dyDescent="0.3">
      <c r="A13" s="2"/>
      <c r="B13" s="11"/>
      <c r="C13" s="8"/>
      <c r="D13" s="8"/>
      <c r="E13" s="8"/>
      <c r="F13" s="8"/>
      <c r="G13" s="8"/>
      <c r="H13" s="8"/>
      <c r="I13" s="8"/>
      <c r="J13" s="8"/>
      <c r="K13" s="12"/>
      <c r="L13" s="2"/>
    </row>
    <row r="14" spans="1:12" ht="19.5" thickTop="1" thickBot="1" x14ac:dyDescent="0.4">
      <c r="A14" s="2"/>
      <c r="B14" s="11"/>
      <c r="C14" s="23"/>
      <c r="D14" s="187" t="s">
        <v>160</v>
      </c>
      <c r="E14" s="188"/>
      <c r="F14" s="31">
        <f>SUMIF(C25:C86,J10,I25:I86)</f>
        <v>0.38290000000000002</v>
      </c>
      <c r="G14" s="8"/>
      <c r="H14" s="8"/>
      <c r="I14" s="8"/>
      <c r="J14" s="8"/>
      <c r="K14" s="12"/>
      <c r="L14" s="2"/>
    </row>
    <row r="15" spans="1:12" ht="16.5" thickTop="1" thickBot="1" x14ac:dyDescent="0.3">
      <c r="A15" s="2"/>
      <c r="B15" s="11"/>
      <c r="C15" s="8"/>
      <c r="D15" s="8"/>
      <c r="E15" s="8"/>
      <c r="F15" s="8"/>
      <c r="G15" s="8"/>
      <c r="H15" s="8"/>
      <c r="I15" s="8"/>
      <c r="J15" s="8"/>
      <c r="K15" s="12"/>
      <c r="L15" s="2"/>
    </row>
    <row r="16" spans="1:12" ht="19.5" thickTop="1" thickBot="1" x14ac:dyDescent="0.4">
      <c r="A16" s="2"/>
      <c r="B16" s="11"/>
      <c r="C16" s="23"/>
      <c r="D16" s="187" t="s">
        <v>161</v>
      </c>
      <c r="E16" s="188"/>
      <c r="F16" s="31">
        <f>SUMIF(C25:C86,J10,J25:J86)</f>
        <v>0.34187499999999998</v>
      </c>
      <c r="G16" s="8"/>
      <c r="H16" s="8"/>
      <c r="I16" s="8"/>
      <c r="J16" s="8"/>
      <c r="K16" s="12"/>
      <c r="L16" s="2"/>
    </row>
    <row r="17" spans="1:12" ht="15.75" thickTop="1" x14ac:dyDescent="0.25">
      <c r="A17" s="2"/>
      <c r="B17" s="11"/>
      <c r="C17" s="8"/>
      <c r="D17" s="8"/>
      <c r="E17" s="8"/>
      <c r="F17" s="8"/>
      <c r="G17" s="8"/>
      <c r="H17" s="8"/>
      <c r="I17" s="8"/>
      <c r="J17" s="8"/>
      <c r="K17" s="12"/>
      <c r="L17" s="2"/>
    </row>
    <row r="18" spans="1:12" x14ac:dyDescent="0.25">
      <c r="A18" s="2"/>
      <c r="B18" s="11"/>
      <c r="C18" s="8"/>
      <c r="D18" s="8"/>
      <c r="E18" s="8"/>
      <c r="F18" s="8"/>
      <c r="G18" s="8"/>
      <c r="H18" s="8"/>
      <c r="I18" s="8"/>
      <c r="J18" s="8"/>
      <c r="K18" s="12"/>
      <c r="L18" s="2"/>
    </row>
    <row r="19" spans="1:12" ht="15" customHeight="1" x14ac:dyDescent="0.25">
      <c r="A19" s="2"/>
      <c r="B19" s="11"/>
      <c r="C19" s="23"/>
      <c r="D19" s="23"/>
      <c r="E19" s="8"/>
      <c r="F19" s="23"/>
      <c r="G19" s="8"/>
      <c r="H19" s="8"/>
      <c r="I19" s="8"/>
      <c r="J19" s="8"/>
      <c r="K19" s="12"/>
      <c r="L19" s="2"/>
    </row>
    <row r="20" spans="1:12" x14ac:dyDescent="0.25">
      <c r="A20" s="2"/>
      <c r="B20" s="11"/>
      <c r="C20" s="30"/>
      <c r="D20" s="39" t="s">
        <v>103</v>
      </c>
      <c r="E20" s="8"/>
      <c r="F20" s="8"/>
      <c r="G20" s="8"/>
      <c r="H20" s="8"/>
      <c r="I20" s="8"/>
      <c r="J20" s="8"/>
      <c r="K20" s="12"/>
      <c r="L20" s="2"/>
    </row>
    <row r="21" spans="1:12" ht="15.75" thickBot="1" x14ac:dyDescent="0.3">
      <c r="A21" s="2"/>
      <c r="B21" s="11"/>
      <c r="C21" s="8"/>
      <c r="D21" s="8"/>
      <c r="E21" s="24"/>
      <c r="F21" s="8"/>
      <c r="G21" s="24"/>
      <c r="H21" s="24"/>
      <c r="I21" s="24"/>
      <c r="J21" s="24"/>
      <c r="K21" s="12"/>
      <c r="L21" s="2"/>
    </row>
    <row r="22" spans="1:12" x14ac:dyDescent="0.25">
      <c r="A22" s="2"/>
      <c r="B22" s="11"/>
      <c r="C22" s="159" t="s">
        <v>104</v>
      </c>
      <c r="D22" s="162" t="s">
        <v>162</v>
      </c>
      <c r="E22" s="162" t="s">
        <v>163</v>
      </c>
      <c r="F22" s="166" t="s">
        <v>164</v>
      </c>
      <c r="G22" s="166" t="s">
        <v>165</v>
      </c>
      <c r="H22" s="166" t="s">
        <v>166</v>
      </c>
      <c r="I22" s="166" t="s">
        <v>167</v>
      </c>
      <c r="J22" s="189" t="s">
        <v>168</v>
      </c>
      <c r="K22" s="12"/>
      <c r="L22" s="2"/>
    </row>
    <row r="23" spans="1:12" x14ac:dyDescent="0.25">
      <c r="A23" s="2"/>
      <c r="B23" s="11"/>
      <c r="C23" s="160"/>
      <c r="D23" s="157"/>
      <c r="E23" s="157"/>
      <c r="F23" s="167"/>
      <c r="G23" s="167"/>
      <c r="H23" s="167"/>
      <c r="I23" s="167"/>
      <c r="J23" s="190"/>
      <c r="K23" s="12"/>
      <c r="L23" s="2"/>
    </row>
    <row r="24" spans="1:12" ht="15.75" thickBot="1" x14ac:dyDescent="0.3">
      <c r="A24" s="2"/>
      <c r="B24" s="11"/>
      <c r="C24" s="161"/>
      <c r="D24" s="158"/>
      <c r="E24" s="158"/>
      <c r="F24" s="168"/>
      <c r="G24" s="168"/>
      <c r="H24" s="168"/>
      <c r="I24" s="168"/>
      <c r="J24" s="191"/>
      <c r="K24" s="12"/>
      <c r="L24" s="2"/>
    </row>
    <row r="25" spans="1:12" x14ac:dyDescent="0.25">
      <c r="A25" s="2"/>
      <c r="B25" s="11"/>
      <c r="C25" s="76">
        <v>2021</v>
      </c>
      <c r="D25" s="77" t="s">
        <v>169</v>
      </c>
      <c r="E25" s="79">
        <v>10</v>
      </c>
      <c r="F25" s="79">
        <v>20</v>
      </c>
      <c r="G25" s="79">
        <v>0.25</v>
      </c>
      <c r="H25" s="79">
        <v>5.4699999999999999E-2</v>
      </c>
      <c r="I25" s="33">
        <f>E25*G25*H25</f>
        <v>0.13674999999999998</v>
      </c>
      <c r="J25" s="45">
        <f>F25*G25*H25</f>
        <v>0.27349999999999997</v>
      </c>
      <c r="K25" s="12"/>
      <c r="L25" s="2"/>
    </row>
    <row r="26" spans="1:12" x14ac:dyDescent="0.25">
      <c r="A26" s="2"/>
      <c r="B26" s="11"/>
      <c r="C26" s="80">
        <v>2021</v>
      </c>
      <c r="D26" s="81" t="s">
        <v>170</v>
      </c>
      <c r="E26" s="82">
        <v>12</v>
      </c>
      <c r="F26" s="79">
        <v>10</v>
      </c>
      <c r="G26" s="79">
        <v>0.25</v>
      </c>
      <c r="H26" s="79">
        <v>5.4699999999999999E-2</v>
      </c>
      <c r="I26" s="33">
        <f t="shared" ref="I26:I86" si="0">E26*G26*H26</f>
        <v>0.1641</v>
      </c>
      <c r="J26" s="45">
        <f t="shared" ref="J26:J86" si="1">F26*G26*H26</f>
        <v>0.13674999999999998</v>
      </c>
      <c r="K26" s="12"/>
      <c r="L26" s="2"/>
    </row>
    <row r="27" spans="1:12" x14ac:dyDescent="0.25">
      <c r="A27" s="2"/>
      <c r="B27" s="11"/>
      <c r="C27" s="80">
        <v>2022</v>
      </c>
      <c r="D27" s="81" t="s">
        <v>169</v>
      </c>
      <c r="E27" s="82">
        <v>15</v>
      </c>
      <c r="F27" s="79">
        <v>10</v>
      </c>
      <c r="G27" s="79">
        <v>0.25</v>
      </c>
      <c r="H27" s="79">
        <v>5.4699999999999999E-2</v>
      </c>
      <c r="I27" s="33">
        <f t="shared" si="0"/>
        <v>0.205125</v>
      </c>
      <c r="J27" s="45">
        <f t="shared" si="1"/>
        <v>0.13674999999999998</v>
      </c>
      <c r="K27" s="12"/>
      <c r="L27" s="2"/>
    </row>
    <row r="28" spans="1:12" x14ac:dyDescent="0.25">
      <c r="A28" s="2"/>
      <c r="B28" s="11"/>
      <c r="C28" s="80">
        <v>2022</v>
      </c>
      <c r="D28" s="81" t="s">
        <v>170</v>
      </c>
      <c r="E28" s="82">
        <v>13</v>
      </c>
      <c r="F28" s="79">
        <v>15</v>
      </c>
      <c r="G28" s="79">
        <v>0.25</v>
      </c>
      <c r="H28" s="79">
        <v>5.4699999999999999E-2</v>
      </c>
      <c r="I28" s="33">
        <f t="shared" si="0"/>
        <v>0.17777499999999999</v>
      </c>
      <c r="J28" s="45">
        <f t="shared" si="1"/>
        <v>0.205125</v>
      </c>
      <c r="K28" s="12"/>
      <c r="L28" s="2"/>
    </row>
    <row r="29" spans="1:12" x14ac:dyDescent="0.25">
      <c r="A29" s="2"/>
      <c r="B29" s="11"/>
      <c r="C29" s="80">
        <v>2023</v>
      </c>
      <c r="D29" s="81" t="s">
        <v>169</v>
      </c>
      <c r="E29" s="82">
        <v>9</v>
      </c>
      <c r="F29" s="79">
        <v>12</v>
      </c>
      <c r="G29" s="79">
        <v>0.25</v>
      </c>
      <c r="H29" s="79">
        <v>5.4699999999999999E-2</v>
      </c>
      <c r="I29" s="33">
        <f t="shared" si="0"/>
        <v>0.12307499999999999</v>
      </c>
      <c r="J29" s="45">
        <f t="shared" si="1"/>
        <v>0.1641</v>
      </c>
      <c r="K29" s="12"/>
      <c r="L29" s="2"/>
    </row>
    <row r="30" spans="1:12" x14ac:dyDescent="0.25">
      <c r="A30" s="2"/>
      <c r="B30" s="11"/>
      <c r="C30" s="80">
        <v>2023</v>
      </c>
      <c r="D30" s="81" t="s">
        <v>170</v>
      </c>
      <c r="E30" s="82">
        <v>13</v>
      </c>
      <c r="F30" s="79">
        <v>18</v>
      </c>
      <c r="G30" s="79">
        <v>0.25</v>
      </c>
      <c r="H30" s="79">
        <v>5.4699999999999999E-2</v>
      </c>
      <c r="I30" s="33">
        <f t="shared" si="0"/>
        <v>0.17777499999999999</v>
      </c>
      <c r="J30" s="45">
        <f t="shared" si="1"/>
        <v>0.24614999999999998</v>
      </c>
      <c r="K30" s="12"/>
      <c r="L30" s="2"/>
    </row>
    <row r="31" spans="1:12" x14ac:dyDescent="0.25">
      <c r="A31" s="2"/>
      <c r="B31" s="11"/>
      <c r="C31" s="80">
        <v>2024</v>
      </c>
      <c r="D31" s="81" t="s">
        <v>169</v>
      </c>
      <c r="E31" s="82">
        <v>11</v>
      </c>
      <c r="F31" s="79">
        <v>17</v>
      </c>
      <c r="G31" s="79">
        <v>0.25</v>
      </c>
      <c r="H31" s="79">
        <v>5.4699999999999999E-2</v>
      </c>
      <c r="I31" s="33">
        <f t="shared" si="0"/>
        <v>0.150425</v>
      </c>
      <c r="J31" s="45">
        <f t="shared" si="1"/>
        <v>0.23247499999999999</v>
      </c>
      <c r="K31" s="12"/>
      <c r="L31" s="2"/>
    </row>
    <row r="32" spans="1:12" x14ac:dyDescent="0.25">
      <c r="A32" s="2"/>
      <c r="B32" s="11"/>
      <c r="C32" s="80">
        <v>2024</v>
      </c>
      <c r="D32" s="81" t="s">
        <v>170</v>
      </c>
      <c r="E32" s="82">
        <v>9</v>
      </c>
      <c r="F32" s="79">
        <v>10</v>
      </c>
      <c r="G32" s="79">
        <v>0.25</v>
      </c>
      <c r="H32" s="79">
        <v>5.4699999999999999E-2</v>
      </c>
      <c r="I32" s="33">
        <f t="shared" si="0"/>
        <v>0.12307499999999999</v>
      </c>
      <c r="J32" s="45">
        <f t="shared" si="1"/>
        <v>0.13674999999999998</v>
      </c>
      <c r="K32" s="12"/>
      <c r="L32" s="2"/>
    </row>
    <row r="33" spans="1:12" x14ac:dyDescent="0.25">
      <c r="A33" s="2"/>
      <c r="B33" s="11"/>
      <c r="C33" s="80"/>
      <c r="D33" s="81"/>
      <c r="E33" s="82"/>
      <c r="F33" s="79"/>
      <c r="G33" s="82"/>
      <c r="H33" s="82"/>
      <c r="I33" s="33">
        <f t="shared" si="0"/>
        <v>0</v>
      </c>
      <c r="J33" s="45">
        <f t="shared" si="1"/>
        <v>0</v>
      </c>
      <c r="K33" s="12"/>
      <c r="L33" s="2"/>
    </row>
    <row r="34" spans="1:12" x14ac:dyDescent="0.25">
      <c r="A34" s="2"/>
      <c r="B34" s="11"/>
      <c r="C34" s="80"/>
      <c r="D34" s="81"/>
      <c r="E34" s="82"/>
      <c r="F34" s="79"/>
      <c r="G34" s="82"/>
      <c r="H34" s="82"/>
      <c r="I34" s="33">
        <f t="shared" si="0"/>
        <v>0</v>
      </c>
      <c r="J34" s="45">
        <f t="shared" si="1"/>
        <v>0</v>
      </c>
      <c r="K34" s="12"/>
      <c r="L34" s="2"/>
    </row>
    <row r="35" spans="1:12" x14ac:dyDescent="0.25">
      <c r="A35" s="2"/>
      <c r="B35" s="11"/>
      <c r="C35" s="80"/>
      <c r="D35" s="81"/>
      <c r="E35" s="82"/>
      <c r="F35" s="79"/>
      <c r="G35" s="82"/>
      <c r="H35" s="82"/>
      <c r="I35" s="33">
        <f t="shared" si="0"/>
        <v>0</v>
      </c>
      <c r="J35" s="45">
        <f t="shared" si="1"/>
        <v>0</v>
      </c>
      <c r="K35" s="12"/>
      <c r="L35" s="2"/>
    </row>
    <row r="36" spans="1:12" x14ac:dyDescent="0.25">
      <c r="A36" s="2"/>
      <c r="B36" s="11"/>
      <c r="C36" s="80"/>
      <c r="D36" s="81"/>
      <c r="E36" s="82"/>
      <c r="F36" s="79"/>
      <c r="G36" s="82"/>
      <c r="H36" s="82"/>
      <c r="I36" s="33">
        <f t="shared" si="0"/>
        <v>0</v>
      </c>
      <c r="J36" s="45">
        <f t="shared" si="1"/>
        <v>0</v>
      </c>
      <c r="K36" s="12"/>
      <c r="L36" s="2"/>
    </row>
    <row r="37" spans="1:12" x14ac:dyDescent="0.25">
      <c r="A37" s="2"/>
      <c r="B37" s="11"/>
      <c r="C37" s="80"/>
      <c r="D37" s="81"/>
      <c r="E37" s="82"/>
      <c r="F37" s="79"/>
      <c r="G37" s="82"/>
      <c r="H37" s="82"/>
      <c r="I37" s="33">
        <f t="shared" si="0"/>
        <v>0</v>
      </c>
      <c r="J37" s="45">
        <f t="shared" si="1"/>
        <v>0</v>
      </c>
      <c r="K37" s="12"/>
      <c r="L37" s="2"/>
    </row>
    <row r="38" spans="1:12" x14ac:dyDescent="0.25">
      <c r="A38" s="2"/>
      <c r="B38" s="11"/>
      <c r="C38" s="80"/>
      <c r="D38" s="81"/>
      <c r="E38" s="82"/>
      <c r="F38" s="79"/>
      <c r="G38" s="82"/>
      <c r="H38" s="82"/>
      <c r="I38" s="33">
        <f t="shared" si="0"/>
        <v>0</v>
      </c>
      <c r="J38" s="45">
        <f t="shared" si="1"/>
        <v>0</v>
      </c>
      <c r="K38" s="12"/>
      <c r="L38" s="2"/>
    </row>
    <row r="39" spans="1:12" x14ac:dyDescent="0.25">
      <c r="A39" s="2"/>
      <c r="B39" s="11"/>
      <c r="C39" s="80"/>
      <c r="D39" s="81"/>
      <c r="E39" s="82"/>
      <c r="F39" s="79"/>
      <c r="G39" s="82"/>
      <c r="H39" s="82"/>
      <c r="I39" s="33">
        <f t="shared" si="0"/>
        <v>0</v>
      </c>
      <c r="J39" s="45">
        <f t="shared" si="1"/>
        <v>0</v>
      </c>
      <c r="K39" s="12"/>
      <c r="L39" s="2"/>
    </row>
    <row r="40" spans="1:12" x14ac:dyDescent="0.25">
      <c r="A40" s="2"/>
      <c r="B40" s="11"/>
      <c r="C40" s="80"/>
      <c r="D40" s="81"/>
      <c r="E40" s="82"/>
      <c r="F40" s="79"/>
      <c r="G40" s="82"/>
      <c r="H40" s="82"/>
      <c r="I40" s="33">
        <f t="shared" si="0"/>
        <v>0</v>
      </c>
      <c r="J40" s="45">
        <f t="shared" si="1"/>
        <v>0</v>
      </c>
      <c r="K40" s="12"/>
      <c r="L40" s="2"/>
    </row>
    <row r="41" spans="1:12" x14ac:dyDescent="0.25">
      <c r="A41" s="2"/>
      <c r="B41" s="11"/>
      <c r="C41" s="80"/>
      <c r="D41" s="81"/>
      <c r="E41" s="82"/>
      <c r="F41" s="79"/>
      <c r="G41" s="82"/>
      <c r="H41" s="82"/>
      <c r="I41" s="33">
        <f t="shared" si="0"/>
        <v>0</v>
      </c>
      <c r="J41" s="45">
        <f t="shared" si="1"/>
        <v>0</v>
      </c>
      <c r="K41" s="12"/>
      <c r="L41" s="2"/>
    </row>
    <row r="42" spans="1:12" x14ac:dyDescent="0.25">
      <c r="A42" s="2"/>
      <c r="B42" s="11"/>
      <c r="C42" s="80"/>
      <c r="D42" s="81"/>
      <c r="E42" s="82"/>
      <c r="F42" s="79"/>
      <c r="G42" s="82"/>
      <c r="H42" s="82"/>
      <c r="I42" s="33">
        <f t="shared" si="0"/>
        <v>0</v>
      </c>
      <c r="J42" s="45">
        <f t="shared" si="1"/>
        <v>0</v>
      </c>
      <c r="K42" s="12"/>
      <c r="L42" s="2"/>
    </row>
    <row r="43" spans="1:12" x14ac:dyDescent="0.25">
      <c r="A43" s="2"/>
      <c r="B43" s="11"/>
      <c r="C43" s="80"/>
      <c r="D43" s="81"/>
      <c r="E43" s="82"/>
      <c r="F43" s="79"/>
      <c r="G43" s="82"/>
      <c r="H43" s="82"/>
      <c r="I43" s="33">
        <f t="shared" si="0"/>
        <v>0</v>
      </c>
      <c r="J43" s="45">
        <f t="shared" si="1"/>
        <v>0</v>
      </c>
      <c r="K43" s="12"/>
      <c r="L43" s="2"/>
    </row>
    <row r="44" spans="1:12" x14ac:dyDescent="0.25">
      <c r="A44" s="2"/>
      <c r="B44" s="11"/>
      <c r="C44" s="80"/>
      <c r="D44" s="81"/>
      <c r="E44" s="82"/>
      <c r="F44" s="79"/>
      <c r="G44" s="82"/>
      <c r="H44" s="82"/>
      <c r="I44" s="33">
        <f t="shared" si="0"/>
        <v>0</v>
      </c>
      <c r="J44" s="45">
        <f t="shared" si="1"/>
        <v>0</v>
      </c>
      <c r="K44" s="12"/>
      <c r="L44" s="2"/>
    </row>
    <row r="45" spans="1:12" x14ac:dyDescent="0.25">
      <c r="A45" s="2"/>
      <c r="B45" s="11"/>
      <c r="C45" s="80"/>
      <c r="D45" s="81"/>
      <c r="E45" s="82"/>
      <c r="F45" s="79"/>
      <c r="G45" s="82"/>
      <c r="H45" s="82"/>
      <c r="I45" s="33">
        <f t="shared" si="0"/>
        <v>0</v>
      </c>
      <c r="J45" s="45">
        <f t="shared" si="1"/>
        <v>0</v>
      </c>
      <c r="K45" s="12"/>
      <c r="L45" s="2"/>
    </row>
    <row r="46" spans="1:12" x14ac:dyDescent="0.25">
      <c r="A46" s="2"/>
      <c r="B46" s="11"/>
      <c r="C46" s="80"/>
      <c r="D46" s="81"/>
      <c r="E46" s="82"/>
      <c r="F46" s="79"/>
      <c r="G46" s="82"/>
      <c r="H46" s="82"/>
      <c r="I46" s="33">
        <f t="shared" si="0"/>
        <v>0</v>
      </c>
      <c r="J46" s="45">
        <f t="shared" si="1"/>
        <v>0</v>
      </c>
      <c r="K46" s="12"/>
      <c r="L46" s="2"/>
    </row>
    <row r="47" spans="1:12" x14ac:dyDescent="0.25">
      <c r="A47" s="2"/>
      <c r="B47" s="11"/>
      <c r="C47" s="80"/>
      <c r="D47" s="81"/>
      <c r="E47" s="82"/>
      <c r="F47" s="79"/>
      <c r="G47" s="82"/>
      <c r="H47" s="82"/>
      <c r="I47" s="33">
        <f t="shared" si="0"/>
        <v>0</v>
      </c>
      <c r="J47" s="45">
        <f t="shared" si="1"/>
        <v>0</v>
      </c>
      <c r="K47" s="12"/>
      <c r="L47" s="2"/>
    </row>
    <row r="48" spans="1:12" x14ac:dyDescent="0.25">
      <c r="A48" s="2"/>
      <c r="B48" s="11"/>
      <c r="C48" s="80"/>
      <c r="D48" s="81"/>
      <c r="E48" s="82"/>
      <c r="F48" s="79"/>
      <c r="G48" s="82"/>
      <c r="H48" s="82"/>
      <c r="I48" s="33">
        <f t="shared" si="0"/>
        <v>0</v>
      </c>
      <c r="J48" s="45">
        <f t="shared" si="1"/>
        <v>0</v>
      </c>
      <c r="K48" s="12"/>
      <c r="L48" s="2"/>
    </row>
    <row r="49" spans="1:12" x14ac:dyDescent="0.25">
      <c r="A49" s="2"/>
      <c r="B49" s="11"/>
      <c r="C49" s="80"/>
      <c r="D49" s="81"/>
      <c r="E49" s="82"/>
      <c r="F49" s="79"/>
      <c r="G49" s="82"/>
      <c r="H49" s="82"/>
      <c r="I49" s="33">
        <f t="shared" si="0"/>
        <v>0</v>
      </c>
      <c r="J49" s="45">
        <f t="shared" si="1"/>
        <v>0</v>
      </c>
      <c r="K49" s="12"/>
      <c r="L49" s="2"/>
    </row>
    <row r="50" spans="1:12" x14ac:dyDescent="0.25">
      <c r="A50" s="2"/>
      <c r="B50" s="11"/>
      <c r="C50" s="80"/>
      <c r="D50" s="81"/>
      <c r="E50" s="82"/>
      <c r="F50" s="79"/>
      <c r="G50" s="82"/>
      <c r="H50" s="82"/>
      <c r="I50" s="33">
        <f t="shared" si="0"/>
        <v>0</v>
      </c>
      <c r="J50" s="45">
        <f t="shared" si="1"/>
        <v>0</v>
      </c>
      <c r="K50" s="12"/>
      <c r="L50" s="2"/>
    </row>
    <row r="51" spans="1:12" x14ac:dyDescent="0.25">
      <c r="A51" s="2"/>
      <c r="B51" s="11"/>
      <c r="C51" s="80"/>
      <c r="D51" s="81"/>
      <c r="E51" s="82"/>
      <c r="F51" s="79"/>
      <c r="G51" s="82"/>
      <c r="H51" s="82"/>
      <c r="I51" s="33">
        <f t="shared" si="0"/>
        <v>0</v>
      </c>
      <c r="J51" s="45">
        <f t="shared" si="1"/>
        <v>0</v>
      </c>
      <c r="K51" s="12"/>
      <c r="L51" s="2"/>
    </row>
    <row r="52" spans="1:12" x14ac:dyDescent="0.25">
      <c r="A52" s="2"/>
      <c r="B52" s="11"/>
      <c r="C52" s="80"/>
      <c r="D52" s="81"/>
      <c r="E52" s="82"/>
      <c r="F52" s="79"/>
      <c r="G52" s="82"/>
      <c r="H52" s="82"/>
      <c r="I52" s="33">
        <f t="shared" si="0"/>
        <v>0</v>
      </c>
      <c r="J52" s="45">
        <f t="shared" si="1"/>
        <v>0</v>
      </c>
      <c r="K52" s="12"/>
      <c r="L52" s="2"/>
    </row>
    <row r="53" spans="1:12" x14ac:dyDescent="0.25">
      <c r="A53" s="2"/>
      <c r="B53" s="11"/>
      <c r="C53" s="80"/>
      <c r="D53" s="81"/>
      <c r="E53" s="82"/>
      <c r="F53" s="79"/>
      <c r="G53" s="82"/>
      <c r="H53" s="82"/>
      <c r="I53" s="33">
        <f t="shared" si="0"/>
        <v>0</v>
      </c>
      <c r="J53" s="45">
        <f t="shared" si="1"/>
        <v>0</v>
      </c>
      <c r="K53" s="12"/>
      <c r="L53" s="2"/>
    </row>
    <row r="54" spans="1:12" x14ac:dyDescent="0.25">
      <c r="A54" s="2"/>
      <c r="B54" s="11"/>
      <c r="C54" s="80"/>
      <c r="D54" s="81"/>
      <c r="E54" s="82"/>
      <c r="F54" s="79"/>
      <c r="G54" s="82"/>
      <c r="H54" s="82"/>
      <c r="I54" s="33">
        <f t="shared" si="0"/>
        <v>0</v>
      </c>
      <c r="J54" s="45">
        <f t="shared" si="1"/>
        <v>0</v>
      </c>
      <c r="K54" s="12"/>
      <c r="L54" s="2"/>
    </row>
    <row r="55" spans="1:12" x14ac:dyDescent="0.25">
      <c r="A55" s="2"/>
      <c r="B55" s="11"/>
      <c r="C55" s="80"/>
      <c r="D55" s="81"/>
      <c r="E55" s="82"/>
      <c r="F55" s="79"/>
      <c r="G55" s="82"/>
      <c r="H55" s="82"/>
      <c r="I55" s="33">
        <f t="shared" si="0"/>
        <v>0</v>
      </c>
      <c r="J55" s="45">
        <f t="shared" si="1"/>
        <v>0</v>
      </c>
      <c r="K55" s="12"/>
      <c r="L55" s="2"/>
    </row>
    <row r="56" spans="1:12" x14ac:dyDescent="0.25">
      <c r="A56" s="2"/>
      <c r="B56" s="11"/>
      <c r="C56" s="80"/>
      <c r="D56" s="81"/>
      <c r="E56" s="82"/>
      <c r="F56" s="79"/>
      <c r="G56" s="82"/>
      <c r="H56" s="82"/>
      <c r="I56" s="33">
        <f t="shared" si="0"/>
        <v>0</v>
      </c>
      <c r="J56" s="45">
        <f t="shared" si="1"/>
        <v>0</v>
      </c>
      <c r="K56" s="12"/>
      <c r="L56" s="2"/>
    </row>
    <row r="57" spans="1:12" x14ac:dyDescent="0.25">
      <c r="A57" s="2"/>
      <c r="B57" s="11"/>
      <c r="C57" s="80"/>
      <c r="D57" s="81"/>
      <c r="E57" s="82"/>
      <c r="F57" s="79"/>
      <c r="G57" s="82"/>
      <c r="H57" s="82"/>
      <c r="I57" s="33">
        <f t="shared" si="0"/>
        <v>0</v>
      </c>
      <c r="J57" s="45">
        <f t="shared" si="1"/>
        <v>0</v>
      </c>
      <c r="K57" s="12"/>
      <c r="L57" s="2"/>
    </row>
    <row r="58" spans="1:12" x14ac:dyDescent="0.25">
      <c r="A58" s="2"/>
      <c r="B58" s="11"/>
      <c r="C58" s="80"/>
      <c r="D58" s="81"/>
      <c r="E58" s="82"/>
      <c r="F58" s="79"/>
      <c r="G58" s="82"/>
      <c r="H58" s="82"/>
      <c r="I58" s="33">
        <f t="shared" si="0"/>
        <v>0</v>
      </c>
      <c r="J58" s="45">
        <f t="shared" si="1"/>
        <v>0</v>
      </c>
      <c r="K58" s="12"/>
      <c r="L58" s="2"/>
    </row>
    <row r="59" spans="1:12" x14ac:dyDescent="0.25">
      <c r="A59" s="2"/>
      <c r="B59" s="11"/>
      <c r="C59" s="80"/>
      <c r="D59" s="81"/>
      <c r="E59" s="82"/>
      <c r="F59" s="79"/>
      <c r="G59" s="82"/>
      <c r="H59" s="82"/>
      <c r="I59" s="33">
        <f t="shared" si="0"/>
        <v>0</v>
      </c>
      <c r="J59" s="45">
        <f t="shared" si="1"/>
        <v>0</v>
      </c>
      <c r="K59" s="12"/>
      <c r="L59" s="2"/>
    </row>
    <row r="60" spans="1:12" x14ac:dyDescent="0.25">
      <c r="A60" s="2"/>
      <c r="B60" s="11"/>
      <c r="C60" s="80"/>
      <c r="D60" s="81"/>
      <c r="E60" s="82"/>
      <c r="F60" s="79"/>
      <c r="G60" s="82"/>
      <c r="H60" s="82"/>
      <c r="I60" s="33">
        <f t="shared" si="0"/>
        <v>0</v>
      </c>
      <c r="J60" s="45">
        <f t="shared" si="1"/>
        <v>0</v>
      </c>
      <c r="K60" s="12"/>
      <c r="L60" s="2"/>
    </row>
    <row r="61" spans="1:12" x14ac:dyDescent="0.25">
      <c r="A61" s="2"/>
      <c r="B61" s="11"/>
      <c r="C61" s="80"/>
      <c r="D61" s="81"/>
      <c r="E61" s="82"/>
      <c r="F61" s="79"/>
      <c r="G61" s="82"/>
      <c r="H61" s="82"/>
      <c r="I61" s="33">
        <f t="shared" si="0"/>
        <v>0</v>
      </c>
      <c r="J61" s="45">
        <f t="shared" si="1"/>
        <v>0</v>
      </c>
      <c r="K61" s="12"/>
      <c r="L61" s="2"/>
    </row>
    <row r="62" spans="1:12" x14ac:dyDescent="0.25">
      <c r="A62" s="2"/>
      <c r="B62" s="11"/>
      <c r="C62" s="80"/>
      <c r="D62" s="81"/>
      <c r="E62" s="82"/>
      <c r="F62" s="79"/>
      <c r="G62" s="82"/>
      <c r="H62" s="82"/>
      <c r="I62" s="33">
        <f t="shared" si="0"/>
        <v>0</v>
      </c>
      <c r="J62" s="45">
        <f t="shared" si="1"/>
        <v>0</v>
      </c>
      <c r="K62" s="12"/>
      <c r="L62" s="2"/>
    </row>
    <row r="63" spans="1:12" x14ac:dyDescent="0.25">
      <c r="A63" s="2"/>
      <c r="B63" s="11"/>
      <c r="C63" s="80"/>
      <c r="D63" s="81"/>
      <c r="E63" s="82"/>
      <c r="F63" s="79"/>
      <c r="G63" s="82"/>
      <c r="H63" s="82"/>
      <c r="I63" s="33">
        <f t="shared" si="0"/>
        <v>0</v>
      </c>
      <c r="J63" s="45">
        <f t="shared" si="1"/>
        <v>0</v>
      </c>
      <c r="K63" s="12"/>
      <c r="L63" s="2"/>
    </row>
    <row r="64" spans="1:12" x14ac:dyDescent="0.25">
      <c r="A64" s="2"/>
      <c r="B64" s="11"/>
      <c r="C64" s="80"/>
      <c r="D64" s="81"/>
      <c r="E64" s="82"/>
      <c r="F64" s="79"/>
      <c r="G64" s="82"/>
      <c r="H64" s="82"/>
      <c r="I64" s="33">
        <f t="shared" si="0"/>
        <v>0</v>
      </c>
      <c r="J64" s="45">
        <f t="shared" si="1"/>
        <v>0</v>
      </c>
      <c r="K64" s="12"/>
      <c r="L64" s="2"/>
    </row>
    <row r="65" spans="1:12" x14ac:dyDescent="0.25">
      <c r="A65" s="2"/>
      <c r="B65" s="11"/>
      <c r="C65" s="80"/>
      <c r="D65" s="81"/>
      <c r="E65" s="82"/>
      <c r="F65" s="79"/>
      <c r="G65" s="82"/>
      <c r="H65" s="82"/>
      <c r="I65" s="33">
        <f t="shared" si="0"/>
        <v>0</v>
      </c>
      <c r="J65" s="45">
        <f t="shared" si="1"/>
        <v>0</v>
      </c>
      <c r="K65" s="12"/>
      <c r="L65" s="2"/>
    </row>
    <row r="66" spans="1:12" x14ac:dyDescent="0.25">
      <c r="A66" s="2"/>
      <c r="B66" s="11"/>
      <c r="C66" s="80"/>
      <c r="D66" s="81"/>
      <c r="E66" s="82"/>
      <c r="F66" s="79"/>
      <c r="G66" s="82"/>
      <c r="H66" s="82"/>
      <c r="I66" s="33">
        <f t="shared" si="0"/>
        <v>0</v>
      </c>
      <c r="J66" s="45">
        <f t="shared" si="1"/>
        <v>0</v>
      </c>
      <c r="K66" s="12"/>
      <c r="L66" s="2"/>
    </row>
    <row r="67" spans="1:12" x14ac:dyDescent="0.25">
      <c r="A67" s="2"/>
      <c r="B67" s="11"/>
      <c r="C67" s="80"/>
      <c r="D67" s="81"/>
      <c r="E67" s="82"/>
      <c r="F67" s="79"/>
      <c r="G67" s="82"/>
      <c r="H67" s="82"/>
      <c r="I67" s="33">
        <f t="shared" si="0"/>
        <v>0</v>
      </c>
      <c r="J67" s="45">
        <f t="shared" si="1"/>
        <v>0</v>
      </c>
      <c r="K67" s="12"/>
      <c r="L67" s="2"/>
    </row>
    <row r="68" spans="1:12" x14ac:dyDescent="0.25">
      <c r="A68" s="2"/>
      <c r="B68" s="11"/>
      <c r="C68" s="80"/>
      <c r="D68" s="81"/>
      <c r="E68" s="82"/>
      <c r="F68" s="79"/>
      <c r="G68" s="82"/>
      <c r="H68" s="82"/>
      <c r="I68" s="33">
        <f t="shared" si="0"/>
        <v>0</v>
      </c>
      <c r="J68" s="45">
        <f t="shared" si="1"/>
        <v>0</v>
      </c>
      <c r="K68" s="12"/>
      <c r="L68" s="2"/>
    </row>
    <row r="69" spans="1:12" x14ac:dyDescent="0.25">
      <c r="A69" s="2"/>
      <c r="B69" s="11"/>
      <c r="C69" s="80"/>
      <c r="D69" s="81"/>
      <c r="E69" s="82"/>
      <c r="F69" s="79"/>
      <c r="G69" s="82"/>
      <c r="H69" s="82"/>
      <c r="I69" s="33">
        <f t="shared" si="0"/>
        <v>0</v>
      </c>
      <c r="J69" s="45">
        <f t="shared" si="1"/>
        <v>0</v>
      </c>
      <c r="K69" s="12"/>
      <c r="L69" s="2"/>
    </row>
    <row r="70" spans="1:12" x14ac:dyDescent="0.25">
      <c r="A70" s="2"/>
      <c r="B70" s="11"/>
      <c r="C70" s="80"/>
      <c r="D70" s="81"/>
      <c r="E70" s="82"/>
      <c r="F70" s="79"/>
      <c r="G70" s="82"/>
      <c r="H70" s="82"/>
      <c r="I70" s="33">
        <f>E70*G70*H70</f>
        <v>0</v>
      </c>
      <c r="J70" s="45">
        <f t="shared" si="1"/>
        <v>0</v>
      </c>
      <c r="K70" s="12"/>
      <c r="L70" s="2"/>
    </row>
    <row r="71" spans="1:12" x14ac:dyDescent="0.25">
      <c r="A71" s="2"/>
      <c r="B71" s="11"/>
      <c r="C71" s="80"/>
      <c r="D71" s="81"/>
      <c r="E71" s="82"/>
      <c r="F71" s="79"/>
      <c r="G71" s="82"/>
      <c r="H71" s="82"/>
      <c r="I71" s="33">
        <f t="shared" si="0"/>
        <v>0</v>
      </c>
      <c r="J71" s="45">
        <f t="shared" si="1"/>
        <v>0</v>
      </c>
      <c r="K71" s="12"/>
      <c r="L71" s="2"/>
    </row>
    <row r="72" spans="1:12" x14ac:dyDescent="0.25">
      <c r="A72" s="2"/>
      <c r="B72" s="11"/>
      <c r="C72" s="80"/>
      <c r="D72" s="81"/>
      <c r="E72" s="82"/>
      <c r="F72" s="79"/>
      <c r="G72" s="82"/>
      <c r="H72" s="82"/>
      <c r="I72" s="33">
        <f t="shared" si="0"/>
        <v>0</v>
      </c>
      <c r="J72" s="45">
        <f t="shared" si="1"/>
        <v>0</v>
      </c>
      <c r="K72" s="12"/>
      <c r="L72" s="2"/>
    </row>
    <row r="73" spans="1:12" x14ac:dyDescent="0.25">
      <c r="A73" s="2"/>
      <c r="B73" s="11"/>
      <c r="C73" s="80"/>
      <c r="D73" s="81"/>
      <c r="E73" s="82"/>
      <c r="F73" s="79"/>
      <c r="G73" s="82"/>
      <c r="H73" s="82"/>
      <c r="I73" s="33">
        <f t="shared" si="0"/>
        <v>0</v>
      </c>
      <c r="J73" s="45">
        <f t="shared" si="1"/>
        <v>0</v>
      </c>
      <c r="K73" s="12"/>
      <c r="L73" s="2"/>
    </row>
    <row r="74" spans="1:12" x14ac:dyDescent="0.25">
      <c r="A74" s="2"/>
      <c r="B74" s="11"/>
      <c r="C74" s="80"/>
      <c r="D74" s="81"/>
      <c r="E74" s="82"/>
      <c r="F74" s="79"/>
      <c r="G74" s="82"/>
      <c r="H74" s="82"/>
      <c r="I74" s="33">
        <f t="shared" si="0"/>
        <v>0</v>
      </c>
      <c r="J74" s="45">
        <f t="shared" si="1"/>
        <v>0</v>
      </c>
      <c r="K74" s="12"/>
      <c r="L74" s="2"/>
    </row>
    <row r="75" spans="1:12" x14ac:dyDescent="0.25">
      <c r="A75" s="2"/>
      <c r="B75" s="11"/>
      <c r="C75" s="80"/>
      <c r="D75" s="81"/>
      <c r="E75" s="82"/>
      <c r="F75" s="79"/>
      <c r="G75" s="82"/>
      <c r="H75" s="82"/>
      <c r="I75" s="33">
        <f t="shared" si="0"/>
        <v>0</v>
      </c>
      <c r="J75" s="45">
        <f t="shared" si="1"/>
        <v>0</v>
      </c>
      <c r="K75" s="12"/>
      <c r="L75" s="2"/>
    </row>
    <row r="76" spans="1:12" x14ac:dyDescent="0.25">
      <c r="A76" s="2"/>
      <c r="B76" s="11"/>
      <c r="C76" s="80"/>
      <c r="D76" s="81"/>
      <c r="E76" s="82"/>
      <c r="F76" s="79"/>
      <c r="G76" s="82"/>
      <c r="H76" s="82"/>
      <c r="I76" s="33">
        <f t="shared" si="0"/>
        <v>0</v>
      </c>
      <c r="J76" s="45">
        <f t="shared" si="1"/>
        <v>0</v>
      </c>
      <c r="K76" s="12"/>
      <c r="L76" s="2"/>
    </row>
    <row r="77" spans="1:12" x14ac:dyDescent="0.25">
      <c r="A77" s="2"/>
      <c r="B77" s="11"/>
      <c r="C77" s="80"/>
      <c r="D77" s="81"/>
      <c r="E77" s="82"/>
      <c r="F77" s="79"/>
      <c r="G77" s="82"/>
      <c r="H77" s="82"/>
      <c r="I77" s="33">
        <f t="shared" si="0"/>
        <v>0</v>
      </c>
      <c r="J77" s="45">
        <f t="shared" si="1"/>
        <v>0</v>
      </c>
      <c r="K77" s="12"/>
      <c r="L77" s="2"/>
    </row>
    <row r="78" spans="1:12" x14ac:dyDescent="0.25">
      <c r="A78" s="2"/>
      <c r="B78" s="11"/>
      <c r="C78" s="80"/>
      <c r="D78" s="81"/>
      <c r="E78" s="82"/>
      <c r="F78" s="79"/>
      <c r="G78" s="82"/>
      <c r="H78" s="82"/>
      <c r="I78" s="33">
        <f t="shared" si="0"/>
        <v>0</v>
      </c>
      <c r="J78" s="45">
        <f t="shared" si="1"/>
        <v>0</v>
      </c>
      <c r="K78" s="12"/>
      <c r="L78" s="2"/>
    </row>
    <row r="79" spans="1:12" x14ac:dyDescent="0.25">
      <c r="A79" s="2"/>
      <c r="B79" s="11"/>
      <c r="C79" s="80"/>
      <c r="D79" s="81"/>
      <c r="E79" s="82"/>
      <c r="F79" s="79"/>
      <c r="G79" s="82"/>
      <c r="H79" s="82"/>
      <c r="I79" s="33">
        <f t="shared" si="0"/>
        <v>0</v>
      </c>
      <c r="J79" s="45">
        <f t="shared" si="1"/>
        <v>0</v>
      </c>
      <c r="K79" s="12"/>
      <c r="L79" s="2"/>
    </row>
    <row r="80" spans="1:12" x14ac:dyDescent="0.25">
      <c r="A80" s="2"/>
      <c r="B80" s="11"/>
      <c r="C80" s="83"/>
      <c r="D80" s="84"/>
      <c r="E80" s="82"/>
      <c r="F80" s="79"/>
      <c r="G80" s="82"/>
      <c r="H80" s="82"/>
      <c r="I80" s="33">
        <f t="shared" si="0"/>
        <v>0</v>
      </c>
      <c r="J80" s="45">
        <f t="shared" si="1"/>
        <v>0</v>
      </c>
      <c r="K80" s="12"/>
      <c r="L80" s="2"/>
    </row>
    <row r="81" spans="1:12" x14ac:dyDescent="0.25">
      <c r="A81" s="2"/>
      <c r="B81" s="11"/>
      <c r="C81" s="83"/>
      <c r="D81" s="84"/>
      <c r="E81" s="82"/>
      <c r="F81" s="79"/>
      <c r="G81" s="82"/>
      <c r="H81" s="82"/>
      <c r="I81" s="33">
        <f t="shared" si="0"/>
        <v>0</v>
      </c>
      <c r="J81" s="45">
        <f t="shared" si="1"/>
        <v>0</v>
      </c>
      <c r="K81" s="12"/>
      <c r="L81" s="2"/>
    </row>
    <row r="82" spans="1:12" x14ac:dyDescent="0.25">
      <c r="A82" s="2"/>
      <c r="B82" s="11"/>
      <c r="C82" s="83"/>
      <c r="D82" s="84"/>
      <c r="E82" s="82"/>
      <c r="F82" s="79"/>
      <c r="G82" s="82"/>
      <c r="H82" s="82"/>
      <c r="I82" s="33">
        <f t="shared" si="0"/>
        <v>0</v>
      </c>
      <c r="J82" s="45">
        <f t="shared" si="1"/>
        <v>0</v>
      </c>
      <c r="K82" s="12"/>
      <c r="L82" s="2"/>
    </row>
    <row r="83" spans="1:12" x14ac:dyDescent="0.25">
      <c r="A83" s="2"/>
      <c r="B83" s="11"/>
      <c r="C83" s="83"/>
      <c r="D83" s="84"/>
      <c r="E83" s="82"/>
      <c r="F83" s="79"/>
      <c r="G83" s="82"/>
      <c r="H83" s="82"/>
      <c r="I83" s="33">
        <f t="shared" si="0"/>
        <v>0</v>
      </c>
      <c r="J83" s="45">
        <f t="shared" si="1"/>
        <v>0</v>
      </c>
      <c r="K83" s="12"/>
      <c r="L83" s="2"/>
    </row>
    <row r="84" spans="1:12" x14ac:dyDescent="0.25">
      <c r="A84" s="2"/>
      <c r="B84" s="11"/>
      <c r="C84" s="83"/>
      <c r="D84" s="84"/>
      <c r="E84" s="82"/>
      <c r="F84" s="79"/>
      <c r="G84" s="82"/>
      <c r="H84" s="82"/>
      <c r="I84" s="33">
        <f t="shared" si="0"/>
        <v>0</v>
      </c>
      <c r="J84" s="45">
        <f t="shared" si="1"/>
        <v>0</v>
      </c>
      <c r="K84" s="12"/>
      <c r="L84" s="2"/>
    </row>
    <row r="85" spans="1:12" x14ac:dyDescent="0.25">
      <c r="A85" s="2"/>
      <c r="B85" s="11"/>
      <c r="C85" s="83"/>
      <c r="D85" s="84"/>
      <c r="E85" s="82"/>
      <c r="F85" s="79"/>
      <c r="G85" s="82"/>
      <c r="H85" s="82"/>
      <c r="I85" s="33">
        <f t="shared" si="0"/>
        <v>0</v>
      </c>
      <c r="J85" s="45">
        <f t="shared" si="1"/>
        <v>0</v>
      </c>
      <c r="K85" s="12"/>
      <c r="L85" s="2"/>
    </row>
    <row r="86" spans="1:12" ht="15.75" thickBot="1" x14ac:dyDescent="0.3">
      <c r="A86" s="2"/>
      <c r="B86" s="11"/>
      <c r="C86" s="86"/>
      <c r="D86" s="87"/>
      <c r="E86" s="89"/>
      <c r="F86" s="89"/>
      <c r="G86" s="89"/>
      <c r="H86" s="89"/>
      <c r="I86" s="35">
        <f t="shared" si="0"/>
        <v>0</v>
      </c>
      <c r="J86" s="46">
        <f t="shared" si="1"/>
        <v>0</v>
      </c>
      <c r="K86" s="12"/>
      <c r="L86" s="2"/>
    </row>
    <row r="87" spans="1:12" x14ac:dyDescent="0.25">
      <c r="A87" s="2"/>
      <c r="B87" s="11"/>
      <c r="C87" s="8"/>
      <c r="D87" s="8"/>
      <c r="E87" s="8"/>
      <c r="F87" s="8"/>
      <c r="G87" s="8"/>
      <c r="H87" s="8"/>
      <c r="I87" s="8"/>
      <c r="J87" s="8"/>
      <c r="K87" s="12"/>
      <c r="L87" s="2"/>
    </row>
    <row r="88" spans="1:12" ht="15.75" thickBot="1" x14ac:dyDescent="0.3">
      <c r="A88" s="2"/>
      <c r="B88" s="13"/>
      <c r="C88" s="24"/>
      <c r="D88" s="24"/>
      <c r="E88" s="24"/>
      <c r="F88" s="24"/>
      <c r="G88" s="24"/>
      <c r="H88" s="24"/>
      <c r="I88" s="24"/>
      <c r="J88" s="24"/>
      <c r="K88" s="16"/>
      <c r="L88" s="2"/>
    </row>
    <row r="89" spans="1:12" x14ac:dyDescent="0.25">
      <c r="A89" s="2"/>
      <c r="B89" s="2"/>
      <c r="C89" s="2"/>
      <c r="D89" s="2"/>
      <c r="E89" s="2"/>
      <c r="F89" s="2"/>
      <c r="G89" s="2"/>
      <c r="H89" s="2"/>
      <c r="I89" s="2"/>
      <c r="J89" s="2"/>
      <c r="K89" s="2"/>
      <c r="L89" s="2"/>
    </row>
    <row r="90" spans="1:12" x14ac:dyDescent="0.25">
      <c r="A90" s="2"/>
      <c r="B90" s="2"/>
      <c r="C90" s="2"/>
      <c r="D90" s="2"/>
      <c r="E90" s="2"/>
      <c r="F90" s="2"/>
      <c r="G90" s="2"/>
      <c r="H90" s="2"/>
      <c r="I90" s="2"/>
      <c r="J90" s="2"/>
      <c r="K90" s="2"/>
      <c r="L90" s="2"/>
    </row>
  </sheetData>
  <mergeCells count="11">
    <mergeCell ref="B5:K7"/>
    <mergeCell ref="D14:E14"/>
    <mergeCell ref="D16:E16"/>
    <mergeCell ref="I22:I24"/>
    <mergeCell ref="J22:J24"/>
    <mergeCell ref="C22:C24"/>
    <mergeCell ref="D22:D24"/>
    <mergeCell ref="E22:E24"/>
    <mergeCell ref="F22:F24"/>
    <mergeCell ref="G22:G24"/>
    <mergeCell ref="H22:H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0" r:id="rId3" name="Button 10">
              <controlPr defaultSize="0" print="0" autoFill="0" autoPict="0" macro="[0]!Redirect_project_emissions_fc_descriptions">
                <anchor moveWithCells="1" sizeWithCells="1">
                  <from>
                    <xdr:col>8</xdr:col>
                    <xdr:colOff>1228725</xdr:colOff>
                    <xdr:row>18</xdr:row>
                    <xdr:rowOff>85725</xdr:rowOff>
                  </from>
                  <to>
                    <xdr:col>9</xdr:col>
                    <xdr:colOff>2238375</xdr:colOff>
                    <xdr:row>20</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4D939-C359-4A0C-918A-AE9F93451987}">
  <sheetPr codeName="Sheet12"/>
  <dimension ref="A1:U270"/>
  <sheetViews>
    <sheetView topLeftCell="A30" workbookViewId="0">
      <selection activeCell="E51" sqref="E51"/>
    </sheetView>
  </sheetViews>
  <sheetFormatPr defaultRowHeight="15" x14ac:dyDescent="0.25"/>
  <cols>
    <col min="1" max="3" width="9.140625" style="1"/>
    <col min="4" max="4" width="12" style="1" customWidth="1"/>
    <col min="5" max="20" width="9.140625" style="1"/>
    <col min="21" max="21" width="11.140625" style="1" customWidth="1"/>
    <col min="22" max="16384" width="9.140625" style="1"/>
  </cols>
  <sheetData>
    <row r="1" spans="1:21" x14ac:dyDescent="0.25">
      <c r="A1" s="2"/>
      <c r="B1" s="2"/>
      <c r="C1" s="2"/>
      <c r="D1" s="2"/>
      <c r="E1" s="2"/>
      <c r="F1" s="2"/>
      <c r="G1" s="2"/>
      <c r="H1" s="2"/>
      <c r="I1" s="2"/>
      <c r="J1" s="2"/>
      <c r="K1" s="2"/>
      <c r="L1" s="2"/>
      <c r="M1" s="2"/>
      <c r="N1" s="2"/>
      <c r="O1" s="2"/>
      <c r="P1" s="2"/>
      <c r="Q1" s="2"/>
      <c r="R1" s="2"/>
      <c r="S1" s="2"/>
      <c r="T1" s="2"/>
      <c r="U1" s="2"/>
    </row>
    <row r="2" spans="1:21" x14ac:dyDescent="0.25">
      <c r="A2" s="2"/>
      <c r="B2" s="2"/>
      <c r="C2" s="2"/>
      <c r="D2" s="2"/>
      <c r="E2" s="2"/>
      <c r="F2" s="2"/>
      <c r="G2" s="2"/>
      <c r="H2" s="2"/>
      <c r="I2" s="2"/>
      <c r="J2" s="2"/>
      <c r="K2" s="2"/>
      <c r="L2" s="2"/>
      <c r="M2" s="2"/>
      <c r="N2" s="2"/>
      <c r="O2" s="2"/>
      <c r="P2" s="2"/>
      <c r="Q2" s="2"/>
      <c r="R2" s="2"/>
      <c r="S2" s="2"/>
      <c r="T2" s="2"/>
      <c r="U2" s="2"/>
    </row>
    <row r="3" spans="1:21" x14ac:dyDescent="0.25">
      <c r="A3" s="2"/>
      <c r="B3" s="2"/>
      <c r="C3" s="2"/>
      <c r="D3" s="2"/>
      <c r="E3" s="2"/>
      <c r="F3" s="2"/>
      <c r="G3" s="2"/>
      <c r="H3" s="2"/>
      <c r="I3" s="2"/>
      <c r="J3" s="2"/>
      <c r="K3" s="2"/>
      <c r="L3" s="2"/>
      <c r="M3" s="2"/>
      <c r="N3" s="2"/>
      <c r="O3" s="2"/>
      <c r="P3" s="2"/>
      <c r="Q3" s="2"/>
      <c r="R3" s="2"/>
      <c r="S3" s="2"/>
      <c r="T3" s="2"/>
      <c r="U3" s="2"/>
    </row>
    <row r="4" spans="1:21" ht="15.75" thickBot="1" x14ac:dyDescent="0.3">
      <c r="A4" s="2"/>
      <c r="B4" s="2"/>
      <c r="C4" s="2"/>
      <c r="D4" s="2"/>
      <c r="E4" s="2"/>
      <c r="F4" s="2"/>
      <c r="G4" s="2"/>
      <c r="H4" s="2"/>
      <c r="I4" s="2"/>
      <c r="J4" s="2"/>
      <c r="K4" s="2"/>
      <c r="L4" s="2"/>
      <c r="M4" s="2"/>
      <c r="N4" s="2"/>
      <c r="O4" s="2"/>
      <c r="P4" s="2"/>
      <c r="Q4" s="2"/>
      <c r="R4" s="2"/>
      <c r="S4" s="2"/>
      <c r="T4" s="2"/>
      <c r="U4" s="2"/>
    </row>
    <row r="5" spans="1:21" ht="15" customHeight="1" x14ac:dyDescent="0.25">
      <c r="A5" s="2"/>
      <c r="B5" s="129" t="s">
        <v>171</v>
      </c>
      <c r="C5" s="179"/>
      <c r="D5" s="179"/>
      <c r="E5" s="179"/>
      <c r="F5" s="179"/>
      <c r="G5" s="179"/>
      <c r="H5" s="179"/>
      <c r="I5" s="179"/>
      <c r="J5" s="179"/>
      <c r="K5" s="179"/>
      <c r="L5" s="179"/>
      <c r="M5" s="179"/>
      <c r="N5" s="179"/>
      <c r="O5" s="179"/>
      <c r="P5" s="179"/>
      <c r="Q5" s="179"/>
      <c r="R5" s="179"/>
      <c r="S5" s="179"/>
      <c r="T5" s="180"/>
      <c r="U5" s="2"/>
    </row>
    <row r="6" spans="1:21" ht="15" customHeight="1" x14ac:dyDescent="0.25">
      <c r="A6" s="2"/>
      <c r="B6" s="181"/>
      <c r="C6" s="182"/>
      <c r="D6" s="182"/>
      <c r="E6" s="182"/>
      <c r="F6" s="182"/>
      <c r="G6" s="182"/>
      <c r="H6" s="182"/>
      <c r="I6" s="182"/>
      <c r="J6" s="182"/>
      <c r="K6" s="182"/>
      <c r="L6" s="182"/>
      <c r="M6" s="182"/>
      <c r="N6" s="182"/>
      <c r="O6" s="182"/>
      <c r="P6" s="182"/>
      <c r="Q6" s="182"/>
      <c r="R6" s="182"/>
      <c r="S6" s="182"/>
      <c r="T6" s="183"/>
      <c r="U6" s="2"/>
    </row>
    <row r="7" spans="1:21" ht="15.75" customHeight="1" thickBot="1" x14ac:dyDescent="0.3">
      <c r="A7" s="2"/>
      <c r="B7" s="184"/>
      <c r="C7" s="185"/>
      <c r="D7" s="185"/>
      <c r="E7" s="185"/>
      <c r="F7" s="185"/>
      <c r="G7" s="185"/>
      <c r="H7" s="185"/>
      <c r="I7" s="185"/>
      <c r="J7" s="185"/>
      <c r="K7" s="185"/>
      <c r="L7" s="185"/>
      <c r="M7" s="185"/>
      <c r="N7" s="185"/>
      <c r="O7" s="185"/>
      <c r="P7" s="185"/>
      <c r="Q7" s="185"/>
      <c r="R7" s="185"/>
      <c r="S7" s="185"/>
      <c r="T7" s="186"/>
      <c r="U7" s="2"/>
    </row>
    <row r="8" spans="1:21" ht="15.75" thickTop="1" x14ac:dyDescent="0.25">
      <c r="A8" s="2"/>
      <c r="B8" s="11"/>
      <c r="C8" s="8"/>
      <c r="D8" s="8"/>
      <c r="E8" s="8"/>
      <c r="F8" s="8"/>
      <c r="G8" s="8"/>
      <c r="H8" s="8"/>
      <c r="I8" s="8"/>
      <c r="J8" s="8"/>
      <c r="K8" s="8"/>
      <c r="L8" s="8"/>
      <c r="M8" s="8"/>
      <c r="N8" s="8"/>
      <c r="O8" s="8"/>
      <c r="P8" s="8"/>
      <c r="Q8" s="8"/>
      <c r="R8" s="8"/>
      <c r="S8" s="8"/>
      <c r="T8" s="12"/>
      <c r="U8" s="2"/>
    </row>
    <row r="9" spans="1:21" x14ac:dyDescent="0.25">
      <c r="A9" s="2"/>
      <c r="B9" s="11"/>
      <c r="C9" s="8"/>
      <c r="D9" s="8"/>
      <c r="E9" s="8"/>
      <c r="F9" s="8"/>
      <c r="G9" s="8"/>
      <c r="H9" s="8"/>
      <c r="I9" s="8"/>
      <c r="J9" s="8"/>
      <c r="K9" s="8"/>
      <c r="L9" s="8"/>
      <c r="M9" s="8"/>
      <c r="N9" s="8"/>
      <c r="O9" s="8"/>
      <c r="P9" s="8"/>
      <c r="Q9" s="8"/>
      <c r="R9" s="8"/>
      <c r="S9" s="8"/>
      <c r="T9" s="12"/>
      <c r="U9" s="2"/>
    </row>
    <row r="10" spans="1:21" ht="15.75" x14ac:dyDescent="0.25">
      <c r="A10" s="2"/>
      <c r="B10" s="11"/>
      <c r="C10" s="22" t="s">
        <v>49</v>
      </c>
      <c r="D10" s="8"/>
      <c r="E10" s="8"/>
      <c r="F10" s="8"/>
      <c r="G10" s="8"/>
      <c r="H10" s="8"/>
      <c r="I10" s="8"/>
      <c r="J10" s="8"/>
      <c r="K10" s="8"/>
      <c r="L10" s="8"/>
      <c r="M10" s="8"/>
      <c r="N10" s="8"/>
      <c r="O10" s="8"/>
      <c r="P10" s="8"/>
      <c r="Q10" s="8"/>
      <c r="R10" s="8"/>
      <c r="S10" s="8"/>
      <c r="T10" s="12"/>
      <c r="U10" s="2"/>
    </row>
    <row r="11" spans="1:21" ht="15" customHeight="1" x14ac:dyDescent="0.25">
      <c r="A11" s="2"/>
      <c r="B11" s="11"/>
      <c r="C11" s="52" t="s">
        <v>172</v>
      </c>
      <c r="D11" s="53"/>
      <c r="E11" s="53"/>
      <c r="F11" s="53"/>
      <c r="G11" s="53"/>
      <c r="H11" s="53"/>
      <c r="I11" s="53"/>
      <c r="J11" s="53"/>
      <c r="K11" s="53"/>
      <c r="L11" s="53"/>
      <c r="M11" s="53"/>
      <c r="N11" s="53"/>
      <c r="O11" s="53"/>
      <c r="P11" s="53"/>
      <c r="Q11" s="53"/>
      <c r="R11" s="53"/>
      <c r="S11" s="53"/>
      <c r="T11" s="12"/>
      <c r="U11" s="2"/>
    </row>
    <row r="12" spans="1:21" x14ac:dyDescent="0.25">
      <c r="A12" s="2"/>
      <c r="B12" s="11"/>
      <c r="C12" s="8"/>
      <c r="D12" s="53"/>
      <c r="E12" s="53"/>
      <c r="F12" s="53"/>
      <c r="G12" s="53"/>
      <c r="H12" s="53"/>
      <c r="I12" s="53"/>
      <c r="J12" s="53"/>
      <c r="K12" s="53"/>
      <c r="L12" s="53"/>
      <c r="M12" s="53"/>
      <c r="N12" s="53"/>
      <c r="O12" s="53"/>
      <c r="P12" s="53"/>
      <c r="Q12" s="53"/>
      <c r="R12" s="53"/>
      <c r="S12" s="53"/>
      <c r="T12" s="12"/>
      <c r="U12" s="2"/>
    </row>
    <row r="13" spans="1:21" ht="15" customHeight="1" x14ac:dyDescent="0.25">
      <c r="A13" s="2"/>
      <c r="B13" s="11"/>
      <c r="C13" s="193" t="s">
        <v>173</v>
      </c>
      <c r="D13" s="193"/>
      <c r="E13" s="193"/>
      <c r="F13" s="193"/>
      <c r="G13" s="193"/>
      <c r="H13" s="193"/>
      <c r="I13" s="193"/>
      <c r="J13" s="193"/>
      <c r="K13" s="193"/>
      <c r="L13" s="193"/>
      <c r="M13" s="193"/>
      <c r="N13" s="193"/>
      <c r="O13" s="193"/>
      <c r="P13" s="193"/>
      <c r="Q13" s="193"/>
      <c r="R13" s="193"/>
      <c r="S13" s="193"/>
      <c r="T13" s="59"/>
      <c r="U13" s="2"/>
    </row>
    <row r="14" spans="1:21" x14ac:dyDescent="0.25">
      <c r="A14" s="2"/>
      <c r="B14" s="11"/>
      <c r="C14" s="193"/>
      <c r="D14" s="193"/>
      <c r="E14" s="193"/>
      <c r="F14" s="193"/>
      <c r="G14" s="193"/>
      <c r="H14" s="193"/>
      <c r="I14" s="193"/>
      <c r="J14" s="193"/>
      <c r="K14" s="193"/>
      <c r="L14" s="193"/>
      <c r="M14" s="193"/>
      <c r="N14" s="193"/>
      <c r="O14" s="193"/>
      <c r="P14" s="193"/>
      <c r="Q14" s="193"/>
      <c r="R14" s="193"/>
      <c r="S14" s="193"/>
      <c r="T14" s="59"/>
      <c r="U14" s="2"/>
    </row>
    <row r="15" spans="1:21" ht="15" customHeight="1" x14ac:dyDescent="0.25">
      <c r="A15" s="2"/>
      <c r="B15" s="11"/>
      <c r="C15" s="193"/>
      <c r="D15" s="193"/>
      <c r="E15" s="193"/>
      <c r="F15" s="193"/>
      <c r="G15" s="193"/>
      <c r="H15" s="193"/>
      <c r="I15" s="193"/>
      <c r="J15" s="193"/>
      <c r="K15" s="193"/>
      <c r="L15" s="193"/>
      <c r="M15" s="193"/>
      <c r="N15" s="193"/>
      <c r="O15" s="193"/>
      <c r="P15" s="193"/>
      <c r="Q15" s="193"/>
      <c r="R15" s="193"/>
      <c r="S15" s="193"/>
      <c r="T15" s="59"/>
      <c r="U15" s="2"/>
    </row>
    <row r="16" spans="1:21" x14ac:dyDescent="0.25">
      <c r="A16" s="2"/>
      <c r="B16" s="11"/>
      <c r="C16" s="193"/>
      <c r="D16" s="193"/>
      <c r="E16" s="193"/>
      <c r="F16" s="193"/>
      <c r="G16" s="193"/>
      <c r="H16" s="193"/>
      <c r="I16" s="193"/>
      <c r="J16" s="193"/>
      <c r="K16" s="193"/>
      <c r="L16" s="193"/>
      <c r="M16" s="193"/>
      <c r="N16" s="193"/>
      <c r="O16" s="193"/>
      <c r="P16" s="193"/>
      <c r="Q16" s="193"/>
      <c r="R16" s="193"/>
      <c r="S16" s="193"/>
      <c r="T16" s="59"/>
      <c r="U16" s="2"/>
    </row>
    <row r="17" spans="1:21" x14ac:dyDescent="0.25">
      <c r="A17" s="2"/>
      <c r="B17" s="11"/>
      <c r="C17" s="193"/>
      <c r="D17" s="193"/>
      <c r="E17" s="193"/>
      <c r="F17" s="193"/>
      <c r="G17" s="193"/>
      <c r="H17" s="193"/>
      <c r="I17" s="193"/>
      <c r="J17" s="193"/>
      <c r="K17" s="193"/>
      <c r="L17" s="193"/>
      <c r="M17" s="193"/>
      <c r="N17" s="193"/>
      <c r="O17" s="193"/>
      <c r="P17" s="193"/>
      <c r="Q17" s="193"/>
      <c r="R17" s="193"/>
      <c r="S17" s="193"/>
      <c r="T17" s="59"/>
      <c r="U17" s="2"/>
    </row>
    <row r="18" spans="1:21" x14ac:dyDescent="0.25">
      <c r="A18" s="2"/>
      <c r="B18" s="11"/>
      <c r="C18" s="193"/>
      <c r="D18" s="193"/>
      <c r="E18" s="193"/>
      <c r="F18" s="193"/>
      <c r="G18" s="193"/>
      <c r="H18" s="193"/>
      <c r="I18" s="193"/>
      <c r="J18" s="193"/>
      <c r="K18" s="193"/>
      <c r="L18" s="193"/>
      <c r="M18" s="193"/>
      <c r="N18" s="193"/>
      <c r="O18" s="193"/>
      <c r="P18" s="193"/>
      <c r="Q18" s="193"/>
      <c r="R18" s="193"/>
      <c r="S18" s="193"/>
      <c r="T18" s="59"/>
      <c r="U18" s="2"/>
    </row>
    <row r="19" spans="1:21" x14ac:dyDescent="0.25">
      <c r="A19" s="2"/>
      <c r="B19" s="11"/>
      <c r="C19" s="193"/>
      <c r="D19" s="193"/>
      <c r="E19" s="193"/>
      <c r="F19" s="193"/>
      <c r="G19" s="193"/>
      <c r="H19" s="193"/>
      <c r="I19" s="193"/>
      <c r="J19" s="193"/>
      <c r="K19" s="193"/>
      <c r="L19" s="193"/>
      <c r="M19" s="193"/>
      <c r="N19" s="193"/>
      <c r="O19" s="193"/>
      <c r="P19" s="193"/>
      <c r="Q19" s="193"/>
      <c r="R19" s="193"/>
      <c r="S19" s="193"/>
      <c r="T19" s="59"/>
      <c r="U19" s="2"/>
    </row>
    <row r="20" spans="1:21" x14ac:dyDescent="0.25">
      <c r="A20" s="2"/>
      <c r="B20" s="11"/>
      <c r="C20" s="193"/>
      <c r="D20" s="193"/>
      <c r="E20" s="193"/>
      <c r="F20" s="193"/>
      <c r="G20" s="193"/>
      <c r="H20" s="193"/>
      <c r="I20" s="193"/>
      <c r="J20" s="193"/>
      <c r="K20" s="193"/>
      <c r="L20" s="193"/>
      <c r="M20" s="193"/>
      <c r="N20" s="193"/>
      <c r="O20" s="193"/>
      <c r="P20" s="193"/>
      <c r="Q20" s="193"/>
      <c r="R20" s="193"/>
      <c r="S20" s="193"/>
      <c r="T20" s="59"/>
      <c r="U20" s="2"/>
    </row>
    <row r="21" spans="1:21" x14ac:dyDescent="0.25">
      <c r="A21" s="2"/>
      <c r="B21" s="11"/>
      <c r="C21" s="193"/>
      <c r="D21" s="193"/>
      <c r="E21" s="193"/>
      <c r="F21" s="193"/>
      <c r="G21" s="193"/>
      <c r="H21" s="193"/>
      <c r="I21" s="193"/>
      <c r="J21" s="193"/>
      <c r="K21" s="193"/>
      <c r="L21" s="193"/>
      <c r="M21" s="193"/>
      <c r="N21" s="193"/>
      <c r="O21" s="193"/>
      <c r="P21" s="193"/>
      <c r="Q21" s="193"/>
      <c r="R21" s="193"/>
      <c r="S21" s="193"/>
      <c r="T21" s="59"/>
      <c r="U21" s="2"/>
    </row>
    <row r="22" spans="1:21" x14ac:dyDescent="0.25">
      <c r="A22" s="2"/>
      <c r="B22" s="11"/>
      <c r="C22" s="193"/>
      <c r="D22" s="193"/>
      <c r="E22" s="193"/>
      <c r="F22" s="193"/>
      <c r="G22" s="193"/>
      <c r="H22" s="193"/>
      <c r="I22" s="193"/>
      <c r="J22" s="193"/>
      <c r="K22" s="193"/>
      <c r="L22" s="193"/>
      <c r="M22" s="193"/>
      <c r="N22" s="193"/>
      <c r="O22" s="193"/>
      <c r="P22" s="193"/>
      <c r="Q22" s="193"/>
      <c r="R22" s="193"/>
      <c r="S22" s="193"/>
      <c r="T22" s="59"/>
      <c r="U22" s="2"/>
    </row>
    <row r="23" spans="1:21" x14ac:dyDescent="0.25">
      <c r="A23" s="2"/>
      <c r="B23" s="11"/>
      <c r="C23" s="193"/>
      <c r="D23" s="193"/>
      <c r="E23" s="193"/>
      <c r="F23" s="193"/>
      <c r="G23" s="193"/>
      <c r="H23" s="193"/>
      <c r="I23" s="193"/>
      <c r="J23" s="193"/>
      <c r="K23" s="193"/>
      <c r="L23" s="193"/>
      <c r="M23" s="193"/>
      <c r="N23" s="193"/>
      <c r="O23" s="193"/>
      <c r="P23" s="193"/>
      <c r="Q23" s="193"/>
      <c r="R23" s="193"/>
      <c r="S23" s="193"/>
      <c r="T23" s="59"/>
      <c r="U23" s="2"/>
    </row>
    <row r="24" spans="1:21" x14ac:dyDescent="0.25">
      <c r="A24" s="2"/>
      <c r="B24" s="11"/>
      <c r="C24" s="193"/>
      <c r="D24" s="193"/>
      <c r="E24" s="193"/>
      <c r="F24" s="193"/>
      <c r="G24" s="193"/>
      <c r="H24" s="193"/>
      <c r="I24" s="193"/>
      <c r="J24" s="193"/>
      <c r="K24" s="193"/>
      <c r="L24" s="193"/>
      <c r="M24" s="193"/>
      <c r="N24" s="193"/>
      <c r="O24" s="193"/>
      <c r="P24" s="193"/>
      <c r="Q24" s="193"/>
      <c r="R24" s="193"/>
      <c r="S24" s="193"/>
      <c r="T24" s="59"/>
      <c r="U24" s="2"/>
    </row>
    <row r="25" spans="1:21" x14ac:dyDescent="0.25">
      <c r="A25" s="2"/>
      <c r="B25" s="11"/>
      <c r="C25" s="54"/>
      <c r="D25" s="54"/>
      <c r="E25" s="54"/>
      <c r="F25" s="54"/>
      <c r="G25" s="54"/>
      <c r="H25" s="54"/>
      <c r="I25" s="54"/>
      <c r="J25" s="54"/>
      <c r="K25" s="54"/>
      <c r="L25" s="54"/>
      <c r="M25" s="54"/>
      <c r="N25" s="54"/>
      <c r="O25" s="54"/>
      <c r="P25" s="54"/>
      <c r="Q25" s="54"/>
      <c r="R25" s="54"/>
      <c r="S25" s="54"/>
      <c r="T25" s="59"/>
      <c r="U25" s="2"/>
    </row>
    <row r="26" spans="1:21" x14ac:dyDescent="0.25">
      <c r="A26" s="2"/>
      <c r="B26" s="11"/>
      <c r="C26" s="60" t="s">
        <v>286</v>
      </c>
      <c r="D26" s="58"/>
      <c r="E26" s="58"/>
      <c r="F26" s="58"/>
      <c r="G26" s="58"/>
      <c r="H26" s="58"/>
      <c r="I26" s="58"/>
      <c r="J26" s="58"/>
      <c r="K26" s="58"/>
      <c r="L26" s="58"/>
      <c r="M26" s="58"/>
      <c r="N26" s="58"/>
      <c r="O26" s="58"/>
      <c r="P26" s="58"/>
      <c r="Q26" s="58"/>
      <c r="R26" s="58"/>
      <c r="S26" s="58"/>
      <c r="T26" s="59"/>
      <c r="U26" s="2"/>
    </row>
    <row r="27" spans="1:21" x14ac:dyDescent="0.25">
      <c r="A27" s="2"/>
      <c r="B27" s="11"/>
      <c r="C27" s="58"/>
      <c r="D27" s="58"/>
      <c r="E27" s="58"/>
      <c r="F27" s="58"/>
      <c r="G27" s="58"/>
      <c r="H27" s="58"/>
      <c r="I27" s="58"/>
      <c r="J27" s="58"/>
      <c r="K27" s="58"/>
      <c r="L27" s="58"/>
      <c r="M27" s="58"/>
      <c r="N27" s="58"/>
      <c r="O27" s="58"/>
      <c r="P27" s="58"/>
      <c r="Q27" s="58"/>
      <c r="R27" s="58"/>
      <c r="S27" s="58"/>
      <c r="T27" s="59"/>
      <c r="U27" s="2"/>
    </row>
    <row r="28" spans="1:21" x14ac:dyDescent="0.25">
      <c r="A28" s="2"/>
      <c r="B28" s="11"/>
      <c r="C28" s="23" t="s">
        <v>283</v>
      </c>
      <c r="D28" s="8"/>
      <c r="E28" s="8"/>
      <c r="F28" s="8"/>
      <c r="G28" s="58"/>
      <c r="H28" s="58"/>
      <c r="I28" s="58"/>
      <c r="J28" s="58"/>
      <c r="K28" s="58"/>
      <c r="L28" s="58"/>
      <c r="M28" s="58"/>
      <c r="N28" s="58"/>
      <c r="O28" s="58"/>
      <c r="P28" s="58"/>
      <c r="Q28" s="58"/>
      <c r="R28" s="58"/>
      <c r="S28" s="58"/>
      <c r="T28" s="59"/>
      <c r="U28" s="2"/>
    </row>
    <row r="29" spans="1:21" x14ac:dyDescent="0.25">
      <c r="A29" s="2"/>
      <c r="B29" s="11"/>
      <c r="C29" s="23"/>
      <c r="D29" s="8"/>
      <c r="E29" s="8"/>
      <c r="F29" s="8"/>
      <c r="G29" s="58"/>
      <c r="H29" s="58"/>
      <c r="I29" s="58"/>
      <c r="J29" s="58"/>
      <c r="K29" s="58"/>
      <c r="L29" s="58"/>
      <c r="M29" s="58"/>
      <c r="N29" s="58"/>
      <c r="O29" s="58"/>
      <c r="P29" s="58"/>
      <c r="Q29" s="58"/>
      <c r="R29" s="58"/>
      <c r="S29" s="58"/>
      <c r="T29" s="59"/>
      <c r="U29" s="2"/>
    </row>
    <row r="30" spans="1:21" x14ac:dyDescent="0.25">
      <c r="A30" s="2"/>
      <c r="B30" s="11"/>
      <c r="C30" s="23"/>
      <c r="D30" s="147" t="s">
        <v>133</v>
      </c>
      <c r="E30" s="149"/>
      <c r="F30" s="148"/>
      <c r="G30" s="58"/>
      <c r="H30" s="58"/>
      <c r="I30" s="58"/>
      <c r="J30" s="58"/>
      <c r="K30" s="58"/>
      <c r="L30" s="58"/>
      <c r="M30" s="58"/>
      <c r="N30" s="58"/>
      <c r="O30" s="58"/>
      <c r="P30" s="58"/>
      <c r="Q30" s="58"/>
      <c r="R30" s="58"/>
      <c r="S30" s="58"/>
      <c r="T30" s="59"/>
      <c r="U30" s="2"/>
    </row>
    <row r="31" spans="1:21" x14ac:dyDescent="0.25">
      <c r="A31" s="2"/>
      <c r="B31" s="11"/>
      <c r="C31" s="58"/>
      <c r="D31" s="58"/>
      <c r="E31" s="58"/>
      <c r="F31" s="58"/>
      <c r="G31" s="58"/>
      <c r="H31" s="58"/>
      <c r="I31" s="58"/>
      <c r="J31" s="58"/>
      <c r="K31" s="58"/>
      <c r="L31" s="58"/>
      <c r="M31" s="58"/>
      <c r="N31" s="58"/>
      <c r="O31" s="58"/>
      <c r="P31" s="58"/>
      <c r="Q31" s="58"/>
      <c r="R31" s="58"/>
      <c r="S31" s="58"/>
      <c r="T31" s="59"/>
      <c r="U31" s="2"/>
    </row>
    <row r="32" spans="1:21" x14ac:dyDescent="0.25">
      <c r="A32" s="2"/>
      <c r="B32" s="11"/>
      <c r="C32" s="58"/>
      <c r="D32" s="58"/>
      <c r="E32" s="58"/>
      <c r="F32" s="58"/>
      <c r="G32" s="58"/>
      <c r="H32" s="58"/>
      <c r="I32" s="58"/>
      <c r="J32" s="58"/>
      <c r="K32" s="58"/>
      <c r="L32" s="58"/>
      <c r="M32" s="58"/>
      <c r="N32" s="58"/>
      <c r="O32" s="58"/>
      <c r="P32" s="58"/>
      <c r="Q32" s="58"/>
      <c r="R32" s="58"/>
      <c r="S32" s="58"/>
      <c r="T32" s="59"/>
      <c r="U32" s="2"/>
    </row>
    <row r="33" spans="1:21" ht="18" x14ac:dyDescent="0.35">
      <c r="A33" s="2"/>
      <c r="B33" s="11"/>
      <c r="C33" s="23" t="s">
        <v>132</v>
      </c>
      <c r="D33" s="8"/>
      <c r="E33" s="8"/>
      <c r="F33" s="8"/>
      <c r="G33" s="8"/>
      <c r="H33" s="8"/>
      <c r="I33" s="8"/>
      <c r="J33" s="8"/>
      <c r="K33" s="8"/>
      <c r="L33" s="8"/>
      <c r="M33" s="8"/>
      <c r="N33" s="8"/>
      <c r="O33" s="8"/>
      <c r="P33" s="8"/>
      <c r="Q33" s="8"/>
      <c r="R33" s="8"/>
      <c r="S33" s="8"/>
      <c r="T33" s="12"/>
      <c r="U33" s="2"/>
    </row>
    <row r="34" spans="1:21" x14ac:dyDescent="0.25">
      <c r="A34" s="2"/>
      <c r="B34" s="11"/>
      <c r="C34" s="8"/>
      <c r="D34" s="8"/>
      <c r="E34" s="8"/>
      <c r="F34" s="8"/>
      <c r="G34" s="8"/>
      <c r="H34" s="8"/>
      <c r="I34" s="8"/>
      <c r="J34" s="8"/>
      <c r="K34" s="8"/>
      <c r="L34" s="8"/>
      <c r="M34" s="8"/>
      <c r="N34" s="8"/>
      <c r="O34" s="8"/>
      <c r="P34" s="8"/>
      <c r="Q34" s="8"/>
      <c r="R34" s="8"/>
      <c r="S34" s="8"/>
      <c r="T34" s="12"/>
      <c r="U34" s="2"/>
    </row>
    <row r="35" spans="1:21" x14ac:dyDescent="0.25">
      <c r="A35" s="2"/>
      <c r="B35" s="11"/>
      <c r="C35" s="8"/>
      <c r="D35" s="147" t="s">
        <v>271</v>
      </c>
      <c r="E35" s="149"/>
      <c r="F35" s="148"/>
      <c r="G35" s="8"/>
      <c r="H35" s="8"/>
      <c r="I35" s="8"/>
      <c r="J35" s="8"/>
      <c r="K35" s="8"/>
      <c r="L35" s="8"/>
      <c r="M35" s="8"/>
      <c r="N35" s="8"/>
      <c r="O35" s="8"/>
      <c r="P35" s="8"/>
      <c r="Q35" s="8"/>
      <c r="R35" s="8"/>
      <c r="S35" s="8"/>
      <c r="T35" s="12"/>
      <c r="U35" s="2"/>
    </row>
    <row r="36" spans="1:21" x14ac:dyDescent="0.25">
      <c r="A36" s="2"/>
      <c r="B36" s="11"/>
      <c r="C36" s="8"/>
      <c r="D36" s="8"/>
      <c r="E36" s="8"/>
      <c r="F36" s="8"/>
      <c r="G36" s="8"/>
      <c r="H36" s="8"/>
      <c r="I36" s="8"/>
      <c r="J36" s="8"/>
      <c r="K36" s="8"/>
      <c r="L36" s="8"/>
      <c r="M36" s="8"/>
      <c r="N36" s="8"/>
      <c r="O36" s="8"/>
      <c r="P36" s="8"/>
      <c r="Q36" s="8"/>
      <c r="R36" s="8"/>
      <c r="S36" s="8"/>
      <c r="T36" s="12"/>
      <c r="U36" s="2"/>
    </row>
    <row r="37" spans="1:21" x14ac:dyDescent="0.25">
      <c r="A37" s="2"/>
      <c r="B37" s="11"/>
      <c r="C37" s="8"/>
      <c r="D37" s="8"/>
      <c r="E37" s="8"/>
      <c r="F37" s="8"/>
      <c r="G37" s="8"/>
      <c r="H37" s="8"/>
      <c r="I37" s="8"/>
      <c r="J37" s="8"/>
      <c r="K37" s="8"/>
      <c r="L37" s="8"/>
      <c r="M37" s="8"/>
      <c r="N37" s="8"/>
      <c r="O37" s="8"/>
      <c r="P37" s="8"/>
      <c r="Q37" s="8"/>
      <c r="R37" s="8"/>
      <c r="S37" s="8"/>
      <c r="T37" s="12"/>
      <c r="U37" s="2"/>
    </row>
    <row r="38" spans="1:21" x14ac:dyDescent="0.25">
      <c r="A38" s="2"/>
      <c r="B38" s="11"/>
      <c r="C38" s="23" t="s">
        <v>284</v>
      </c>
      <c r="D38" s="8"/>
      <c r="E38" s="8"/>
      <c r="F38" s="8"/>
      <c r="G38" s="58"/>
      <c r="H38" s="58"/>
      <c r="I38" s="58"/>
      <c r="J38" s="58"/>
      <c r="K38" s="58"/>
      <c r="L38" s="58"/>
      <c r="M38" s="58"/>
      <c r="N38" s="58"/>
      <c r="O38" s="58"/>
      <c r="P38" s="58"/>
      <c r="Q38" s="58"/>
      <c r="R38" s="58"/>
      <c r="S38" s="58"/>
      <c r="T38" s="59"/>
      <c r="U38" s="2"/>
    </row>
    <row r="39" spans="1:21" x14ac:dyDescent="0.25">
      <c r="A39" s="2"/>
      <c r="B39" s="11"/>
      <c r="C39" s="23"/>
      <c r="D39" s="8"/>
      <c r="E39" s="8"/>
      <c r="F39" s="8"/>
      <c r="G39" s="58"/>
      <c r="H39" s="58"/>
      <c r="I39" s="58"/>
      <c r="J39" s="58"/>
      <c r="K39" s="58"/>
      <c r="L39" s="58"/>
      <c r="M39" s="58"/>
      <c r="N39" s="58"/>
      <c r="O39" s="58"/>
      <c r="P39" s="58"/>
      <c r="Q39" s="58"/>
      <c r="R39" s="58"/>
      <c r="S39" s="58"/>
      <c r="T39" s="59"/>
      <c r="U39" s="2"/>
    </row>
    <row r="40" spans="1:21" x14ac:dyDescent="0.25">
      <c r="A40" s="2"/>
      <c r="B40" s="11"/>
      <c r="C40" s="23"/>
      <c r="D40" s="147" t="s">
        <v>133</v>
      </c>
      <c r="E40" s="149"/>
      <c r="F40" s="148"/>
      <c r="G40" s="58"/>
      <c r="H40" s="58"/>
      <c r="I40" s="58"/>
      <c r="J40" s="58"/>
      <c r="K40" s="58"/>
      <c r="L40" s="58"/>
      <c r="M40" s="58"/>
      <c r="N40" s="58"/>
      <c r="O40" s="58"/>
      <c r="P40" s="58"/>
      <c r="Q40" s="58"/>
      <c r="R40" s="58"/>
      <c r="S40" s="58"/>
      <c r="T40" s="59"/>
      <c r="U40" s="2"/>
    </row>
    <row r="41" spans="1:21" x14ac:dyDescent="0.25">
      <c r="A41" s="2"/>
      <c r="B41" s="11"/>
      <c r="C41" s="58"/>
      <c r="D41" s="58"/>
      <c r="E41" s="58"/>
      <c r="F41" s="58"/>
      <c r="G41" s="58"/>
      <c r="H41" s="58"/>
      <c r="I41" s="58"/>
      <c r="J41" s="58"/>
      <c r="K41" s="58"/>
      <c r="L41" s="58"/>
      <c r="M41" s="58"/>
      <c r="N41" s="58"/>
      <c r="O41" s="58"/>
      <c r="P41" s="58"/>
      <c r="Q41" s="58"/>
      <c r="R41" s="58"/>
      <c r="S41" s="58"/>
      <c r="T41" s="59"/>
      <c r="U41" s="2"/>
    </row>
    <row r="42" spans="1:21" x14ac:dyDescent="0.25">
      <c r="A42" s="2"/>
      <c r="B42" s="11"/>
      <c r="C42" s="58"/>
      <c r="D42" s="58"/>
      <c r="E42" s="58"/>
      <c r="F42" s="58"/>
      <c r="G42" s="58"/>
      <c r="H42" s="58"/>
      <c r="I42" s="58"/>
      <c r="J42" s="58"/>
      <c r="K42" s="58"/>
      <c r="L42" s="58"/>
      <c r="M42" s="58"/>
      <c r="N42" s="58"/>
      <c r="O42" s="58"/>
      <c r="P42" s="58"/>
      <c r="Q42" s="58"/>
      <c r="R42" s="58"/>
      <c r="S42" s="58"/>
      <c r="T42" s="59"/>
      <c r="U42" s="2"/>
    </row>
    <row r="43" spans="1:21" x14ac:dyDescent="0.25">
      <c r="A43" s="2"/>
      <c r="B43" s="11"/>
      <c r="C43" s="23" t="s">
        <v>285</v>
      </c>
      <c r="D43" s="58"/>
      <c r="E43" s="58"/>
      <c r="F43" s="58"/>
      <c r="G43" s="58"/>
      <c r="H43" s="58"/>
      <c r="I43" s="58"/>
      <c r="J43" s="58"/>
      <c r="K43" s="58"/>
      <c r="L43" s="58"/>
      <c r="M43" s="58"/>
      <c r="N43" s="58"/>
      <c r="O43" s="58"/>
      <c r="P43" s="58"/>
      <c r="Q43" s="58"/>
      <c r="R43" s="58"/>
      <c r="S43" s="58"/>
      <c r="T43" s="59"/>
      <c r="U43" s="2"/>
    </row>
    <row r="44" spans="1:21" x14ac:dyDescent="0.25">
      <c r="A44" s="2"/>
      <c r="B44" s="11"/>
      <c r="C44" s="58"/>
      <c r="D44" s="58"/>
      <c r="E44" s="58"/>
      <c r="F44" s="58"/>
      <c r="G44" s="58"/>
      <c r="H44" s="58"/>
      <c r="I44" s="58"/>
      <c r="J44" s="58"/>
      <c r="K44" s="58"/>
      <c r="L44" s="58"/>
      <c r="M44" s="58"/>
      <c r="N44" s="58"/>
      <c r="O44" s="58"/>
      <c r="P44" s="58"/>
      <c r="Q44" s="58"/>
      <c r="R44" s="58"/>
      <c r="S44" s="58"/>
      <c r="T44" s="59"/>
      <c r="U44" s="2"/>
    </row>
    <row r="45" spans="1:21" x14ac:dyDescent="0.25">
      <c r="A45" s="2"/>
      <c r="B45" s="11"/>
      <c r="C45" s="8"/>
      <c r="D45" s="147" t="s">
        <v>133</v>
      </c>
      <c r="E45" s="149"/>
      <c r="F45" s="148"/>
      <c r="G45" s="53"/>
      <c r="H45" s="53"/>
      <c r="I45" s="53"/>
      <c r="J45" s="53"/>
      <c r="K45" s="53"/>
      <c r="L45" s="53"/>
      <c r="M45" s="53"/>
      <c r="N45" s="53"/>
      <c r="O45" s="53"/>
      <c r="P45" s="53"/>
      <c r="Q45" s="53"/>
      <c r="R45" s="8"/>
      <c r="S45" s="8"/>
      <c r="T45" s="12"/>
      <c r="U45" s="2"/>
    </row>
    <row r="46" spans="1:21" x14ac:dyDescent="0.25">
      <c r="A46" s="2"/>
      <c r="B46" s="11"/>
      <c r="C46" s="8"/>
      <c r="D46" s="53"/>
      <c r="E46" s="53"/>
      <c r="F46" s="53"/>
      <c r="G46" s="53"/>
      <c r="H46" s="53"/>
      <c r="I46" s="53"/>
      <c r="J46" s="53"/>
      <c r="K46" s="53"/>
      <c r="L46" s="53"/>
      <c r="M46" s="53"/>
      <c r="N46" s="53"/>
      <c r="O46" s="53"/>
      <c r="P46" s="53"/>
      <c r="Q46" s="53"/>
      <c r="R46" s="8"/>
      <c r="S46" s="8"/>
      <c r="T46" s="12"/>
      <c r="U46" s="2"/>
    </row>
    <row r="47" spans="1:21" x14ac:dyDescent="0.25">
      <c r="A47" s="2"/>
      <c r="B47" s="11"/>
      <c r="C47" s="8"/>
      <c r="D47" s="53"/>
      <c r="E47" s="53"/>
      <c r="F47" s="53"/>
      <c r="G47" s="53"/>
      <c r="H47" s="53"/>
      <c r="I47" s="53"/>
      <c r="J47" s="53"/>
      <c r="K47" s="53"/>
      <c r="L47" s="53"/>
      <c r="M47" s="53"/>
      <c r="N47" s="53"/>
      <c r="O47" s="53"/>
      <c r="P47" s="53"/>
      <c r="Q47" s="53"/>
      <c r="R47" s="8"/>
      <c r="S47" s="8"/>
      <c r="T47" s="12"/>
      <c r="U47" s="2"/>
    </row>
    <row r="48" spans="1:21" x14ac:dyDescent="0.25">
      <c r="A48" s="2"/>
      <c r="B48" s="11"/>
      <c r="C48" s="8"/>
      <c r="D48" s="53"/>
      <c r="E48" s="53"/>
      <c r="F48" s="53"/>
      <c r="G48" s="53"/>
      <c r="H48" s="53"/>
      <c r="I48" s="53"/>
      <c r="J48" s="53"/>
      <c r="K48" s="53"/>
      <c r="L48" s="53"/>
      <c r="M48" s="53"/>
      <c r="N48" s="53"/>
      <c r="O48" s="53"/>
      <c r="P48" s="53"/>
      <c r="Q48" s="53"/>
      <c r="R48" s="8"/>
      <c r="S48" s="8"/>
      <c r="T48" s="12"/>
      <c r="U48" s="2"/>
    </row>
    <row r="49" spans="1:21" x14ac:dyDescent="0.25">
      <c r="A49" s="2"/>
      <c r="B49" s="11"/>
      <c r="C49" s="103" t="s">
        <v>62</v>
      </c>
      <c r="D49" s="8"/>
      <c r="E49" s="8"/>
      <c r="F49" s="8"/>
      <c r="G49" s="8"/>
      <c r="H49" s="8"/>
      <c r="I49" s="8"/>
      <c r="J49" s="8"/>
      <c r="K49" s="8"/>
      <c r="L49" s="8"/>
      <c r="M49" s="8"/>
      <c r="N49" s="8"/>
      <c r="O49" s="8"/>
      <c r="P49" s="8"/>
      <c r="Q49" s="8"/>
      <c r="R49" s="8"/>
      <c r="S49" s="8"/>
      <c r="T49" s="12"/>
      <c r="U49" s="2"/>
    </row>
    <row r="50" spans="1:21" ht="15.75" thickBot="1" x14ac:dyDescent="0.3">
      <c r="A50" s="2"/>
      <c r="B50" s="11"/>
      <c r="C50" s="8"/>
      <c r="D50" s="8"/>
      <c r="E50" s="8"/>
      <c r="F50" s="8"/>
      <c r="G50" s="8"/>
      <c r="H50" s="8"/>
      <c r="I50" s="8"/>
      <c r="J50" s="8"/>
      <c r="K50" s="8"/>
      <c r="L50" s="8"/>
      <c r="M50" s="8"/>
      <c r="N50" s="8"/>
      <c r="O50" s="8"/>
      <c r="P50" s="8"/>
      <c r="Q50" s="8"/>
      <c r="R50" s="8"/>
      <c r="S50" s="8"/>
      <c r="T50" s="12"/>
      <c r="U50" s="2"/>
    </row>
    <row r="51" spans="1:21" ht="19.5" thickTop="1" thickBot="1" x14ac:dyDescent="0.4">
      <c r="A51" s="2"/>
      <c r="B51" s="11"/>
      <c r="C51" s="8"/>
      <c r="D51" s="31" t="s">
        <v>186</v>
      </c>
      <c r="E51" s="31">
        <f>E65+E95+E125+E155+E185+E222+E250</f>
        <v>5.2715819999999995</v>
      </c>
      <c r="F51" s="8" t="s">
        <v>187</v>
      </c>
      <c r="G51" s="8"/>
      <c r="H51" s="8"/>
      <c r="I51" s="8"/>
      <c r="J51" s="8"/>
      <c r="K51" s="8"/>
      <c r="L51" s="8"/>
      <c r="M51" s="8"/>
      <c r="N51" s="8"/>
      <c r="O51" s="8"/>
      <c r="P51" s="8"/>
      <c r="Q51" s="8"/>
      <c r="R51" s="8"/>
      <c r="S51" s="8"/>
      <c r="T51" s="12"/>
      <c r="U51" s="2"/>
    </row>
    <row r="52" spans="1:21" ht="15" customHeight="1" thickTop="1" x14ac:dyDescent="0.25">
      <c r="A52" s="2"/>
      <c r="B52" s="11"/>
      <c r="C52" s="8"/>
      <c r="D52" s="8"/>
      <c r="E52" s="8"/>
      <c r="F52" s="8"/>
      <c r="G52" s="8"/>
      <c r="H52" s="8"/>
      <c r="I52" s="8"/>
      <c r="J52" s="8"/>
      <c r="K52" s="8"/>
      <c r="L52" s="8"/>
      <c r="M52" s="8"/>
      <c r="N52" s="8"/>
      <c r="O52" s="8"/>
      <c r="P52" s="8"/>
      <c r="Q52" s="8"/>
      <c r="R52" s="8"/>
      <c r="S52" s="8"/>
      <c r="T52" s="12"/>
      <c r="U52" s="2"/>
    </row>
    <row r="53" spans="1:21" x14ac:dyDescent="0.25">
      <c r="A53" s="2"/>
      <c r="B53" s="11"/>
      <c r="C53" s="8"/>
      <c r="D53" s="53"/>
      <c r="E53" s="53"/>
      <c r="F53" s="53"/>
      <c r="G53" s="53"/>
      <c r="H53" s="53"/>
      <c r="I53" s="53"/>
      <c r="J53" s="53"/>
      <c r="K53" s="53"/>
      <c r="L53" s="53"/>
      <c r="M53" s="53"/>
      <c r="N53" s="53"/>
      <c r="O53" s="53"/>
      <c r="P53" s="53"/>
      <c r="Q53" s="53"/>
      <c r="R53" s="8"/>
      <c r="S53" s="8"/>
      <c r="T53" s="12"/>
      <c r="U53" s="2"/>
    </row>
    <row r="54" spans="1:21" ht="15.75" x14ac:dyDescent="0.25">
      <c r="A54" s="2"/>
      <c r="B54" s="11"/>
      <c r="C54" s="56"/>
      <c r="D54" s="53"/>
      <c r="E54" s="53"/>
      <c r="F54" s="53"/>
      <c r="G54" s="53"/>
      <c r="H54" s="53"/>
      <c r="I54" s="53"/>
      <c r="J54" s="53"/>
      <c r="K54" s="53"/>
      <c r="L54" s="53"/>
      <c r="M54" s="53"/>
      <c r="N54" s="53"/>
      <c r="O54" s="53"/>
      <c r="P54" s="53"/>
      <c r="Q54" s="53"/>
      <c r="R54" s="8"/>
      <c r="S54" s="8"/>
      <c r="T54" s="12"/>
      <c r="U54" s="2"/>
    </row>
    <row r="55" spans="1:21" ht="15.75" thickBot="1" x14ac:dyDescent="0.3">
      <c r="A55" s="2"/>
      <c r="B55" s="11"/>
      <c r="C55" s="8"/>
      <c r="D55" s="53"/>
      <c r="E55" s="53"/>
      <c r="F55" s="53"/>
      <c r="G55" s="53"/>
      <c r="H55" s="53"/>
      <c r="I55" s="53"/>
      <c r="J55" s="53"/>
      <c r="K55" s="53"/>
      <c r="L55" s="53"/>
      <c r="M55" s="53"/>
      <c r="N55" s="53"/>
      <c r="O55" s="53"/>
      <c r="P55" s="53"/>
      <c r="Q55" s="53"/>
      <c r="R55" s="8"/>
      <c r="S55" s="8"/>
      <c r="T55" s="12"/>
      <c r="U55" s="2"/>
    </row>
    <row r="56" spans="1:21" x14ac:dyDescent="0.25">
      <c r="A56" s="2"/>
      <c r="B56" s="129" t="s">
        <v>396</v>
      </c>
      <c r="C56" s="179"/>
      <c r="D56" s="179"/>
      <c r="E56" s="179"/>
      <c r="F56" s="179"/>
      <c r="G56" s="179"/>
      <c r="H56" s="179"/>
      <c r="I56" s="179"/>
      <c r="J56" s="179"/>
      <c r="K56" s="179"/>
      <c r="L56" s="179"/>
      <c r="M56" s="179"/>
      <c r="N56" s="179"/>
      <c r="O56" s="179"/>
      <c r="P56" s="179"/>
      <c r="Q56" s="179"/>
      <c r="R56" s="179"/>
      <c r="S56" s="179"/>
      <c r="T56" s="180"/>
      <c r="U56" s="2"/>
    </row>
    <row r="57" spans="1:21" x14ac:dyDescent="0.25">
      <c r="A57" s="2"/>
      <c r="B57" s="181"/>
      <c r="C57" s="182"/>
      <c r="D57" s="182"/>
      <c r="E57" s="182"/>
      <c r="F57" s="182"/>
      <c r="G57" s="182"/>
      <c r="H57" s="182"/>
      <c r="I57" s="182"/>
      <c r="J57" s="182"/>
      <c r="K57" s="182"/>
      <c r="L57" s="182"/>
      <c r="M57" s="182"/>
      <c r="N57" s="182"/>
      <c r="O57" s="182"/>
      <c r="P57" s="182"/>
      <c r="Q57" s="182"/>
      <c r="R57" s="182"/>
      <c r="S57" s="182"/>
      <c r="T57" s="183"/>
      <c r="U57" s="2"/>
    </row>
    <row r="58" spans="1:21" ht="33" customHeight="1" thickBot="1" x14ac:dyDescent="0.3">
      <c r="A58" s="2"/>
      <c r="B58" s="184"/>
      <c r="C58" s="185"/>
      <c r="D58" s="185"/>
      <c r="E58" s="185"/>
      <c r="F58" s="185"/>
      <c r="G58" s="185"/>
      <c r="H58" s="185"/>
      <c r="I58" s="185"/>
      <c r="J58" s="185"/>
      <c r="K58" s="185"/>
      <c r="L58" s="185"/>
      <c r="M58" s="185"/>
      <c r="N58" s="185"/>
      <c r="O58" s="185"/>
      <c r="P58" s="185"/>
      <c r="Q58" s="185"/>
      <c r="R58" s="185"/>
      <c r="S58" s="185"/>
      <c r="T58" s="186"/>
      <c r="U58" s="2"/>
    </row>
    <row r="59" spans="1:21" ht="27" thickTop="1" x14ac:dyDescent="0.25">
      <c r="A59" s="2"/>
      <c r="B59" s="123"/>
      <c r="C59" s="124"/>
      <c r="D59" s="124"/>
      <c r="E59" s="124"/>
      <c r="F59" s="124"/>
      <c r="G59" s="124"/>
      <c r="H59" s="124"/>
      <c r="I59" s="124"/>
      <c r="J59" s="124"/>
      <c r="K59" s="124"/>
      <c r="L59" s="124"/>
      <c r="M59" s="124"/>
      <c r="N59" s="124"/>
      <c r="O59" s="124"/>
      <c r="P59" s="124"/>
      <c r="Q59" s="124"/>
      <c r="R59" s="124"/>
      <c r="S59" s="124"/>
      <c r="T59" s="125"/>
      <c r="U59" s="2"/>
    </row>
    <row r="60" spans="1:21" x14ac:dyDescent="0.25">
      <c r="A60" s="2"/>
      <c r="B60" s="11"/>
      <c r="C60" s="192" t="s">
        <v>277</v>
      </c>
      <c r="D60" s="192"/>
      <c r="E60" s="192"/>
      <c r="F60" s="192"/>
      <c r="G60" s="192"/>
      <c r="H60" s="192"/>
      <c r="I60" s="192"/>
      <c r="J60" s="192"/>
      <c r="K60" s="192"/>
      <c r="L60" s="192"/>
      <c r="M60" s="192"/>
      <c r="N60" s="192"/>
      <c r="O60" s="192"/>
      <c r="P60" s="192"/>
      <c r="Q60" s="192"/>
      <c r="R60" s="192"/>
      <c r="S60" s="192"/>
      <c r="T60" s="12"/>
      <c r="U60" s="2"/>
    </row>
    <row r="61" spans="1:21" x14ac:dyDescent="0.25">
      <c r="A61" s="2"/>
      <c r="B61" s="11"/>
      <c r="C61" s="192"/>
      <c r="D61" s="192"/>
      <c r="E61" s="192"/>
      <c r="F61" s="192"/>
      <c r="G61" s="192"/>
      <c r="H61" s="192"/>
      <c r="I61" s="192"/>
      <c r="J61" s="192"/>
      <c r="K61" s="192"/>
      <c r="L61" s="192"/>
      <c r="M61" s="192"/>
      <c r="N61" s="192"/>
      <c r="O61" s="192"/>
      <c r="P61" s="192"/>
      <c r="Q61" s="192"/>
      <c r="R61" s="192"/>
      <c r="S61" s="192"/>
      <c r="T61" s="12"/>
      <c r="U61" s="2"/>
    </row>
    <row r="62" spans="1:21" x14ac:dyDescent="0.25">
      <c r="A62" s="2"/>
      <c r="B62" s="11"/>
      <c r="C62" s="8"/>
      <c r="D62" s="53"/>
      <c r="E62" s="53"/>
      <c r="F62" s="53"/>
      <c r="G62" s="53"/>
      <c r="H62" s="53"/>
      <c r="I62" s="53"/>
      <c r="J62" s="53"/>
      <c r="K62" s="53"/>
      <c r="L62" s="53"/>
      <c r="M62" s="53"/>
      <c r="N62" s="53"/>
      <c r="O62" s="53"/>
      <c r="P62" s="53"/>
      <c r="Q62" s="53"/>
      <c r="R62" s="8"/>
      <c r="S62" s="8"/>
      <c r="T62" s="12"/>
      <c r="U62" s="2"/>
    </row>
    <row r="63" spans="1:21" ht="15.75" x14ac:dyDescent="0.25">
      <c r="A63" s="2"/>
      <c r="B63" s="11"/>
      <c r="C63" s="56" t="str">
        <f>IF(AND(D30="No"),"The Following Data Points are Required.",IF(AND(D30="Yes"),"The Following Data Points are Not Required."))</f>
        <v>The Following Data Points are Not Required.</v>
      </c>
      <c r="D63" s="53"/>
      <c r="E63" s="53"/>
      <c r="F63" s="53"/>
      <c r="G63" s="53"/>
      <c r="H63" s="53"/>
      <c r="I63" s="53"/>
      <c r="J63" s="53"/>
      <c r="K63" s="53"/>
      <c r="L63" s="53"/>
      <c r="M63" s="53"/>
      <c r="N63" s="53"/>
      <c r="O63" s="53"/>
      <c r="P63" s="53"/>
      <c r="Q63" s="53"/>
      <c r="R63" s="8"/>
      <c r="S63" s="8"/>
      <c r="T63" s="12"/>
      <c r="U63" s="2"/>
    </row>
    <row r="64" spans="1:21" ht="15.75" thickBot="1" x14ac:dyDescent="0.3">
      <c r="A64" s="2"/>
      <c r="B64" s="11"/>
      <c r="C64" s="8"/>
      <c r="D64" s="53"/>
      <c r="E64" s="53"/>
      <c r="F64" s="53"/>
      <c r="G64" s="53"/>
      <c r="H64" s="53"/>
      <c r="I64" s="53"/>
      <c r="J64" s="53"/>
      <c r="K64" s="53"/>
      <c r="L64" s="53"/>
      <c r="M64" s="53"/>
      <c r="N64" s="53"/>
      <c r="O64" s="53"/>
      <c r="P64" s="53"/>
      <c r="Q64" s="53"/>
      <c r="R64" s="8"/>
      <c r="S64" s="8"/>
      <c r="T64" s="12"/>
      <c r="U64" s="2"/>
    </row>
    <row r="65" spans="1:21" ht="19.5" thickTop="1" thickBot="1" x14ac:dyDescent="0.4">
      <c r="A65" s="2"/>
      <c r="B65" s="11"/>
      <c r="C65" s="8"/>
      <c r="D65" s="31" t="s">
        <v>174</v>
      </c>
      <c r="E65" s="31">
        <f>IF(AND(D30="No"),E67*E69+'LE from Fuel Consumption'!F14,IF(AND(D30="Yes"),0))</f>
        <v>0</v>
      </c>
      <c r="F65" s="8" t="s">
        <v>181</v>
      </c>
      <c r="G65" s="8"/>
      <c r="H65" s="8"/>
      <c r="I65" s="8"/>
      <c r="J65" s="8"/>
      <c r="K65" s="8"/>
      <c r="L65" s="8"/>
      <c r="M65" s="8"/>
      <c r="N65" s="8"/>
      <c r="O65" s="8"/>
      <c r="P65" s="8"/>
      <c r="Q65" s="8"/>
      <c r="R65" s="8"/>
      <c r="S65" s="8"/>
      <c r="T65" s="12"/>
      <c r="U65" s="2"/>
    </row>
    <row r="66" spans="1:21" ht="15.75" thickTop="1" x14ac:dyDescent="0.25">
      <c r="A66" s="2"/>
      <c r="B66" s="11"/>
      <c r="C66" s="8"/>
      <c r="D66" s="8"/>
      <c r="E66" s="8"/>
      <c r="F66" s="8"/>
      <c r="G66" s="8"/>
      <c r="H66" s="8"/>
      <c r="I66" s="8"/>
      <c r="J66" s="8"/>
      <c r="K66" s="8"/>
      <c r="L66" s="8"/>
      <c r="M66" s="8"/>
      <c r="N66" s="8"/>
      <c r="O66" s="8"/>
      <c r="P66" s="8"/>
      <c r="Q66" s="8"/>
      <c r="R66" s="8"/>
      <c r="S66" s="8"/>
      <c r="T66" s="12"/>
      <c r="U66" s="2"/>
    </row>
    <row r="67" spans="1:21" ht="18" x14ac:dyDescent="0.35">
      <c r="A67" s="2"/>
      <c r="B67" s="11"/>
      <c r="C67" s="8"/>
      <c r="D67" s="21" t="s">
        <v>196</v>
      </c>
      <c r="E67" s="94">
        <v>0</v>
      </c>
      <c r="F67" s="8" t="s">
        <v>407</v>
      </c>
      <c r="G67" s="8"/>
      <c r="H67" s="8"/>
      <c r="I67" s="8"/>
      <c r="J67" s="8"/>
      <c r="K67" s="8"/>
      <c r="L67" s="8"/>
      <c r="M67" s="8"/>
      <c r="N67" s="8"/>
      <c r="O67" s="8"/>
      <c r="P67" s="8"/>
      <c r="Q67" s="8"/>
      <c r="R67" s="8"/>
      <c r="S67" s="8"/>
      <c r="T67" s="12"/>
      <c r="U67" s="2"/>
    </row>
    <row r="68" spans="1:21" x14ac:dyDescent="0.25">
      <c r="A68" s="2"/>
      <c r="B68" s="11"/>
      <c r="C68" s="8"/>
      <c r="D68" s="8"/>
      <c r="E68" s="8"/>
      <c r="F68" s="8"/>
      <c r="G68" s="8"/>
      <c r="H68" s="8"/>
      <c r="I68" s="8"/>
      <c r="J68" s="8"/>
      <c r="K68" s="8"/>
      <c r="L68" s="8"/>
      <c r="M68" s="8"/>
      <c r="N68" s="8"/>
      <c r="O68" s="8"/>
      <c r="P68" s="8"/>
      <c r="Q68" s="8"/>
      <c r="R68" s="8"/>
      <c r="S68" s="8"/>
      <c r="T68" s="12"/>
      <c r="U68" s="2"/>
    </row>
    <row r="69" spans="1:21" ht="18" x14ac:dyDescent="0.35">
      <c r="A69" s="2"/>
      <c r="B69" s="11"/>
      <c r="C69" s="8"/>
      <c r="D69" s="21" t="s">
        <v>146</v>
      </c>
      <c r="E69" s="94">
        <v>0</v>
      </c>
      <c r="F69" s="8" t="s">
        <v>198</v>
      </c>
      <c r="G69" s="8"/>
      <c r="H69" s="8"/>
      <c r="I69" s="8"/>
      <c r="J69" s="8"/>
      <c r="K69" s="8"/>
      <c r="L69" s="8"/>
      <c r="M69" s="8"/>
      <c r="N69" s="8"/>
      <c r="O69" s="8"/>
      <c r="P69" s="8"/>
      <c r="Q69" s="8"/>
      <c r="R69" s="8"/>
      <c r="S69" s="8"/>
      <c r="T69" s="12"/>
      <c r="U69" s="2"/>
    </row>
    <row r="70" spans="1:21" ht="15" customHeight="1" x14ac:dyDescent="0.25">
      <c r="A70" s="2"/>
      <c r="B70" s="11"/>
      <c r="C70" s="8"/>
      <c r="D70" s="8"/>
      <c r="E70" s="8"/>
      <c r="F70" s="8"/>
      <c r="G70" s="8"/>
      <c r="H70" s="8"/>
      <c r="I70" s="8"/>
      <c r="J70" s="8"/>
      <c r="K70" s="8"/>
      <c r="L70" s="8"/>
      <c r="M70" s="8"/>
      <c r="N70" s="8"/>
      <c r="O70" s="8"/>
      <c r="P70" s="8"/>
      <c r="Q70" s="8"/>
      <c r="R70" s="8"/>
      <c r="S70" s="8"/>
      <c r="T70" s="12"/>
      <c r="U70" s="2"/>
    </row>
    <row r="71" spans="1:21" x14ac:dyDescent="0.25">
      <c r="A71" s="2"/>
      <c r="B71" s="11"/>
      <c r="C71" s="8"/>
      <c r="D71" s="43" t="s">
        <v>104</v>
      </c>
      <c r="E71" s="8" t="s">
        <v>390</v>
      </c>
      <c r="F71" s="8"/>
      <c r="G71" s="8"/>
      <c r="H71" s="8"/>
      <c r="I71" s="8"/>
      <c r="J71" s="8"/>
      <c r="K71" s="8"/>
      <c r="L71" s="8"/>
      <c r="M71" s="8"/>
      <c r="N71" s="8"/>
      <c r="O71" s="8"/>
      <c r="P71" s="8"/>
      <c r="Q71" s="8"/>
      <c r="R71" s="8"/>
      <c r="S71" s="8"/>
      <c r="T71" s="12"/>
      <c r="U71" s="2"/>
    </row>
    <row r="72" spans="1:21" x14ac:dyDescent="0.25">
      <c r="A72" s="2"/>
      <c r="B72" s="11"/>
      <c r="C72" s="8"/>
      <c r="D72" s="8"/>
      <c r="E72" s="8"/>
      <c r="F72" s="8"/>
      <c r="G72" s="8"/>
      <c r="H72" s="8"/>
      <c r="I72" s="8"/>
      <c r="J72" s="8"/>
      <c r="K72" s="8"/>
      <c r="L72" s="8"/>
      <c r="M72" s="8"/>
      <c r="N72" s="8"/>
      <c r="O72" s="8"/>
      <c r="P72" s="8"/>
      <c r="Q72" s="8"/>
      <c r="R72" s="8"/>
      <c r="S72" s="8"/>
      <c r="T72" s="12"/>
      <c r="U72" s="2"/>
    </row>
    <row r="73" spans="1:21" x14ac:dyDescent="0.25">
      <c r="A73" s="2"/>
      <c r="B73" s="11"/>
      <c r="C73" s="8"/>
      <c r="D73" s="152" t="s">
        <v>394</v>
      </c>
      <c r="E73" s="153"/>
      <c r="F73" s="8" t="s">
        <v>395</v>
      </c>
      <c r="G73" s="8"/>
      <c r="H73" s="8"/>
      <c r="I73" s="8"/>
      <c r="J73" s="8"/>
      <c r="K73" s="8"/>
      <c r="L73" s="8"/>
      <c r="M73" s="8"/>
      <c r="N73" s="8"/>
      <c r="O73" s="8"/>
      <c r="P73" s="8"/>
      <c r="Q73" s="8"/>
      <c r="R73" s="8"/>
      <c r="S73" s="8"/>
      <c r="T73" s="12"/>
      <c r="U73" s="2"/>
    </row>
    <row r="74" spans="1:21" x14ac:dyDescent="0.25">
      <c r="A74" s="2"/>
      <c r="B74" s="11"/>
      <c r="C74" s="8"/>
      <c r="D74" s="8"/>
      <c r="E74" s="8"/>
      <c r="F74" s="8"/>
      <c r="G74" s="8"/>
      <c r="H74" s="8"/>
      <c r="I74" s="8"/>
      <c r="J74" s="8"/>
      <c r="K74" s="8"/>
      <c r="L74" s="8"/>
      <c r="M74" s="8"/>
      <c r="N74" s="8"/>
      <c r="O74" s="8"/>
      <c r="P74" s="8"/>
      <c r="Q74" s="8"/>
      <c r="R74" s="8"/>
      <c r="S74" s="8"/>
      <c r="T74" s="12"/>
      <c r="U74" s="2"/>
    </row>
    <row r="75" spans="1:21" ht="18" x14ac:dyDescent="0.35">
      <c r="A75" s="2"/>
      <c r="B75" s="11"/>
      <c r="C75" s="8"/>
      <c r="D75" s="152" t="s">
        <v>197</v>
      </c>
      <c r="E75" s="153"/>
      <c r="F75" s="8" t="s">
        <v>199</v>
      </c>
      <c r="G75" s="8"/>
      <c r="H75" s="8"/>
      <c r="I75" s="8"/>
      <c r="J75" s="8"/>
      <c r="K75" s="8"/>
      <c r="L75" s="8"/>
      <c r="M75" s="8"/>
      <c r="N75" s="8"/>
      <c r="O75" s="8"/>
      <c r="P75" s="8"/>
      <c r="Q75" s="8"/>
      <c r="R75" s="8"/>
      <c r="S75" s="8"/>
      <c r="T75" s="12"/>
      <c r="U75" s="2"/>
    </row>
    <row r="76" spans="1:21" x14ac:dyDescent="0.25">
      <c r="A76" s="2"/>
      <c r="B76" s="11"/>
      <c r="C76" s="8"/>
      <c r="D76" s="8"/>
      <c r="E76" s="8"/>
      <c r="F76" s="8"/>
      <c r="G76" s="8"/>
      <c r="H76" s="8"/>
      <c r="I76" s="8"/>
      <c r="J76" s="8"/>
      <c r="K76" s="8"/>
      <c r="L76" s="8"/>
      <c r="M76" s="8"/>
      <c r="N76" s="8"/>
      <c r="O76" s="8"/>
      <c r="P76" s="8"/>
      <c r="Q76" s="8"/>
      <c r="R76" s="8"/>
      <c r="S76" s="8"/>
      <c r="T76" s="12"/>
      <c r="U76" s="2"/>
    </row>
    <row r="77" spans="1:21" ht="18" x14ac:dyDescent="0.35">
      <c r="A77" s="2"/>
      <c r="B77" s="11"/>
      <c r="C77" s="8"/>
      <c r="D77" s="152" t="s">
        <v>139</v>
      </c>
      <c r="E77" s="153"/>
      <c r="F77" s="8" t="s">
        <v>200</v>
      </c>
      <c r="G77" s="8"/>
      <c r="H77" s="8"/>
      <c r="I77" s="8"/>
      <c r="J77" s="8"/>
      <c r="K77" s="8"/>
      <c r="L77" s="8"/>
      <c r="M77" s="8"/>
      <c r="N77" s="8"/>
      <c r="O77" s="8"/>
      <c r="P77" s="8"/>
      <c r="Q77" s="8"/>
      <c r="R77" s="8"/>
      <c r="S77" s="8"/>
      <c r="T77" s="12"/>
      <c r="U77" s="2"/>
    </row>
    <row r="78" spans="1:21" x14ac:dyDescent="0.25">
      <c r="A78" s="2"/>
      <c r="B78" s="11"/>
      <c r="C78" s="8"/>
      <c r="D78" s="8"/>
      <c r="E78" s="8"/>
      <c r="F78" s="8"/>
      <c r="G78" s="8"/>
      <c r="H78" s="8"/>
      <c r="I78" s="8"/>
      <c r="J78" s="8"/>
      <c r="K78" s="8"/>
      <c r="L78" s="8"/>
      <c r="M78" s="8"/>
      <c r="N78" s="8"/>
      <c r="O78" s="8"/>
      <c r="P78" s="8"/>
      <c r="Q78" s="8"/>
      <c r="R78" s="8"/>
      <c r="S78" s="8"/>
      <c r="T78" s="12"/>
      <c r="U78" s="2"/>
    </row>
    <row r="79" spans="1:21" ht="18" x14ac:dyDescent="0.35">
      <c r="A79" s="2"/>
      <c r="B79" s="11"/>
      <c r="C79" s="8"/>
      <c r="D79" s="152" t="s">
        <v>141</v>
      </c>
      <c r="E79" s="153"/>
      <c r="F79" s="8" t="s">
        <v>203</v>
      </c>
      <c r="G79" s="8"/>
      <c r="H79" s="8"/>
      <c r="I79" s="8"/>
      <c r="J79" s="8"/>
      <c r="K79" s="8"/>
      <c r="L79" s="8"/>
      <c r="M79" s="8"/>
      <c r="N79" s="8"/>
      <c r="O79" s="8"/>
      <c r="P79" s="8"/>
      <c r="Q79" s="8"/>
      <c r="R79" s="8"/>
      <c r="S79" s="8"/>
      <c r="T79" s="12"/>
      <c r="U79" s="2"/>
    </row>
    <row r="80" spans="1:21" x14ac:dyDescent="0.25">
      <c r="A80" s="2"/>
      <c r="B80" s="11"/>
      <c r="C80" s="8"/>
      <c r="D80" s="8"/>
      <c r="E80" s="8"/>
      <c r="F80" s="8"/>
      <c r="G80" s="8"/>
      <c r="H80" s="8"/>
      <c r="I80" s="8"/>
      <c r="J80" s="8"/>
      <c r="K80" s="8"/>
      <c r="L80" s="8"/>
      <c r="M80" s="8"/>
      <c r="N80" s="8"/>
      <c r="O80" s="8"/>
      <c r="P80" s="8"/>
      <c r="Q80" s="8"/>
      <c r="R80" s="8"/>
      <c r="S80" s="8"/>
      <c r="T80" s="12"/>
      <c r="U80" s="2"/>
    </row>
    <row r="81" spans="1:21" x14ac:dyDescent="0.25">
      <c r="A81" s="2"/>
      <c r="B81" s="11"/>
      <c r="C81" s="8"/>
      <c r="D81" s="8"/>
      <c r="E81" s="8"/>
      <c r="F81" s="8"/>
      <c r="G81" s="8"/>
      <c r="H81" s="8"/>
      <c r="I81" s="8"/>
      <c r="J81" s="8"/>
      <c r="K81" s="8"/>
      <c r="L81" s="8"/>
      <c r="M81" s="8"/>
      <c r="N81" s="8"/>
      <c r="O81" s="8"/>
      <c r="P81" s="8"/>
      <c r="Q81" s="8"/>
      <c r="R81" s="8"/>
      <c r="S81" s="8"/>
      <c r="T81" s="12"/>
      <c r="U81" s="2"/>
    </row>
    <row r="82" spans="1:21" x14ac:dyDescent="0.25">
      <c r="A82" s="2"/>
      <c r="B82" s="11"/>
      <c r="C82" s="8"/>
      <c r="D82" s="8"/>
      <c r="E82" s="8"/>
      <c r="F82" s="8"/>
      <c r="G82" s="8"/>
      <c r="H82" s="8"/>
      <c r="I82" s="8"/>
      <c r="J82" s="8"/>
      <c r="K82" s="8"/>
      <c r="L82" s="8"/>
      <c r="M82" s="8"/>
      <c r="N82" s="8"/>
      <c r="O82" s="8"/>
      <c r="P82" s="8"/>
      <c r="Q82" s="8"/>
      <c r="R82" s="8"/>
      <c r="S82" s="8"/>
      <c r="T82" s="12"/>
      <c r="U82" s="2"/>
    </row>
    <row r="83" spans="1:21" x14ac:dyDescent="0.25">
      <c r="A83" s="2"/>
      <c r="B83" s="11"/>
      <c r="C83" s="8"/>
      <c r="D83" s="8"/>
      <c r="E83" s="8"/>
      <c r="F83" s="8"/>
      <c r="G83" s="8"/>
      <c r="H83" s="8"/>
      <c r="I83" s="8"/>
      <c r="J83" s="8"/>
      <c r="K83" s="8"/>
      <c r="L83" s="8"/>
      <c r="M83" s="8"/>
      <c r="N83" s="8"/>
      <c r="O83" s="8"/>
      <c r="P83" s="8"/>
      <c r="Q83" s="8"/>
      <c r="R83" s="8"/>
      <c r="S83" s="8"/>
      <c r="T83" s="12"/>
      <c r="U83" s="2"/>
    </row>
    <row r="84" spans="1:21" ht="15" customHeight="1" x14ac:dyDescent="0.25">
      <c r="A84" s="2"/>
      <c r="B84" s="11"/>
      <c r="C84" s="8"/>
      <c r="D84" s="8"/>
      <c r="E84" s="8"/>
      <c r="F84" s="8"/>
      <c r="G84" s="8"/>
      <c r="H84" s="8"/>
      <c r="I84" s="8"/>
      <c r="J84" s="8"/>
      <c r="K84" s="8"/>
      <c r="L84" s="8"/>
      <c r="M84" s="8"/>
      <c r="N84" s="8"/>
      <c r="O84" s="8"/>
      <c r="P84" s="8"/>
      <c r="Q84" s="8"/>
      <c r="R84" s="8"/>
      <c r="S84" s="8"/>
      <c r="T84" s="12"/>
      <c r="U84" s="2"/>
    </row>
    <row r="85" spans="1:21" ht="16.5" thickBot="1" x14ac:dyDescent="0.3">
      <c r="A85" s="2"/>
      <c r="B85" s="11"/>
      <c r="C85" s="56"/>
      <c r="D85" s="8"/>
      <c r="E85" s="8"/>
      <c r="F85" s="8"/>
      <c r="G85" s="8"/>
      <c r="H85" s="8"/>
      <c r="I85" s="8"/>
      <c r="J85" s="8"/>
      <c r="K85" s="8"/>
      <c r="L85" s="8"/>
      <c r="M85" s="8"/>
      <c r="N85" s="8"/>
      <c r="O85" s="8"/>
      <c r="P85" s="8"/>
      <c r="Q85" s="8"/>
      <c r="R85" s="8"/>
      <c r="S85" s="8"/>
      <c r="T85" s="12"/>
      <c r="U85" s="2"/>
    </row>
    <row r="86" spans="1:21" ht="15" customHeight="1" x14ac:dyDescent="0.25">
      <c r="A86" s="2"/>
      <c r="B86" s="129" t="s">
        <v>397</v>
      </c>
      <c r="C86" s="179"/>
      <c r="D86" s="179"/>
      <c r="E86" s="179"/>
      <c r="F86" s="179"/>
      <c r="G86" s="179"/>
      <c r="H86" s="179"/>
      <c r="I86" s="179"/>
      <c r="J86" s="179"/>
      <c r="K86" s="179"/>
      <c r="L86" s="179"/>
      <c r="M86" s="179"/>
      <c r="N86" s="179"/>
      <c r="O86" s="179"/>
      <c r="P86" s="179"/>
      <c r="Q86" s="179"/>
      <c r="R86" s="179"/>
      <c r="S86" s="179"/>
      <c r="T86" s="180"/>
      <c r="U86" s="2"/>
    </row>
    <row r="87" spans="1:21" ht="15" customHeight="1" x14ac:dyDescent="0.25">
      <c r="A87" s="2"/>
      <c r="B87" s="181"/>
      <c r="C87" s="182"/>
      <c r="D87" s="182"/>
      <c r="E87" s="182"/>
      <c r="F87" s="182"/>
      <c r="G87" s="182"/>
      <c r="H87" s="182"/>
      <c r="I87" s="182"/>
      <c r="J87" s="182"/>
      <c r="K87" s="182"/>
      <c r="L87" s="182"/>
      <c r="M87" s="182"/>
      <c r="N87" s="182"/>
      <c r="O87" s="182"/>
      <c r="P87" s="182"/>
      <c r="Q87" s="182"/>
      <c r="R87" s="182"/>
      <c r="S87" s="182"/>
      <c r="T87" s="183"/>
      <c r="U87" s="2"/>
    </row>
    <row r="88" spans="1:21" ht="15.75" customHeight="1" thickBot="1" x14ac:dyDescent="0.3">
      <c r="A88" s="2"/>
      <c r="B88" s="184"/>
      <c r="C88" s="185"/>
      <c r="D88" s="185"/>
      <c r="E88" s="185"/>
      <c r="F88" s="185"/>
      <c r="G88" s="185"/>
      <c r="H88" s="185"/>
      <c r="I88" s="185"/>
      <c r="J88" s="185"/>
      <c r="K88" s="185"/>
      <c r="L88" s="185"/>
      <c r="M88" s="185"/>
      <c r="N88" s="185"/>
      <c r="O88" s="185"/>
      <c r="P88" s="185"/>
      <c r="Q88" s="185"/>
      <c r="R88" s="185"/>
      <c r="S88" s="185"/>
      <c r="T88" s="186"/>
      <c r="U88" s="2"/>
    </row>
    <row r="89" spans="1:21" ht="15.75" thickTop="1" x14ac:dyDescent="0.25">
      <c r="A89" s="2"/>
      <c r="B89" s="11"/>
      <c r="C89" s="8"/>
      <c r="D89" s="8"/>
      <c r="E89" s="8"/>
      <c r="F89" s="8"/>
      <c r="G89" s="8"/>
      <c r="H89" s="8"/>
      <c r="I89" s="8"/>
      <c r="J89" s="8"/>
      <c r="K89" s="8"/>
      <c r="L89" s="8"/>
      <c r="M89" s="8"/>
      <c r="N89" s="8"/>
      <c r="O89" s="8"/>
      <c r="P89" s="8"/>
      <c r="Q89" s="8"/>
      <c r="R89" s="8"/>
      <c r="S89" s="8"/>
      <c r="T89" s="12"/>
      <c r="U89" s="2"/>
    </row>
    <row r="90" spans="1:21" x14ac:dyDescent="0.25">
      <c r="A90" s="2"/>
      <c r="B90" s="11"/>
      <c r="C90" s="8"/>
      <c r="D90" s="8"/>
      <c r="E90" s="8"/>
      <c r="F90" s="8"/>
      <c r="G90" s="8"/>
      <c r="H90" s="8"/>
      <c r="I90" s="8"/>
      <c r="J90" s="8"/>
      <c r="K90" s="8"/>
      <c r="L90" s="8"/>
      <c r="M90" s="8"/>
      <c r="N90" s="8"/>
      <c r="O90" s="8"/>
      <c r="P90" s="8"/>
      <c r="Q90" s="8"/>
      <c r="R90" s="8"/>
      <c r="S90" s="8"/>
      <c r="T90" s="12"/>
      <c r="U90" s="2"/>
    </row>
    <row r="91" spans="1:21" x14ac:dyDescent="0.25">
      <c r="A91" s="2"/>
      <c r="B91" s="11"/>
      <c r="C91" s="52" t="s">
        <v>276</v>
      </c>
      <c r="D91" s="52"/>
      <c r="E91" s="52"/>
      <c r="F91" s="52"/>
      <c r="G91" s="52"/>
      <c r="H91" s="52"/>
      <c r="I91" s="52"/>
      <c r="J91" s="52"/>
      <c r="K91" s="52"/>
      <c r="L91" s="52"/>
      <c r="M91" s="52"/>
      <c r="N91" s="52"/>
      <c r="O91" s="52"/>
      <c r="P91" s="52"/>
      <c r="Q91" s="52"/>
      <c r="R91" s="52"/>
      <c r="S91" s="52"/>
      <c r="T91" s="12"/>
      <c r="U91" s="2"/>
    </row>
    <row r="92" spans="1:21" x14ac:dyDescent="0.25">
      <c r="A92" s="2"/>
      <c r="B92" s="11"/>
      <c r="C92" s="8"/>
      <c r="D92" s="8"/>
      <c r="E92" s="8"/>
      <c r="F92" s="8"/>
      <c r="G92" s="8"/>
      <c r="H92" s="8"/>
      <c r="I92" s="8"/>
      <c r="J92" s="8"/>
      <c r="K92" s="8"/>
      <c r="L92" s="8"/>
      <c r="M92" s="8"/>
      <c r="N92" s="8"/>
      <c r="O92" s="8"/>
      <c r="P92" s="8"/>
      <c r="Q92" s="8"/>
      <c r="R92" s="8"/>
      <c r="S92" s="8"/>
      <c r="T92" s="12"/>
      <c r="U92" s="2"/>
    </row>
    <row r="93" spans="1:21" ht="15.75" x14ac:dyDescent="0.25">
      <c r="A93" s="2"/>
      <c r="B93" s="11"/>
      <c r="C93" s="56" t="str">
        <f>IF(AND(D35="No"),"The Following Data Points are Required.",IF(AND(D35="Yes"),"The Following Data Points are Not Required."))</f>
        <v>The Following Data Points are Required.</v>
      </c>
      <c r="D93" s="8"/>
      <c r="E93" s="8"/>
      <c r="F93" s="8"/>
      <c r="G93" s="8"/>
      <c r="H93" s="8"/>
      <c r="I93" s="8"/>
      <c r="J93" s="8"/>
      <c r="K93" s="8"/>
      <c r="L93" s="8"/>
      <c r="M93" s="8"/>
      <c r="N93" s="8"/>
      <c r="O93" s="8"/>
      <c r="P93" s="8"/>
      <c r="Q93" s="8"/>
      <c r="R93" s="8"/>
      <c r="S93" s="8"/>
      <c r="T93" s="12"/>
      <c r="U93" s="2"/>
    </row>
    <row r="94" spans="1:21" ht="15.75" thickBot="1" x14ac:dyDescent="0.3">
      <c r="A94" s="2"/>
      <c r="B94" s="11"/>
      <c r="C94" s="8"/>
      <c r="D94" s="8"/>
      <c r="E94" s="8"/>
      <c r="F94" s="8"/>
      <c r="G94" s="8"/>
      <c r="H94" s="8"/>
      <c r="I94" s="8"/>
      <c r="J94" s="8"/>
      <c r="K94" s="8"/>
      <c r="L94" s="8"/>
      <c r="M94" s="8"/>
      <c r="N94" s="8"/>
      <c r="O94" s="8"/>
      <c r="P94" s="8"/>
      <c r="Q94" s="8"/>
      <c r="R94" s="8"/>
      <c r="S94" s="8"/>
      <c r="T94" s="12"/>
      <c r="U94" s="2"/>
    </row>
    <row r="95" spans="1:21" ht="19.5" thickTop="1" thickBot="1" x14ac:dyDescent="0.4">
      <c r="A95" s="2"/>
      <c r="B95" s="11"/>
      <c r="C95" s="8"/>
      <c r="D95" s="31" t="s">
        <v>175</v>
      </c>
      <c r="E95" s="31">
        <f>IF(AND(D35="No"),E97*E99+'LE from Fuel Consumption'!F16,IF(AND(D35="Yes"),0))</f>
        <v>0</v>
      </c>
      <c r="F95" s="8" t="s">
        <v>182</v>
      </c>
      <c r="G95" s="8"/>
      <c r="H95" s="8"/>
      <c r="I95" s="8"/>
      <c r="J95" s="8"/>
      <c r="K95" s="8"/>
      <c r="L95" s="8"/>
      <c r="M95" s="8"/>
      <c r="N95" s="8"/>
      <c r="O95" s="8"/>
      <c r="P95" s="8"/>
      <c r="Q95" s="8"/>
      <c r="R95" s="8"/>
      <c r="S95" s="8"/>
      <c r="T95" s="12"/>
      <c r="U95" s="2"/>
    </row>
    <row r="96" spans="1:21" ht="15.75" thickTop="1" x14ac:dyDescent="0.25">
      <c r="A96" s="2"/>
      <c r="B96" s="11"/>
      <c r="C96" s="8"/>
      <c r="D96" s="8"/>
      <c r="E96" s="8"/>
      <c r="F96" s="8"/>
      <c r="G96" s="8"/>
      <c r="H96" s="8"/>
      <c r="I96" s="8"/>
      <c r="J96" s="8"/>
      <c r="K96" s="8"/>
      <c r="L96" s="8"/>
      <c r="M96" s="8"/>
      <c r="N96" s="8"/>
      <c r="O96" s="8"/>
      <c r="P96" s="8"/>
      <c r="Q96" s="8"/>
      <c r="R96" s="8"/>
      <c r="S96" s="8"/>
      <c r="T96" s="12"/>
      <c r="U96" s="2"/>
    </row>
    <row r="97" spans="1:21" ht="15" customHeight="1" x14ac:dyDescent="0.35">
      <c r="A97" s="2"/>
      <c r="B97" s="11"/>
      <c r="C97" s="8"/>
      <c r="D97" s="21" t="s">
        <v>204</v>
      </c>
      <c r="E97" s="94">
        <v>0</v>
      </c>
      <c r="F97" s="8" t="s">
        <v>206</v>
      </c>
      <c r="G97" s="8"/>
      <c r="H97" s="8"/>
      <c r="I97" s="8"/>
      <c r="J97" s="8"/>
      <c r="K97" s="8"/>
      <c r="L97" s="8"/>
      <c r="M97" s="8"/>
      <c r="N97" s="8"/>
      <c r="O97" s="8"/>
      <c r="P97" s="8"/>
      <c r="Q97" s="8"/>
      <c r="R97" s="8"/>
      <c r="S97" s="8"/>
      <c r="T97" s="12"/>
      <c r="U97" s="2"/>
    </row>
    <row r="98" spans="1:21" x14ac:dyDescent="0.25">
      <c r="A98" s="2"/>
      <c r="B98" s="11"/>
      <c r="C98" s="8"/>
      <c r="D98" s="8"/>
      <c r="E98" s="8"/>
      <c r="F98" s="8"/>
      <c r="G98" s="8"/>
      <c r="H98" s="8"/>
      <c r="I98" s="8"/>
      <c r="J98" s="8"/>
      <c r="K98" s="8"/>
      <c r="L98" s="8"/>
      <c r="M98" s="8"/>
      <c r="N98" s="8"/>
      <c r="O98" s="8"/>
      <c r="P98" s="8"/>
      <c r="Q98" s="8"/>
      <c r="R98" s="8"/>
      <c r="S98" s="8"/>
      <c r="T98" s="12"/>
      <c r="U98" s="2"/>
    </row>
    <row r="99" spans="1:21" ht="18" x14ac:dyDescent="0.35">
      <c r="A99" s="2"/>
      <c r="B99" s="11"/>
      <c r="C99" s="8"/>
      <c r="D99" s="21" t="s">
        <v>146</v>
      </c>
      <c r="E99" s="94">
        <v>5.4699999999999999E-2</v>
      </c>
      <c r="F99" s="8" t="s">
        <v>147</v>
      </c>
      <c r="G99" s="8"/>
      <c r="H99" s="8"/>
      <c r="I99" s="8"/>
      <c r="J99" s="8"/>
      <c r="K99" s="8"/>
      <c r="L99" s="8"/>
      <c r="M99" s="8"/>
      <c r="N99" s="8"/>
      <c r="O99" s="8"/>
      <c r="P99" s="8"/>
      <c r="Q99" s="8"/>
      <c r="R99" s="8"/>
      <c r="S99" s="8"/>
      <c r="T99" s="12"/>
      <c r="U99" s="2"/>
    </row>
    <row r="100" spans="1:21" x14ac:dyDescent="0.25">
      <c r="A100" s="2"/>
      <c r="B100" s="11"/>
      <c r="C100" s="8"/>
      <c r="D100" s="8"/>
      <c r="E100" s="8"/>
      <c r="F100" s="8"/>
      <c r="G100" s="8"/>
      <c r="H100" s="8"/>
      <c r="I100" s="8"/>
      <c r="J100" s="8"/>
      <c r="K100" s="8"/>
      <c r="L100" s="8"/>
      <c r="M100" s="8"/>
      <c r="N100" s="8"/>
      <c r="O100" s="8"/>
      <c r="P100" s="8"/>
      <c r="Q100" s="8"/>
      <c r="R100" s="8"/>
      <c r="S100" s="8"/>
      <c r="T100" s="12"/>
      <c r="U100" s="2"/>
    </row>
    <row r="101" spans="1:21" x14ac:dyDescent="0.25">
      <c r="A101" s="2"/>
      <c r="B101" s="11"/>
      <c r="C101" s="8"/>
      <c r="D101" s="43" t="s">
        <v>104</v>
      </c>
      <c r="E101" s="8" t="s">
        <v>390</v>
      </c>
      <c r="F101" s="8"/>
      <c r="G101" s="8"/>
      <c r="H101" s="8"/>
      <c r="I101" s="8"/>
      <c r="J101" s="8"/>
      <c r="K101" s="8"/>
      <c r="L101" s="8"/>
      <c r="M101" s="8"/>
      <c r="N101" s="8"/>
      <c r="O101" s="8"/>
      <c r="P101" s="8"/>
      <c r="Q101" s="8"/>
      <c r="R101" s="8"/>
      <c r="S101" s="8"/>
      <c r="T101" s="12"/>
      <c r="U101" s="2"/>
    </row>
    <row r="102" spans="1:21" x14ac:dyDescent="0.25">
      <c r="A102" s="2"/>
      <c r="B102" s="11"/>
      <c r="C102" s="8"/>
      <c r="D102" s="8"/>
      <c r="E102" s="8"/>
      <c r="F102" s="8"/>
      <c r="G102" s="8"/>
      <c r="H102" s="8"/>
      <c r="I102" s="8"/>
      <c r="J102" s="8"/>
      <c r="K102" s="8"/>
      <c r="L102" s="8"/>
      <c r="M102" s="8"/>
      <c r="N102" s="8"/>
      <c r="O102" s="8"/>
      <c r="P102" s="8"/>
      <c r="Q102" s="8"/>
      <c r="R102" s="8"/>
      <c r="S102" s="8"/>
      <c r="T102" s="12"/>
      <c r="U102" s="2"/>
    </row>
    <row r="103" spans="1:21" x14ac:dyDescent="0.25">
      <c r="A103" s="2"/>
      <c r="B103" s="11"/>
      <c r="C103" s="8"/>
      <c r="D103" s="152" t="s">
        <v>394</v>
      </c>
      <c r="E103" s="153"/>
      <c r="F103" s="8" t="s">
        <v>395</v>
      </c>
      <c r="G103" s="8"/>
      <c r="H103" s="8"/>
      <c r="I103" s="8"/>
      <c r="J103" s="8"/>
      <c r="K103" s="8"/>
      <c r="L103" s="8"/>
      <c r="M103" s="8"/>
      <c r="N103" s="8"/>
      <c r="O103" s="8"/>
      <c r="P103" s="8"/>
      <c r="Q103" s="8"/>
      <c r="R103" s="8"/>
      <c r="S103" s="8"/>
      <c r="T103" s="12"/>
      <c r="U103" s="2"/>
    </row>
    <row r="104" spans="1:21" x14ac:dyDescent="0.25">
      <c r="A104" s="2"/>
      <c r="B104" s="11"/>
      <c r="C104" s="8"/>
      <c r="D104" s="8"/>
      <c r="E104" s="8"/>
      <c r="F104" s="8"/>
      <c r="G104" s="8"/>
      <c r="H104" s="8"/>
      <c r="I104" s="8"/>
      <c r="J104" s="8"/>
      <c r="K104" s="8"/>
      <c r="L104" s="8"/>
      <c r="M104" s="8"/>
      <c r="N104" s="8"/>
      <c r="O104" s="8"/>
      <c r="P104" s="8"/>
      <c r="Q104" s="8"/>
      <c r="R104" s="8"/>
      <c r="S104" s="8"/>
      <c r="T104" s="12"/>
      <c r="U104" s="2"/>
    </row>
    <row r="105" spans="1:21" ht="18" x14ac:dyDescent="0.35">
      <c r="A105" s="2"/>
      <c r="B105" s="11"/>
      <c r="C105" s="8"/>
      <c r="D105" s="152" t="s">
        <v>205</v>
      </c>
      <c r="E105" s="153"/>
      <c r="F105" s="8" t="s">
        <v>207</v>
      </c>
      <c r="G105" s="8"/>
      <c r="H105" s="8"/>
      <c r="I105" s="8"/>
      <c r="J105" s="8"/>
      <c r="K105" s="8"/>
      <c r="L105" s="8"/>
      <c r="M105" s="8"/>
      <c r="N105" s="8"/>
      <c r="O105" s="8"/>
      <c r="P105" s="8"/>
      <c r="Q105" s="8"/>
      <c r="R105" s="8"/>
      <c r="S105" s="8"/>
      <c r="T105" s="12"/>
      <c r="U105" s="2"/>
    </row>
    <row r="106" spans="1:21" x14ac:dyDescent="0.25">
      <c r="A106" s="2"/>
      <c r="B106" s="11"/>
      <c r="C106" s="8"/>
      <c r="D106" s="8"/>
      <c r="E106" s="8"/>
      <c r="F106" s="8"/>
      <c r="G106" s="8"/>
      <c r="H106" s="8"/>
      <c r="I106" s="8"/>
      <c r="J106" s="8"/>
      <c r="K106" s="8"/>
      <c r="L106" s="8"/>
      <c r="M106" s="8"/>
      <c r="N106" s="8"/>
      <c r="O106" s="8"/>
      <c r="P106" s="8"/>
      <c r="Q106" s="8"/>
      <c r="R106" s="8"/>
      <c r="S106" s="8"/>
      <c r="T106" s="12"/>
      <c r="U106" s="2"/>
    </row>
    <row r="107" spans="1:21" ht="18" x14ac:dyDescent="0.35">
      <c r="A107" s="2"/>
      <c r="B107" s="11"/>
      <c r="C107" s="8"/>
      <c r="D107" s="152" t="s">
        <v>139</v>
      </c>
      <c r="E107" s="153"/>
      <c r="F107" s="8" t="s">
        <v>200</v>
      </c>
      <c r="G107" s="8"/>
      <c r="H107" s="8"/>
      <c r="I107" s="8"/>
      <c r="J107" s="8"/>
      <c r="K107" s="8"/>
      <c r="L107" s="8"/>
      <c r="M107" s="8"/>
      <c r="N107" s="8"/>
      <c r="O107" s="8"/>
      <c r="P107" s="8"/>
      <c r="Q107" s="8"/>
      <c r="R107" s="8"/>
      <c r="S107" s="8"/>
      <c r="T107" s="12"/>
      <c r="U107" s="2"/>
    </row>
    <row r="108" spans="1:21" x14ac:dyDescent="0.25">
      <c r="A108" s="2"/>
      <c r="B108" s="11"/>
      <c r="C108" s="8"/>
      <c r="D108" s="8"/>
      <c r="E108" s="8"/>
      <c r="F108" s="8"/>
      <c r="G108" s="8"/>
      <c r="H108" s="8"/>
      <c r="I108" s="8"/>
      <c r="J108" s="8"/>
      <c r="K108" s="8"/>
      <c r="L108" s="8"/>
      <c r="M108" s="8"/>
      <c r="N108" s="8"/>
      <c r="O108" s="8"/>
      <c r="P108" s="8"/>
      <c r="Q108" s="8"/>
      <c r="R108" s="8"/>
      <c r="S108" s="8"/>
      <c r="T108" s="12"/>
      <c r="U108" s="2"/>
    </row>
    <row r="109" spans="1:21" ht="18" x14ac:dyDescent="0.35">
      <c r="A109" s="2"/>
      <c r="B109" s="11"/>
      <c r="C109" s="8"/>
      <c r="D109" s="152" t="s">
        <v>141</v>
      </c>
      <c r="E109" s="153"/>
      <c r="F109" s="8" t="s">
        <v>208</v>
      </c>
      <c r="G109" s="8"/>
      <c r="H109" s="8"/>
      <c r="I109" s="8"/>
      <c r="J109" s="8"/>
      <c r="K109" s="8"/>
      <c r="L109" s="8"/>
      <c r="M109" s="8"/>
      <c r="N109" s="8"/>
      <c r="O109" s="8"/>
      <c r="P109" s="8"/>
      <c r="Q109" s="8"/>
      <c r="R109" s="8"/>
      <c r="S109" s="8"/>
      <c r="T109" s="12"/>
      <c r="U109" s="2"/>
    </row>
    <row r="110" spans="1:21" x14ac:dyDescent="0.25">
      <c r="A110" s="2"/>
      <c r="B110" s="11"/>
      <c r="C110" s="8"/>
      <c r="D110" s="8"/>
      <c r="E110" s="8"/>
      <c r="F110" s="8"/>
      <c r="G110" s="8"/>
      <c r="H110" s="8"/>
      <c r="I110" s="8"/>
      <c r="J110" s="8"/>
      <c r="K110" s="8"/>
      <c r="L110" s="8"/>
      <c r="M110" s="8"/>
      <c r="N110" s="8"/>
      <c r="O110" s="8"/>
      <c r="P110" s="8"/>
      <c r="Q110" s="8"/>
      <c r="R110" s="8"/>
      <c r="S110" s="8"/>
      <c r="T110" s="12"/>
      <c r="U110" s="2"/>
    </row>
    <row r="111" spans="1:21" x14ac:dyDescent="0.25">
      <c r="A111" s="2"/>
      <c r="B111" s="11"/>
      <c r="C111" s="8"/>
      <c r="D111" s="8"/>
      <c r="E111" s="8"/>
      <c r="F111" s="8"/>
      <c r="G111" s="8"/>
      <c r="H111" s="8"/>
      <c r="I111" s="8"/>
      <c r="J111" s="8"/>
      <c r="K111" s="8"/>
      <c r="L111" s="8"/>
      <c r="M111" s="8"/>
      <c r="N111" s="8"/>
      <c r="O111" s="8"/>
      <c r="P111" s="8"/>
      <c r="Q111" s="8"/>
      <c r="R111" s="8"/>
      <c r="S111" s="8"/>
      <c r="T111" s="12"/>
      <c r="U111" s="2"/>
    </row>
    <row r="112" spans="1:21" x14ac:dyDescent="0.25">
      <c r="A112" s="2"/>
      <c r="B112" s="11"/>
      <c r="C112" s="8"/>
      <c r="D112" s="8"/>
      <c r="E112" s="8"/>
      <c r="F112" s="8"/>
      <c r="G112" s="8"/>
      <c r="H112" s="8"/>
      <c r="I112" s="8"/>
      <c r="J112" s="8"/>
      <c r="K112" s="8"/>
      <c r="L112" s="8"/>
      <c r="M112" s="8"/>
      <c r="N112" s="8"/>
      <c r="O112" s="8"/>
      <c r="P112" s="8"/>
      <c r="Q112" s="8"/>
      <c r="R112" s="8"/>
      <c r="S112" s="8"/>
      <c r="T112" s="12"/>
      <c r="U112" s="2"/>
    </row>
    <row r="113" spans="1:21" x14ac:dyDescent="0.25">
      <c r="A113" s="2"/>
      <c r="B113" s="11"/>
      <c r="C113" s="8"/>
      <c r="D113" s="8"/>
      <c r="E113" s="8"/>
      <c r="F113" s="8"/>
      <c r="G113" s="8"/>
      <c r="H113" s="8"/>
      <c r="I113" s="8"/>
      <c r="J113" s="8"/>
      <c r="K113" s="8"/>
      <c r="L113" s="8"/>
      <c r="M113" s="8"/>
      <c r="N113" s="8"/>
      <c r="O113" s="8"/>
      <c r="P113" s="8"/>
      <c r="Q113" s="8"/>
      <c r="R113" s="8"/>
      <c r="S113" s="8"/>
      <c r="T113" s="12"/>
      <c r="U113" s="2"/>
    </row>
    <row r="114" spans="1:21" x14ac:dyDescent="0.25">
      <c r="A114" s="2"/>
      <c r="B114" s="11"/>
      <c r="C114" s="8"/>
      <c r="D114" s="8"/>
      <c r="E114" s="8"/>
      <c r="F114" s="8"/>
      <c r="G114" s="8"/>
      <c r="H114" s="8"/>
      <c r="I114" s="8"/>
      <c r="J114" s="8"/>
      <c r="K114" s="8"/>
      <c r="L114" s="8"/>
      <c r="M114" s="8"/>
      <c r="N114" s="8"/>
      <c r="O114" s="8"/>
      <c r="P114" s="8"/>
      <c r="Q114" s="8"/>
      <c r="R114" s="8"/>
      <c r="S114" s="8"/>
      <c r="T114" s="12"/>
      <c r="U114" s="2"/>
    </row>
    <row r="115" spans="1:21" ht="16.5" thickBot="1" x14ac:dyDescent="0.3">
      <c r="A115" s="2"/>
      <c r="B115" s="11"/>
      <c r="C115" s="56"/>
      <c r="D115" s="8"/>
      <c r="E115" s="8"/>
      <c r="F115" s="8"/>
      <c r="G115" s="8"/>
      <c r="H115" s="8"/>
      <c r="I115" s="8"/>
      <c r="J115" s="8"/>
      <c r="K115" s="8"/>
      <c r="L115" s="8"/>
      <c r="M115" s="8"/>
      <c r="N115" s="8"/>
      <c r="O115" s="8"/>
      <c r="P115" s="8"/>
      <c r="Q115" s="8"/>
      <c r="R115" s="8"/>
      <c r="S115" s="8"/>
      <c r="T115" s="12"/>
      <c r="U115" s="2"/>
    </row>
    <row r="116" spans="1:21" x14ac:dyDescent="0.25">
      <c r="A116" s="2"/>
      <c r="B116" s="129" t="s">
        <v>398</v>
      </c>
      <c r="C116" s="179"/>
      <c r="D116" s="179"/>
      <c r="E116" s="179"/>
      <c r="F116" s="179"/>
      <c r="G116" s="179"/>
      <c r="H116" s="179"/>
      <c r="I116" s="179"/>
      <c r="J116" s="179"/>
      <c r="K116" s="179"/>
      <c r="L116" s="179"/>
      <c r="M116" s="179"/>
      <c r="N116" s="179"/>
      <c r="O116" s="179"/>
      <c r="P116" s="179"/>
      <c r="Q116" s="179"/>
      <c r="R116" s="179"/>
      <c r="S116" s="179"/>
      <c r="T116" s="180"/>
      <c r="U116" s="2"/>
    </row>
    <row r="117" spans="1:21" x14ac:dyDescent="0.25">
      <c r="A117" s="2"/>
      <c r="B117" s="181"/>
      <c r="C117" s="182"/>
      <c r="D117" s="182"/>
      <c r="E117" s="182"/>
      <c r="F117" s="182"/>
      <c r="G117" s="182"/>
      <c r="H117" s="182"/>
      <c r="I117" s="182"/>
      <c r="J117" s="182"/>
      <c r="K117" s="182"/>
      <c r="L117" s="182"/>
      <c r="M117" s="182"/>
      <c r="N117" s="182"/>
      <c r="O117" s="182"/>
      <c r="P117" s="182"/>
      <c r="Q117" s="182"/>
      <c r="R117" s="182"/>
      <c r="S117" s="182"/>
      <c r="T117" s="183"/>
      <c r="U117" s="2"/>
    </row>
    <row r="118" spans="1:21" ht="15.75" thickBot="1" x14ac:dyDescent="0.3">
      <c r="A118" s="2"/>
      <c r="B118" s="184"/>
      <c r="C118" s="185"/>
      <c r="D118" s="185"/>
      <c r="E118" s="185"/>
      <c r="F118" s="185"/>
      <c r="G118" s="185"/>
      <c r="H118" s="185"/>
      <c r="I118" s="185"/>
      <c r="J118" s="185"/>
      <c r="K118" s="185"/>
      <c r="L118" s="185"/>
      <c r="M118" s="185"/>
      <c r="N118" s="185"/>
      <c r="O118" s="185"/>
      <c r="P118" s="185"/>
      <c r="Q118" s="185"/>
      <c r="R118" s="185"/>
      <c r="S118" s="185"/>
      <c r="T118" s="186"/>
      <c r="U118" s="2"/>
    </row>
    <row r="119" spans="1:21" ht="15.75" thickTop="1" x14ac:dyDescent="0.25">
      <c r="A119" s="2"/>
      <c r="B119" s="11"/>
      <c r="C119" s="8"/>
      <c r="D119" s="8"/>
      <c r="E119" s="8"/>
      <c r="F119" s="8"/>
      <c r="G119" s="8"/>
      <c r="H119" s="8"/>
      <c r="I119" s="8"/>
      <c r="J119" s="8"/>
      <c r="K119" s="8"/>
      <c r="L119" s="8"/>
      <c r="M119" s="8"/>
      <c r="N119" s="8"/>
      <c r="O119" s="8"/>
      <c r="P119" s="8"/>
      <c r="Q119" s="8"/>
      <c r="R119" s="8"/>
      <c r="S119" s="8"/>
      <c r="T119" s="12"/>
      <c r="U119" s="2"/>
    </row>
    <row r="120" spans="1:21" x14ac:dyDescent="0.25">
      <c r="A120" s="2"/>
      <c r="B120" s="11"/>
      <c r="C120" s="8"/>
      <c r="D120" s="8"/>
      <c r="E120" s="8"/>
      <c r="F120" s="8"/>
      <c r="G120" s="8"/>
      <c r="H120" s="8"/>
      <c r="I120" s="8"/>
      <c r="J120" s="8"/>
      <c r="K120" s="8"/>
      <c r="L120" s="8"/>
      <c r="M120" s="8"/>
      <c r="N120" s="8"/>
      <c r="O120" s="8"/>
      <c r="P120" s="8"/>
      <c r="Q120" s="8"/>
      <c r="R120" s="8"/>
      <c r="S120" s="8"/>
      <c r="T120" s="12"/>
      <c r="U120" s="2"/>
    </row>
    <row r="121" spans="1:21" x14ac:dyDescent="0.25">
      <c r="A121" s="2"/>
      <c r="B121" s="11"/>
      <c r="C121" s="52" t="s">
        <v>275</v>
      </c>
      <c r="D121" s="8"/>
      <c r="E121" s="8"/>
      <c r="F121" s="8"/>
      <c r="G121" s="8"/>
      <c r="H121" s="8"/>
      <c r="I121" s="8"/>
      <c r="J121" s="8"/>
      <c r="K121" s="8"/>
      <c r="L121" s="8"/>
      <c r="M121" s="8"/>
      <c r="N121" s="8"/>
      <c r="O121" s="8"/>
      <c r="P121" s="8"/>
      <c r="Q121" s="8"/>
      <c r="R121" s="8"/>
      <c r="S121" s="8"/>
      <c r="T121" s="12"/>
      <c r="U121" s="2"/>
    </row>
    <row r="122" spans="1:21" x14ac:dyDescent="0.25">
      <c r="A122" s="2"/>
      <c r="B122" s="11"/>
      <c r="C122" s="8"/>
      <c r="D122" s="8"/>
      <c r="E122" s="8"/>
      <c r="F122" s="8"/>
      <c r="G122" s="8"/>
      <c r="H122" s="8"/>
      <c r="I122" s="8"/>
      <c r="J122" s="8"/>
      <c r="K122" s="8"/>
      <c r="L122" s="8"/>
      <c r="M122" s="8"/>
      <c r="N122" s="8"/>
      <c r="O122" s="8"/>
      <c r="P122" s="8"/>
      <c r="Q122" s="8"/>
      <c r="R122" s="8"/>
      <c r="S122" s="8"/>
      <c r="T122" s="12"/>
      <c r="U122" s="2"/>
    </row>
    <row r="123" spans="1:21" ht="15.75" x14ac:dyDescent="0.25">
      <c r="A123" s="2"/>
      <c r="B123" s="11"/>
      <c r="C123" s="56" t="str">
        <f>IF(AND(D35="No"),"The Following Data Points are Required.",IF(AND(D35="Yes"),"The Following Data Points are Not Required."))</f>
        <v>The Following Data Points are Required.</v>
      </c>
      <c r="D123" s="8"/>
      <c r="E123" s="8"/>
      <c r="F123" s="8"/>
      <c r="G123" s="8"/>
      <c r="H123" s="8"/>
      <c r="I123" s="8"/>
      <c r="J123" s="8"/>
      <c r="K123" s="8"/>
      <c r="L123" s="8"/>
      <c r="M123" s="8"/>
      <c r="N123" s="8"/>
      <c r="O123" s="8"/>
      <c r="P123" s="8"/>
      <c r="Q123" s="8"/>
      <c r="R123" s="8"/>
      <c r="S123" s="8"/>
      <c r="T123" s="12"/>
      <c r="U123" s="2"/>
    </row>
    <row r="124" spans="1:21" ht="15" customHeight="1" thickBot="1" x14ac:dyDescent="0.3">
      <c r="A124" s="2"/>
      <c r="B124" s="11"/>
      <c r="C124" s="8"/>
      <c r="D124" s="8"/>
      <c r="E124" s="8"/>
      <c r="F124" s="8"/>
      <c r="G124" s="8"/>
      <c r="H124" s="8"/>
      <c r="I124" s="8"/>
      <c r="J124" s="8"/>
      <c r="K124" s="8"/>
      <c r="L124" s="8"/>
      <c r="M124" s="8"/>
      <c r="N124" s="8"/>
      <c r="O124" s="8"/>
      <c r="P124" s="8"/>
      <c r="Q124" s="8"/>
      <c r="R124" s="8"/>
      <c r="S124" s="8"/>
      <c r="T124" s="12"/>
      <c r="U124" s="2"/>
    </row>
    <row r="125" spans="1:21" ht="19.5" thickTop="1" thickBot="1" x14ac:dyDescent="0.4">
      <c r="A125" s="2"/>
      <c r="B125" s="11"/>
      <c r="C125" s="8"/>
      <c r="D125" s="31" t="s">
        <v>176</v>
      </c>
      <c r="E125" s="31">
        <f>IF(AND(D35="No"),E127*E129+'LE from Fuel Consumption'!F18,IF(AND(D35="Yes"),0))</f>
        <v>2.064378</v>
      </c>
      <c r="F125" s="8" t="s">
        <v>183</v>
      </c>
      <c r="G125" s="8"/>
      <c r="H125" s="8"/>
      <c r="I125" s="8"/>
      <c r="J125" s="8"/>
      <c r="K125" s="8"/>
      <c r="L125" s="8"/>
      <c r="M125" s="8"/>
      <c r="N125" s="8"/>
      <c r="O125" s="8"/>
      <c r="P125" s="8"/>
      <c r="Q125" s="8"/>
      <c r="R125" s="8"/>
      <c r="S125" s="8"/>
      <c r="T125" s="12"/>
      <c r="U125" s="2"/>
    </row>
    <row r="126" spans="1:21" ht="15.75" thickTop="1" x14ac:dyDescent="0.25">
      <c r="A126" s="2"/>
      <c r="B126" s="11"/>
      <c r="C126" s="8"/>
      <c r="D126" s="8"/>
      <c r="E126" s="8"/>
      <c r="F126" s="8"/>
      <c r="G126" s="8"/>
      <c r="H126" s="8"/>
      <c r="I126" s="8"/>
      <c r="J126" s="8"/>
      <c r="K126" s="8"/>
      <c r="L126" s="8"/>
      <c r="M126" s="8"/>
      <c r="N126" s="8"/>
      <c r="O126" s="8"/>
      <c r="P126" s="8"/>
      <c r="Q126" s="8"/>
      <c r="R126" s="8"/>
      <c r="S126" s="8"/>
      <c r="T126" s="12"/>
      <c r="U126" s="2"/>
    </row>
    <row r="127" spans="1:21" ht="18" x14ac:dyDescent="0.35">
      <c r="A127" s="2"/>
      <c r="B127" s="11"/>
      <c r="C127" s="8"/>
      <c r="D127" s="21" t="s">
        <v>209</v>
      </c>
      <c r="E127" s="94">
        <v>0.24</v>
      </c>
      <c r="F127" s="8" t="s">
        <v>211</v>
      </c>
      <c r="G127" s="8"/>
      <c r="H127" s="8"/>
      <c r="I127" s="8"/>
      <c r="J127" s="8"/>
      <c r="K127" s="8"/>
      <c r="L127" s="8"/>
      <c r="M127" s="8"/>
      <c r="N127" s="8"/>
      <c r="O127" s="8"/>
      <c r="P127" s="8"/>
      <c r="Q127" s="8"/>
      <c r="R127" s="8"/>
      <c r="S127" s="8"/>
      <c r="T127" s="12"/>
      <c r="U127" s="2"/>
    </row>
    <row r="128" spans="1:21" x14ac:dyDescent="0.25">
      <c r="A128" s="2"/>
      <c r="B128" s="11"/>
      <c r="C128" s="8"/>
      <c r="D128" s="8"/>
      <c r="E128" s="8"/>
      <c r="F128" s="8"/>
      <c r="G128" s="8"/>
      <c r="H128" s="8"/>
      <c r="I128" s="8"/>
      <c r="J128" s="8"/>
      <c r="K128" s="8"/>
      <c r="L128" s="8"/>
      <c r="M128" s="8"/>
      <c r="N128" s="8"/>
      <c r="O128" s="8"/>
      <c r="P128" s="8"/>
      <c r="Q128" s="8"/>
      <c r="R128" s="8"/>
      <c r="S128" s="8"/>
      <c r="T128" s="12"/>
      <c r="U128" s="2"/>
    </row>
    <row r="129" spans="1:21" ht="18" x14ac:dyDescent="0.35">
      <c r="A129" s="2"/>
      <c r="B129" s="11"/>
      <c r="C129" s="8"/>
      <c r="D129" s="21" t="s">
        <v>146</v>
      </c>
      <c r="E129" s="94">
        <v>5.4699999999999999E-2</v>
      </c>
      <c r="F129" s="8" t="s">
        <v>147</v>
      </c>
      <c r="G129" s="8"/>
      <c r="H129" s="8"/>
      <c r="I129" s="8"/>
      <c r="J129" s="8"/>
      <c r="K129" s="8"/>
      <c r="L129" s="8"/>
      <c r="M129" s="8"/>
      <c r="N129" s="8"/>
      <c r="O129" s="8"/>
      <c r="P129" s="8"/>
      <c r="Q129" s="8"/>
      <c r="R129" s="8"/>
      <c r="S129" s="8"/>
      <c r="T129" s="12"/>
      <c r="U129" s="2"/>
    </row>
    <row r="130" spans="1:21" x14ac:dyDescent="0.25">
      <c r="A130" s="2"/>
      <c r="B130" s="11"/>
      <c r="C130" s="8"/>
      <c r="D130" s="8"/>
      <c r="E130" s="8"/>
      <c r="F130" s="8"/>
      <c r="G130" s="8"/>
      <c r="H130" s="8"/>
      <c r="I130" s="8"/>
      <c r="J130" s="8"/>
      <c r="K130" s="8"/>
      <c r="L130" s="8"/>
      <c r="M130" s="8"/>
      <c r="N130" s="8"/>
      <c r="O130" s="8"/>
      <c r="P130" s="8"/>
      <c r="Q130" s="8"/>
      <c r="R130" s="8"/>
      <c r="S130" s="8"/>
      <c r="T130" s="12"/>
      <c r="U130" s="2"/>
    </row>
    <row r="131" spans="1:21" x14ac:dyDescent="0.25">
      <c r="A131" s="2"/>
      <c r="B131" s="11"/>
      <c r="C131" s="8"/>
      <c r="D131" s="43" t="s">
        <v>104</v>
      </c>
      <c r="E131" s="8" t="s">
        <v>390</v>
      </c>
      <c r="F131" s="8"/>
      <c r="G131" s="8"/>
      <c r="H131" s="8"/>
      <c r="I131" s="8"/>
      <c r="J131" s="8"/>
      <c r="K131" s="8"/>
      <c r="L131" s="8"/>
      <c r="M131" s="8"/>
      <c r="N131" s="8"/>
      <c r="O131" s="8"/>
      <c r="P131" s="8"/>
      <c r="Q131" s="8"/>
      <c r="R131" s="8"/>
      <c r="S131" s="8"/>
      <c r="T131" s="12"/>
      <c r="U131" s="2"/>
    </row>
    <row r="132" spans="1:21" x14ac:dyDescent="0.25">
      <c r="A132" s="2"/>
      <c r="B132" s="11"/>
      <c r="C132" s="8"/>
      <c r="D132" s="8"/>
      <c r="E132" s="8"/>
      <c r="F132" s="8"/>
      <c r="G132" s="8"/>
      <c r="H132" s="8"/>
      <c r="I132" s="8"/>
      <c r="J132" s="8"/>
      <c r="K132" s="8"/>
      <c r="L132" s="8"/>
      <c r="M132" s="8"/>
      <c r="N132" s="8"/>
      <c r="O132" s="8"/>
      <c r="P132" s="8"/>
      <c r="Q132" s="8"/>
      <c r="R132" s="8"/>
      <c r="S132" s="8"/>
      <c r="T132" s="12"/>
      <c r="U132" s="2"/>
    </row>
    <row r="133" spans="1:21" x14ac:dyDescent="0.25">
      <c r="A133" s="2"/>
      <c r="B133" s="11"/>
      <c r="C133" s="8"/>
      <c r="D133" s="152" t="s">
        <v>394</v>
      </c>
      <c r="E133" s="153"/>
      <c r="F133" s="8" t="s">
        <v>395</v>
      </c>
      <c r="G133" s="8"/>
      <c r="H133" s="8"/>
      <c r="I133" s="8"/>
      <c r="J133" s="8"/>
      <c r="K133" s="8"/>
      <c r="L133" s="8"/>
      <c r="M133" s="8"/>
      <c r="N133" s="8"/>
      <c r="O133" s="8"/>
      <c r="P133" s="8"/>
      <c r="Q133" s="8"/>
      <c r="R133" s="8"/>
      <c r="S133" s="8"/>
      <c r="T133" s="12"/>
      <c r="U133" s="2"/>
    </row>
    <row r="134" spans="1:21" x14ac:dyDescent="0.25">
      <c r="A134" s="2"/>
      <c r="B134" s="11"/>
      <c r="C134" s="8"/>
      <c r="D134" s="8"/>
      <c r="E134" s="8"/>
      <c r="F134" s="8"/>
      <c r="G134" s="8"/>
      <c r="H134" s="8"/>
      <c r="I134" s="8"/>
      <c r="J134" s="8"/>
      <c r="K134" s="8"/>
      <c r="L134" s="8"/>
      <c r="M134" s="8"/>
      <c r="N134" s="8"/>
      <c r="O134" s="8"/>
      <c r="P134" s="8"/>
      <c r="Q134" s="8"/>
      <c r="R134" s="8"/>
      <c r="S134" s="8"/>
      <c r="T134" s="12"/>
      <c r="U134" s="2"/>
    </row>
    <row r="135" spans="1:21" ht="18" x14ac:dyDescent="0.35">
      <c r="A135" s="2"/>
      <c r="B135" s="11"/>
      <c r="C135" s="8"/>
      <c r="D135" s="152" t="s">
        <v>210</v>
      </c>
      <c r="E135" s="153"/>
      <c r="F135" s="8" t="s">
        <v>212</v>
      </c>
      <c r="G135" s="8"/>
      <c r="H135" s="8"/>
      <c r="I135" s="8"/>
      <c r="J135" s="8"/>
      <c r="K135" s="8"/>
      <c r="L135" s="8"/>
      <c r="M135" s="8"/>
      <c r="N135" s="8"/>
      <c r="O135" s="8"/>
      <c r="P135" s="8"/>
      <c r="Q135" s="8"/>
      <c r="R135" s="8"/>
      <c r="S135" s="8"/>
      <c r="T135" s="12"/>
      <c r="U135" s="2"/>
    </row>
    <row r="136" spans="1:21" x14ac:dyDescent="0.25">
      <c r="A136" s="2"/>
      <c r="B136" s="11"/>
      <c r="C136" s="8"/>
      <c r="D136" s="8"/>
      <c r="E136" s="8"/>
      <c r="F136" s="8"/>
      <c r="G136" s="8"/>
      <c r="H136" s="8"/>
      <c r="I136" s="8"/>
      <c r="J136" s="8"/>
      <c r="K136" s="8"/>
      <c r="L136" s="8"/>
      <c r="M136" s="8"/>
      <c r="N136" s="8"/>
      <c r="O136" s="8"/>
      <c r="P136" s="8"/>
      <c r="Q136" s="8"/>
      <c r="R136" s="8"/>
      <c r="S136" s="8"/>
      <c r="T136" s="12"/>
      <c r="U136" s="2"/>
    </row>
    <row r="137" spans="1:21" ht="18" x14ac:dyDescent="0.35">
      <c r="A137" s="2"/>
      <c r="B137" s="11"/>
      <c r="C137" s="8"/>
      <c r="D137" s="152" t="s">
        <v>139</v>
      </c>
      <c r="E137" s="153"/>
      <c r="F137" s="8" t="s">
        <v>140</v>
      </c>
      <c r="G137" s="8"/>
      <c r="H137" s="8"/>
      <c r="I137" s="8"/>
      <c r="J137" s="8"/>
      <c r="K137" s="8"/>
      <c r="L137" s="8"/>
      <c r="M137" s="8"/>
      <c r="N137" s="8"/>
      <c r="O137" s="8"/>
      <c r="P137" s="8"/>
      <c r="Q137" s="8"/>
      <c r="R137" s="8"/>
      <c r="S137" s="8"/>
      <c r="T137" s="12"/>
      <c r="U137" s="2"/>
    </row>
    <row r="138" spans="1:21" x14ac:dyDescent="0.25">
      <c r="A138" s="2"/>
      <c r="B138" s="11"/>
      <c r="C138" s="8"/>
      <c r="D138" s="8"/>
      <c r="E138" s="8"/>
      <c r="F138" s="8"/>
      <c r="G138" s="8"/>
      <c r="H138" s="8"/>
      <c r="I138" s="8"/>
      <c r="J138" s="8"/>
      <c r="K138" s="8"/>
      <c r="L138" s="8"/>
      <c r="M138" s="8"/>
      <c r="N138" s="8"/>
      <c r="O138" s="8"/>
      <c r="P138" s="8"/>
      <c r="Q138" s="8"/>
      <c r="R138" s="8"/>
      <c r="S138" s="8"/>
      <c r="T138" s="12"/>
      <c r="U138" s="2"/>
    </row>
    <row r="139" spans="1:21" ht="18" x14ac:dyDescent="0.35">
      <c r="A139" s="2"/>
      <c r="B139" s="11"/>
      <c r="C139" s="8"/>
      <c r="D139" s="152" t="s">
        <v>141</v>
      </c>
      <c r="E139" s="153"/>
      <c r="F139" s="8" t="s">
        <v>142</v>
      </c>
      <c r="G139" s="8"/>
      <c r="H139" s="8"/>
      <c r="I139" s="8"/>
      <c r="J139" s="8"/>
      <c r="K139" s="8"/>
      <c r="L139" s="8"/>
      <c r="M139" s="8"/>
      <c r="N139" s="8"/>
      <c r="O139" s="8"/>
      <c r="P139" s="8"/>
      <c r="Q139" s="8"/>
      <c r="R139" s="8"/>
      <c r="S139" s="8"/>
      <c r="T139" s="12"/>
      <c r="U139" s="2"/>
    </row>
    <row r="140" spans="1:21" x14ac:dyDescent="0.25">
      <c r="A140" s="2"/>
      <c r="B140" s="11"/>
      <c r="C140" s="8"/>
      <c r="D140" s="8"/>
      <c r="E140" s="8"/>
      <c r="F140" s="8"/>
      <c r="G140" s="8"/>
      <c r="H140" s="8"/>
      <c r="I140" s="8"/>
      <c r="J140" s="8"/>
      <c r="K140" s="8"/>
      <c r="L140" s="8"/>
      <c r="M140" s="8"/>
      <c r="N140" s="8"/>
      <c r="O140" s="8"/>
      <c r="P140" s="8"/>
      <c r="Q140" s="8"/>
      <c r="R140" s="8"/>
      <c r="S140" s="8"/>
      <c r="T140" s="12"/>
      <c r="U140" s="2"/>
    </row>
    <row r="141" spans="1:21" x14ac:dyDescent="0.25">
      <c r="A141" s="2"/>
      <c r="B141" s="11"/>
      <c r="C141" s="8"/>
      <c r="D141" s="8"/>
      <c r="E141" s="8"/>
      <c r="F141" s="8"/>
      <c r="G141" s="8"/>
      <c r="H141" s="8"/>
      <c r="I141" s="8"/>
      <c r="J141" s="8"/>
      <c r="K141" s="8"/>
      <c r="L141" s="8"/>
      <c r="M141" s="8"/>
      <c r="N141" s="8"/>
      <c r="O141" s="8"/>
      <c r="P141" s="8"/>
      <c r="Q141" s="8"/>
      <c r="R141" s="8"/>
      <c r="S141" s="8"/>
      <c r="T141" s="12"/>
      <c r="U141" s="2"/>
    </row>
    <row r="142" spans="1:21" x14ac:dyDescent="0.25">
      <c r="A142" s="2"/>
      <c r="B142" s="11"/>
      <c r="C142" s="8"/>
      <c r="D142" s="8"/>
      <c r="E142" s="8"/>
      <c r="F142" s="8"/>
      <c r="G142" s="8"/>
      <c r="H142" s="8"/>
      <c r="I142" s="8"/>
      <c r="J142" s="8"/>
      <c r="K142" s="8"/>
      <c r="L142" s="8"/>
      <c r="M142" s="8"/>
      <c r="N142" s="8"/>
      <c r="O142" s="8"/>
      <c r="P142" s="8"/>
      <c r="Q142" s="8"/>
      <c r="R142" s="8"/>
      <c r="S142" s="8"/>
      <c r="T142" s="12"/>
      <c r="U142" s="2"/>
    </row>
    <row r="143" spans="1:21" x14ac:dyDescent="0.25">
      <c r="A143" s="2"/>
      <c r="B143" s="11"/>
      <c r="C143" s="8"/>
      <c r="D143" s="8"/>
      <c r="E143" s="8"/>
      <c r="F143" s="8"/>
      <c r="G143" s="8"/>
      <c r="H143" s="8"/>
      <c r="I143" s="8"/>
      <c r="J143" s="8"/>
      <c r="K143" s="8"/>
      <c r="L143" s="8"/>
      <c r="M143" s="8"/>
      <c r="N143" s="8"/>
      <c r="O143" s="8"/>
      <c r="P143" s="8"/>
      <c r="Q143" s="8"/>
      <c r="R143" s="8"/>
      <c r="S143" s="8"/>
      <c r="T143" s="12"/>
      <c r="U143" s="2"/>
    </row>
    <row r="144" spans="1:21" x14ac:dyDescent="0.25">
      <c r="A144" s="2"/>
      <c r="B144" s="11"/>
      <c r="C144" s="8"/>
      <c r="D144" s="8"/>
      <c r="E144" s="8"/>
      <c r="F144" s="8"/>
      <c r="G144" s="8"/>
      <c r="H144" s="8"/>
      <c r="I144" s="8"/>
      <c r="J144" s="8"/>
      <c r="K144" s="8"/>
      <c r="L144" s="8"/>
      <c r="M144" s="8"/>
      <c r="N144" s="8"/>
      <c r="O144" s="8"/>
      <c r="P144" s="8"/>
      <c r="Q144" s="8"/>
      <c r="R144" s="8"/>
      <c r="S144" s="8"/>
      <c r="T144" s="12"/>
      <c r="U144" s="2"/>
    </row>
    <row r="145" spans="1:21" ht="16.5" thickBot="1" x14ac:dyDescent="0.3">
      <c r="A145" s="2"/>
      <c r="B145" s="11"/>
      <c r="C145" s="56"/>
      <c r="D145" s="8"/>
      <c r="E145" s="8"/>
      <c r="F145" s="8"/>
      <c r="G145" s="8"/>
      <c r="H145" s="8"/>
      <c r="I145" s="8"/>
      <c r="J145" s="8"/>
      <c r="K145" s="8"/>
      <c r="L145" s="8"/>
      <c r="M145" s="8"/>
      <c r="N145" s="8"/>
      <c r="O145" s="8"/>
      <c r="P145" s="8"/>
      <c r="Q145" s="8"/>
      <c r="R145" s="8"/>
      <c r="S145" s="8"/>
      <c r="T145" s="12"/>
      <c r="U145" s="2"/>
    </row>
    <row r="146" spans="1:21" x14ac:dyDescent="0.25">
      <c r="A146" s="2"/>
      <c r="B146" s="129" t="s">
        <v>399</v>
      </c>
      <c r="C146" s="179"/>
      <c r="D146" s="179"/>
      <c r="E146" s="179"/>
      <c r="F146" s="179"/>
      <c r="G146" s="179"/>
      <c r="H146" s="179"/>
      <c r="I146" s="179"/>
      <c r="J146" s="179"/>
      <c r="K146" s="179"/>
      <c r="L146" s="179"/>
      <c r="M146" s="179"/>
      <c r="N146" s="179"/>
      <c r="O146" s="179"/>
      <c r="P146" s="179"/>
      <c r="Q146" s="179"/>
      <c r="R146" s="179"/>
      <c r="S146" s="179"/>
      <c r="T146" s="180"/>
      <c r="U146" s="2"/>
    </row>
    <row r="147" spans="1:21" x14ac:dyDescent="0.25">
      <c r="A147" s="2"/>
      <c r="B147" s="181"/>
      <c r="C147" s="182"/>
      <c r="D147" s="182"/>
      <c r="E147" s="182"/>
      <c r="F147" s="182"/>
      <c r="G147" s="182"/>
      <c r="H147" s="182"/>
      <c r="I147" s="182"/>
      <c r="J147" s="182"/>
      <c r="K147" s="182"/>
      <c r="L147" s="182"/>
      <c r="M147" s="182"/>
      <c r="N147" s="182"/>
      <c r="O147" s="182"/>
      <c r="P147" s="182"/>
      <c r="Q147" s="182"/>
      <c r="R147" s="182"/>
      <c r="S147" s="182"/>
      <c r="T147" s="183"/>
      <c r="U147" s="2"/>
    </row>
    <row r="148" spans="1:21" ht="15.75" thickBot="1" x14ac:dyDescent="0.3">
      <c r="A148" s="2"/>
      <c r="B148" s="184"/>
      <c r="C148" s="185"/>
      <c r="D148" s="185"/>
      <c r="E148" s="185"/>
      <c r="F148" s="185"/>
      <c r="G148" s="185"/>
      <c r="H148" s="185"/>
      <c r="I148" s="185"/>
      <c r="J148" s="185"/>
      <c r="K148" s="185"/>
      <c r="L148" s="185"/>
      <c r="M148" s="185"/>
      <c r="N148" s="185"/>
      <c r="O148" s="185"/>
      <c r="P148" s="185"/>
      <c r="Q148" s="185"/>
      <c r="R148" s="185"/>
      <c r="S148" s="185"/>
      <c r="T148" s="186"/>
      <c r="U148" s="2"/>
    </row>
    <row r="149" spans="1:21" ht="15" customHeight="1" thickTop="1" x14ac:dyDescent="0.25">
      <c r="A149" s="2"/>
      <c r="B149" s="11"/>
      <c r="C149" s="8"/>
      <c r="D149" s="8"/>
      <c r="E149" s="8"/>
      <c r="F149" s="8"/>
      <c r="G149" s="8"/>
      <c r="H149" s="8"/>
      <c r="I149" s="8"/>
      <c r="J149" s="8"/>
      <c r="K149" s="8"/>
      <c r="L149" s="8"/>
      <c r="M149" s="8"/>
      <c r="N149" s="8"/>
      <c r="O149" s="8"/>
      <c r="P149" s="8"/>
      <c r="Q149" s="8"/>
      <c r="R149" s="8"/>
      <c r="S149" s="8"/>
      <c r="T149" s="12"/>
      <c r="U149" s="2"/>
    </row>
    <row r="150" spans="1:21" ht="15" customHeight="1" x14ac:dyDescent="0.25">
      <c r="A150" s="2"/>
      <c r="B150" s="11"/>
      <c r="C150" s="8"/>
      <c r="D150" s="8"/>
      <c r="E150" s="8"/>
      <c r="F150" s="8"/>
      <c r="G150" s="8"/>
      <c r="H150" s="8"/>
      <c r="I150" s="8"/>
      <c r="J150" s="8"/>
      <c r="K150" s="8"/>
      <c r="L150" s="8"/>
      <c r="M150" s="8"/>
      <c r="N150" s="8"/>
      <c r="O150" s="8"/>
      <c r="P150" s="8"/>
      <c r="Q150" s="8"/>
      <c r="R150" s="8"/>
      <c r="S150" s="8"/>
      <c r="T150" s="12"/>
      <c r="U150" s="2"/>
    </row>
    <row r="151" spans="1:21" x14ac:dyDescent="0.25">
      <c r="A151" s="2"/>
      <c r="B151" s="11"/>
      <c r="C151" s="52" t="s">
        <v>274</v>
      </c>
      <c r="D151" s="8"/>
      <c r="E151" s="8"/>
      <c r="F151" s="8"/>
      <c r="G151" s="8"/>
      <c r="H151" s="8"/>
      <c r="I151" s="8"/>
      <c r="J151" s="8"/>
      <c r="K151" s="8"/>
      <c r="L151" s="8"/>
      <c r="M151" s="8"/>
      <c r="N151" s="8"/>
      <c r="O151" s="8"/>
      <c r="P151" s="8"/>
      <c r="Q151" s="8"/>
      <c r="R151" s="8"/>
      <c r="S151" s="8"/>
      <c r="T151" s="12"/>
      <c r="U151" s="2"/>
    </row>
    <row r="152" spans="1:21" x14ac:dyDescent="0.25">
      <c r="A152" s="2"/>
      <c r="B152" s="11"/>
      <c r="C152" s="52"/>
      <c r="D152" s="8"/>
      <c r="E152" s="8"/>
      <c r="F152" s="8"/>
      <c r="G152" s="8"/>
      <c r="H152" s="8"/>
      <c r="I152" s="8"/>
      <c r="J152" s="8"/>
      <c r="K152" s="8"/>
      <c r="L152" s="8"/>
      <c r="M152" s="8"/>
      <c r="N152" s="8"/>
      <c r="O152" s="8"/>
      <c r="P152" s="8"/>
      <c r="Q152" s="8"/>
      <c r="R152" s="8"/>
      <c r="S152" s="8"/>
      <c r="T152" s="12"/>
      <c r="U152" s="2"/>
    </row>
    <row r="153" spans="1:21" ht="15.75" x14ac:dyDescent="0.25">
      <c r="A153" s="2"/>
      <c r="B153" s="11"/>
      <c r="C153" s="56" t="str">
        <f>IF(AND(D40="No"),"The Following Data Points are Required.",IF(AND(D40="Yes"),"The Following Data Points are Not Required."))</f>
        <v>The Following Data Points are Not Required.</v>
      </c>
      <c r="D153" s="8"/>
      <c r="E153" s="8"/>
      <c r="F153" s="8"/>
      <c r="G153" s="8"/>
      <c r="H153" s="8"/>
      <c r="I153" s="8"/>
      <c r="J153" s="8"/>
      <c r="K153" s="8"/>
      <c r="L153" s="8"/>
      <c r="M153" s="8"/>
      <c r="N153" s="8"/>
      <c r="O153" s="8"/>
      <c r="P153" s="8"/>
      <c r="Q153" s="8"/>
      <c r="R153" s="8"/>
      <c r="S153" s="8"/>
      <c r="T153" s="12"/>
      <c r="U153" s="2"/>
    </row>
    <row r="154" spans="1:21" ht="15.75" thickBot="1" x14ac:dyDescent="0.3">
      <c r="A154" s="2"/>
      <c r="B154" s="11"/>
      <c r="C154" s="8"/>
      <c r="D154" s="8"/>
      <c r="E154" s="8"/>
      <c r="F154" s="8"/>
      <c r="G154" s="8"/>
      <c r="H154" s="8"/>
      <c r="I154" s="8"/>
      <c r="J154" s="8"/>
      <c r="K154" s="8"/>
      <c r="L154" s="8"/>
      <c r="M154" s="8"/>
      <c r="N154" s="8"/>
      <c r="O154" s="8"/>
      <c r="P154" s="8"/>
      <c r="Q154" s="8"/>
      <c r="R154" s="8"/>
      <c r="S154" s="8"/>
      <c r="T154" s="12"/>
      <c r="U154" s="2"/>
    </row>
    <row r="155" spans="1:21" ht="19.5" thickTop="1" thickBot="1" x14ac:dyDescent="0.4">
      <c r="A155" s="2"/>
      <c r="B155" s="11"/>
      <c r="C155" s="8"/>
      <c r="D155" s="31" t="s">
        <v>177</v>
      </c>
      <c r="E155" s="31">
        <f>IF(AND(D40="No"),E157*E159+'LE from Fuel Consumption'!F20,IF(AND(D40="Yes"),0))</f>
        <v>0</v>
      </c>
      <c r="F155" s="8" t="s">
        <v>184</v>
      </c>
      <c r="G155" s="8"/>
      <c r="H155" s="8"/>
      <c r="I155" s="8"/>
      <c r="J155" s="8"/>
      <c r="K155" s="8"/>
      <c r="L155" s="8"/>
      <c r="M155" s="8"/>
      <c r="N155" s="8"/>
      <c r="O155" s="8"/>
      <c r="P155" s="8"/>
      <c r="Q155" s="8"/>
      <c r="R155" s="8"/>
      <c r="S155" s="8"/>
      <c r="T155" s="12"/>
      <c r="U155" s="2"/>
    </row>
    <row r="156" spans="1:21" ht="15.75" thickTop="1" x14ac:dyDescent="0.25">
      <c r="A156" s="2"/>
      <c r="B156" s="11"/>
      <c r="C156" s="8"/>
      <c r="D156" s="8"/>
      <c r="E156" s="8"/>
      <c r="F156" s="8"/>
      <c r="G156" s="8"/>
      <c r="H156" s="8"/>
      <c r="I156" s="8"/>
      <c r="J156" s="8"/>
      <c r="K156" s="8"/>
      <c r="L156" s="8"/>
      <c r="M156" s="8"/>
      <c r="N156" s="8"/>
      <c r="O156" s="8"/>
      <c r="P156" s="8"/>
      <c r="Q156" s="8"/>
      <c r="R156" s="8"/>
      <c r="S156" s="8"/>
      <c r="T156" s="12"/>
      <c r="U156" s="2"/>
    </row>
    <row r="157" spans="1:21" ht="18" x14ac:dyDescent="0.35">
      <c r="A157" s="2"/>
      <c r="B157" s="11"/>
      <c r="C157" s="8"/>
      <c r="D157" s="21" t="s">
        <v>213</v>
      </c>
      <c r="E157" s="94">
        <v>0</v>
      </c>
      <c r="F157" s="8" t="s">
        <v>215</v>
      </c>
      <c r="G157" s="8"/>
      <c r="H157" s="8"/>
      <c r="I157" s="8"/>
      <c r="J157" s="8"/>
      <c r="K157" s="8"/>
      <c r="L157" s="8"/>
      <c r="M157" s="8"/>
      <c r="N157" s="8"/>
      <c r="O157" s="8"/>
      <c r="P157" s="8"/>
      <c r="Q157" s="8"/>
      <c r="R157" s="8"/>
      <c r="S157" s="8"/>
      <c r="T157" s="12"/>
      <c r="U157" s="2"/>
    </row>
    <row r="158" spans="1:21" x14ac:dyDescent="0.25">
      <c r="A158" s="2"/>
      <c r="B158" s="11"/>
      <c r="C158" s="8"/>
      <c r="D158" s="8"/>
      <c r="E158" s="8"/>
      <c r="F158" s="8"/>
      <c r="G158" s="8"/>
      <c r="H158" s="8"/>
      <c r="I158" s="8"/>
      <c r="J158" s="8"/>
      <c r="K158" s="8"/>
      <c r="L158" s="8"/>
      <c r="M158" s="8"/>
      <c r="N158" s="8"/>
      <c r="O158" s="8"/>
      <c r="P158" s="8"/>
      <c r="Q158" s="8"/>
      <c r="R158" s="8"/>
      <c r="S158" s="8"/>
      <c r="T158" s="12"/>
      <c r="U158" s="2"/>
    </row>
    <row r="159" spans="1:21" ht="18" x14ac:dyDescent="0.35">
      <c r="A159" s="2"/>
      <c r="B159" s="11"/>
      <c r="C159" s="8"/>
      <c r="D159" s="21" t="s">
        <v>146</v>
      </c>
      <c r="E159" s="94">
        <v>0</v>
      </c>
      <c r="F159" s="8" t="s">
        <v>198</v>
      </c>
      <c r="G159" s="8"/>
      <c r="H159" s="8"/>
      <c r="I159" s="8"/>
      <c r="J159" s="8"/>
      <c r="K159" s="8"/>
      <c r="L159" s="8"/>
      <c r="M159" s="8"/>
      <c r="N159" s="8"/>
      <c r="O159" s="8"/>
      <c r="P159" s="8"/>
      <c r="Q159" s="8"/>
      <c r="R159" s="8"/>
      <c r="S159" s="8"/>
      <c r="T159" s="12"/>
      <c r="U159" s="2"/>
    </row>
    <row r="160" spans="1:21" x14ac:dyDescent="0.25">
      <c r="A160" s="2"/>
      <c r="B160" s="11"/>
      <c r="C160" s="8"/>
      <c r="D160" s="8"/>
      <c r="E160" s="8"/>
      <c r="F160" s="8"/>
      <c r="G160" s="8"/>
      <c r="H160" s="8"/>
      <c r="I160" s="8"/>
      <c r="J160" s="8"/>
      <c r="K160" s="8"/>
      <c r="L160" s="8"/>
      <c r="M160" s="8"/>
      <c r="N160" s="8"/>
      <c r="O160" s="8"/>
      <c r="P160" s="8"/>
      <c r="Q160" s="8"/>
      <c r="R160" s="8"/>
      <c r="S160" s="8"/>
      <c r="T160" s="12"/>
      <c r="U160" s="2"/>
    </row>
    <row r="161" spans="1:21" x14ac:dyDescent="0.25">
      <c r="A161" s="2"/>
      <c r="B161" s="11"/>
      <c r="C161" s="8"/>
      <c r="D161" s="43" t="s">
        <v>104</v>
      </c>
      <c r="E161" s="8" t="s">
        <v>390</v>
      </c>
      <c r="F161" s="8"/>
      <c r="G161" s="8"/>
      <c r="H161" s="8"/>
      <c r="I161" s="8"/>
      <c r="J161" s="8"/>
      <c r="K161" s="8"/>
      <c r="L161" s="8"/>
      <c r="M161" s="8"/>
      <c r="N161" s="8"/>
      <c r="O161" s="8"/>
      <c r="P161" s="8"/>
      <c r="Q161" s="8"/>
      <c r="R161" s="8"/>
      <c r="S161" s="8"/>
      <c r="T161" s="12"/>
      <c r="U161" s="2"/>
    </row>
    <row r="162" spans="1:21" x14ac:dyDescent="0.25">
      <c r="A162" s="2"/>
      <c r="B162" s="11"/>
      <c r="C162" s="8"/>
      <c r="D162" s="8"/>
      <c r="E162" s="8"/>
      <c r="F162" s="8"/>
      <c r="G162" s="8"/>
      <c r="H162" s="8"/>
      <c r="I162" s="8"/>
      <c r="J162" s="8"/>
      <c r="K162" s="8"/>
      <c r="L162" s="8"/>
      <c r="M162" s="8"/>
      <c r="N162" s="8"/>
      <c r="O162" s="8"/>
      <c r="P162" s="8"/>
      <c r="Q162" s="8"/>
      <c r="R162" s="8"/>
      <c r="S162" s="8"/>
      <c r="T162" s="12"/>
      <c r="U162" s="2"/>
    </row>
    <row r="163" spans="1:21" x14ac:dyDescent="0.25">
      <c r="A163" s="2"/>
      <c r="B163" s="11"/>
      <c r="C163" s="8"/>
      <c r="D163" s="152" t="s">
        <v>394</v>
      </c>
      <c r="E163" s="153"/>
      <c r="F163" s="8" t="s">
        <v>395</v>
      </c>
      <c r="G163" s="8"/>
      <c r="H163" s="8"/>
      <c r="I163" s="8"/>
      <c r="J163" s="8"/>
      <c r="K163" s="8"/>
      <c r="L163" s="8"/>
      <c r="M163" s="8"/>
      <c r="N163" s="8"/>
      <c r="O163" s="8"/>
      <c r="P163" s="8"/>
      <c r="Q163" s="8"/>
      <c r="R163" s="8"/>
      <c r="S163" s="8"/>
      <c r="T163" s="12"/>
      <c r="U163" s="2"/>
    </row>
    <row r="164" spans="1:21" x14ac:dyDescent="0.25">
      <c r="A164" s="2"/>
      <c r="B164" s="11"/>
      <c r="C164" s="8"/>
      <c r="D164" s="8"/>
      <c r="E164" s="8"/>
      <c r="F164" s="8"/>
      <c r="G164" s="8"/>
      <c r="H164" s="8"/>
      <c r="I164" s="8"/>
      <c r="J164" s="8"/>
      <c r="K164" s="8"/>
      <c r="L164" s="8"/>
      <c r="M164" s="8"/>
      <c r="N164" s="8"/>
      <c r="O164" s="8"/>
      <c r="P164" s="8"/>
      <c r="Q164" s="8"/>
      <c r="R164" s="8"/>
      <c r="S164" s="8"/>
      <c r="T164" s="12"/>
      <c r="U164" s="2"/>
    </row>
    <row r="165" spans="1:21" ht="18" x14ac:dyDescent="0.35">
      <c r="A165" s="2"/>
      <c r="B165" s="11"/>
      <c r="C165" s="8"/>
      <c r="D165" s="152" t="s">
        <v>214</v>
      </c>
      <c r="E165" s="153"/>
      <c r="F165" s="8" t="s">
        <v>216</v>
      </c>
      <c r="G165" s="8"/>
      <c r="H165" s="8"/>
      <c r="I165" s="8"/>
      <c r="J165" s="8"/>
      <c r="K165" s="8"/>
      <c r="L165" s="8"/>
      <c r="M165" s="8"/>
      <c r="N165" s="8"/>
      <c r="O165" s="8"/>
      <c r="P165" s="8"/>
      <c r="Q165" s="8"/>
      <c r="R165" s="8"/>
      <c r="S165" s="8"/>
      <c r="T165" s="12"/>
      <c r="U165" s="2"/>
    </row>
    <row r="166" spans="1:21" x14ac:dyDescent="0.25">
      <c r="A166" s="2"/>
      <c r="B166" s="11"/>
      <c r="C166" s="8"/>
      <c r="D166" s="8"/>
      <c r="E166" s="8"/>
      <c r="F166" s="8"/>
      <c r="G166" s="8"/>
      <c r="H166" s="8"/>
      <c r="I166" s="8"/>
      <c r="J166" s="8"/>
      <c r="K166" s="8"/>
      <c r="L166" s="8"/>
      <c r="M166" s="8"/>
      <c r="N166" s="8"/>
      <c r="O166" s="8"/>
      <c r="P166" s="8"/>
      <c r="Q166" s="8"/>
      <c r="R166" s="8"/>
      <c r="S166" s="8"/>
      <c r="T166" s="12"/>
      <c r="U166" s="2"/>
    </row>
    <row r="167" spans="1:21" ht="18" x14ac:dyDescent="0.35">
      <c r="A167" s="2"/>
      <c r="B167" s="11"/>
      <c r="C167" s="8"/>
      <c r="D167" s="152" t="s">
        <v>139</v>
      </c>
      <c r="E167" s="153"/>
      <c r="F167" s="8" t="s">
        <v>140</v>
      </c>
      <c r="G167" s="8"/>
      <c r="H167" s="8"/>
      <c r="I167" s="8"/>
      <c r="J167" s="8"/>
      <c r="K167" s="8"/>
      <c r="L167" s="8"/>
      <c r="M167" s="8"/>
      <c r="N167" s="8"/>
      <c r="O167" s="8"/>
      <c r="P167" s="8"/>
      <c r="Q167" s="8"/>
      <c r="R167" s="8"/>
      <c r="S167" s="8"/>
      <c r="T167" s="12"/>
      <c r="U167" s="2"/>
    </row>
    <row r="168" spans="1:21" x14ac:dyDescent="0.25">
      <c r="A168" s="2"/>
      <c r="B168" s="11"/>
      <c r="C168" s="8"/>
      <c r="D168" s="8"/>
      <c r="E168" s="8"/>
      <c r="F168" s="8"/>
      <c r="G168" s="8"/>
      <c r="H168" s="8"/>
      <c r="I168" s="8"/>
      <c r="J168" s="8"/>
      <c r="K168" s="8"/>
      <c r="L168" s="8"/>
      <c r="M168" s="8"/>
      <c r="N168" s="8"/>
      <c r="O168" s="8"/>
      <c r="P168" s="8"/>
      <c r="Q168" s="8"/>
      <c r="R168" s="8"/>
      <c r="S168" s="8"/>
      <c r="T168" s="12"/>
      <c r="U168" s="2"/>
    </row>
    <row r="169" spans="1:21" ht="18" x14ac:dyDescent="0.35">
      <c r="A169" s="2"/>
      <c r="B169" s="11"/>
      <c r="C169" s="8"/>
      <c r="D169" s="152" t="s">
        <v>141</v>
      </c>
      <c r="E169" s="153"/>
      <c r="F169" s="8" t="s">
        <v>217</v>
      </c>
      <c r="G169" s="8"/>
      <c r="H169" s="8"/>
      <c r="I169" s="8"/>
      <c r="J169" s="8"/>
      <c r="K169" s="8"/>
      <c r="L169" s="8"/>
      <c r="M169" s="8"/>
      <c r="N169" s="8"/>
      <c r="O169" s="8"/>
      <c r="P169" s="8"/>
      <c r="Q169" s="8"/>
      <c r="R169" s="8"/>
      <c r="S169" s="8"/>
      <c r="T169" s="12"/>
      <c r="U169" s="2"/>
    </row>
    <row r="170" spans="1:21" x14ac:dyDescent="0.25">
      <c r="A170" s="2"/>
      <c r="B170" s="11"/>
      <c r="C170" s="8"/>
      <c r="D170" s="8"/>
      <c r="E170" s="8"/>
      <c r="F170" s="8"/>
      <c r="G170" s="8"/>
      <c r="H170" s="8"/>
      <c r="I170" s="8"/>
      <c r="J170" s="8"/>
      <c r="K170" s="8"/>
      <c r="L170" s="8"/>
      <c r="M170" s="8"/>
      <c r="N170" s="8"/>
      <c r="O170" s="8"/>
      <c r="P170" s="8"/>
      <c r="Q170" s="8"/>
      <c r="R170" s="8"/>
      <c r="S170" s="8"/>
      <c r="T170" s="12"/>
      <c r="U170" s="2"/>
    </row>
    <row r="171" spans="1:21" x14ac:dyDescent="0.25">
      <c r="A171" s="2"/>
      <c r="B171" s="11"/>
      <c r="C171" s="8"/>
      <c r="D171" s="8"/>
      <c r="E171" s="8"/>
      <c r="F171" s="8"/>
      <c r="G171" s="8"/>
      <c r="H171" s="8"/>
      <c r="I171" s="8"/>
      <c r="J171" s="8"/>
      <c r="K171" s="8"/>
      <c r="L171" s="8"/>
      <c r="M171" s="8"/>
      <c r="N171" s="8"/>
      <c r="O171" s="8"/>
      <c r="P171" s="8"/>
      <c r="Q171" s="8"/>
      <c r="R171" s="8"/>
      <c r="S171" s="8"/>
      <c r="T171" s="12"/>
      <c r="U171" s="2"/>
    </row>
    <row r="172" spans="1:21" x14ac:dyDescent="0.25">
      <c r="A172" s="2"/>
      <c r="B172" s="11"/>
      <c r="C172" s="8"/>
      <c r="D172" s="8"/>
      <c r="E172" s="8"/>
      <c r="F172" s="8"/>
      <c r="G172" s="8"/>
      <c r="H172" s="8"/>
      <c r="I172" s="8"/>
      <c r="J172" s="8"/>
      <c r="K172" s="8"/>
      <c r="L172" s="8"/>
      <c r="M172" s="8"/>
      <c r="N172" s="8"/>
      <c r="O172" s="8"/>
      <c r="P172" s="8"/>
      <c r="Q172" s="8"/>
      <c r="R172" s="8"/>
      <c r="S172" s="8"/>
      <c r="T172" s="12"/>
      <c r="U172" s="2"/>
    </row>
    <row r="173" spans="1:21" x14ac:dyDescent="0.25">
      <c r="A173" s="2"/>
      <c r="B173" s="11"/>
      <c r="C173" s="8"/>
      <c r="D173" s="8"/>
      <c r="E173" s="8"/>
      <c r="F173" s="8"/>
      <c r="G173" s="8"/>
      <c r="H173" s="8"/>
      <c r="I173" s="8"/>
      <c r="J173" s="8"/>
      <c r="K173" s="8"/>
      <c r="L173" s="8"/>
      <c r="M173" s="8"/>
      <c r="N173" s="8"/>
      <c r="O173" s="8"/>
      <c r="P173" s="8"/>
      <c r="Q173" s="8"/>
      <c r="R173" s="8"/>
      <c r="S173" s="8"/>
      <c r="T173" s="12"/>
      <c r="U173" s="2"/>
    </row>
    <row r="174" spans="1:21" x14ac:dyDescent="0.25">
      <c r="A174" s="2"/>
      <c r="B174" s="11"/>
      <c r="C174" s="8"/>
      <c r="D174" s="8"/>
      <c r="E174" s="8"/>
      <c r="F174" s="8"/>
      <c r="G174" s="8"/>
      <c r="H174" s="8"/>
      <c r="I174" s="8"/>
      <c r="J174" s="8"/>
      <c r="K174" s="8"/>
      <c r="L174" s="8"/>
      <c r="M174" s="8"/>
      <c r="N174" s="8"/>
      <c r="O174" s="8"/>
      <c r="P174" s="8"/>
      <c r="Q174" s="8"/>
      <c r="R174" s="8"/>
      <c r="S174" s="8"/>
      <c r="T174" s="12"/>
      <c r="U174" s="2"/>
    </row>
    <row r="175" spans="1:21" ht="16.5" thickBot="1" x14ac:dyDescent="0.3">
      <c r="A175" s="2"/>
      <c r="B175" s="11"/>
      <c r="C175" s="56"/>
      <c r="D175" s="8"/>
      <c r="E175" s="8"/>
      <c r="F175" s="8"/>
      <c r="G175" s="8"/>
      <c r="H175" s="8"/>
      <c r="I175" s="8"/>
      <c r="J175" s="8"/>
      <c r="K175" s="8"/>
      <c r="L175" s="8"/>
      <c r="M175" s="8"/>
      <c r="N175" s="8"/>
      <c r="O175" s="8"/>
      <c r="P175" s="8"/>
      <c r="Q175" s="8"/>
      <c r="R175" s="8"/>
      <c r="S175" s="8"/>
      <c r="T175" s="12"/>
      <c r="U175" s="2"/>
    </row>
    <row r="176" spans="1:21" x14ac:dyDescent="0.25">
      <c r="A176" s="2"/>
      <c r="B176" s="129" t="s">
        <v>400</v>
      </c>
      <c r="C176" s="179"/>
      <c r="D176" s="179"/>
      <c r="E176" s="179"/>
      <c r="F176" s="179"/>
      <c r="G176" s="179"/>
      <c r="H176" s="179"/>
      <c r="I176" s="179"/>
      <c r="J176" s="179"/>
      <c r="K176" s="179"/>
      <c r="L176" s="179"/>
      <c r="M176" s="179"/>
      <c r="N176" s="179"/>
      <c r="O176" s="179"/>
      <c r="P176" s="179"/>
      <c r="Q176" s="179"/>
      <c r="R176" s="179"/>
      <c r="S176" s="179"/>
      <c r="T176" s="180"/>
      <c r="U176" s="2"/>
    </row>
    <row r="177" spans="1:21" x14ac:dyDescent="0.25">
      <c r="A177" s="2"/>
      <c r="B177" s="181"/>
      <c r="C177" s="182"/>
      <c r="D177" s="182"/>
      <c r="E177" s="182"/>
      <c r="F177" s="182"/>
      <c r="G177" s="182"/>
      <c r="H177" s="182"/>
      <c r="I177" s="182"/>
      <c r="J177" s="182"/>
      <c r="K177" s="182"/>
      <c r="L177" s="182"/>
      <c r="M177" s="182"/>
      <c r="N177" s="182"/>
      <c r="O177" s="182"/>
      <c r="P177" s="182"/>
      <c r="Q177" s="182"/>
      <c r="R177" s="182"/>
      <c r="S177" s="182"/>
      <c r="T177" s="183"/>
      <c r="U177" s="2"/>
    </row>
    <row r="178" spans="1:21" ht="15.75" thickBot="1" x14ac:dyDescent="0.3">
      <c r="A178" s="2"/>
      <c r="B178" s="184"/>
      <c r="C178" s="185"/>
      <c r="D178" s="185"/>
      <c r="E178" s="185"/>
      <c r="F178" s="185"/>
      <c r="G178" s="185"/>
      <c r="H178" s="185"/>
      <c r="I178" s="185"/>
      <c r="J178" s="185"/>
      <c r="K178" s="185"/>
      <c r="L178" s="185"/>
      <c r="M178" s="185"/>
      <c r="N178" s="185"/>
      <c r="O178" s="185"/>
      <c r="P178" s="185"/>
      <c r="Q178" s="185"/>
      <c r="R178" s="185"/>
      <c r="S178" s="185"/>
      <c r="T178" s="186"/>
      <c r="U178" s="2"/>
    </row>
    <row r="179" spans="1:21" ht="15.75" thickTop="1" x14ac:dyDescent="0.25">
      <c r="A179" s="2"/>
      <c r="B179" s="11"/>
      <c r="C179" s="8"/>
      <c r="D179" s="8"/>
      <c r="E179" s="8"/>
      <c r="F179" s="8"/>
      <c r="G179" s="8"/>
      <c r="H179" s="8"/>
      <c r="I179" s="8"/>
      <c r="J179" s="8"/>
      <c r="K179" s="8"/>
      <c r="L179" s="8"/>
      <c r="M179" s="8"/>
      <c r="N179" s="8"/>
      <c r="O179" s="8"/>
      <c r="P179" s="8"/>
      <c r="Q179" s="8"/>
      <c r="R179" s="8"/>
      <c r="S179" s="8"/>
      <c r="T179" s="12"/>
      <c r="U179" s="2"/>
    </row>
    <row r="180" spans="1:21" x14ac:dyDescent="0.25">
      <c r="A180" s="2"/>
      <c r="B180" s="11"/>
      <c r="C180" s="8"/>
      <c r="D180" s="8"/>
      <c r="E180" s="8"/>
      <c r="F180" s="8"/>
      <c r="G180" s="8"/>
      <c r="H180" s="8"/>
      <c r="I180" s="8"/>
      <c r="J180" s="8"/>
      <c r="K180" s="8"/>
      <c r="L180" s="8"/>
      <c r="M180" s="8"/>
      <c r="N180" s="8"/>
      <c r="O180" s="8"/>
      <c r="P180" s="8"/>
      <c r="Q180" s="8"/>
      <c r="R180" s="8"/>
      <c r="S180" s="8"/>
      <c r="T180" s="12"/>
      <c r="U180" s="2"/>
    </row>
    <row r="181" spans="1:21" x14ac:dyDescent="0.25">
      <c r="A181" s="2"/>
      <c r="B181" s="11"/>
      <c r="C181" s="52" t="s">
        <v>282</v>
      </c>
      <c r="D181" s="8"/>
      <c r="E181" s="8"/>
      <c r="F181" s="8"/>
      <c r="G181" s="8"/>
      <c r="H181" s="8"/>
      <c r="I181" s="8"/>
      <c r="J181" s="8"/>
      <c r="K181" s="8"/>
      <c r="L181" s="8"/>
      <c r="M181" s="8"/>
      <c r="N181" s="8"/>
      <c r="O181" s="8"/>
      <c r="P181" s="8"/>
      <c r="Q181" s="8"/>
      <c r="R181" s="8"/>
      <c r="S181" s="8"/>
      <c r="T181" s="12"/>
      <c r="U181" s="2"/>
    </row>
    <row r="182" spans="1:21" x14ac:dyDescent="0.25">
      <c r="A182" s="2"/>
      <c r="B182" s="11"/>
      <c r="C182" s="55"/>
      <c r="D182" s="55"/>
      <c r="E182" s="55"/>
      <c r="F182" s="55"/>
      <c r="G182" s="55"/>
      <c r="H182" s="55"/>
      <c r="I182" s="55"/>
      <c r="J182" s="55"/>
      <c r="K182" s="55"/>
      <c r="L182" s="55"/>
      <c r="M182" s="55"/>
      <c r="N182" s="55"/>
      <c r="O182" s="55"/>
      <c r="P182" s="55"/>
      <c r="Q182" s="55"/>
      <c r="R182" s="55"/>
      <c r="S182" s="55"/>
      <c r="T182" s="12"/>
      <c r="U182" s="2"/>
    </row>
    <row r="183" spans="1:21" ht="15.75" x14ac:dyDescent="0.25">
      <c r="A183" s="2"/>
      <c r="B183" s="11"/>
      <c r="C183" s="56" t="str">
        <f>IF(AND(D35="No"),"The Following Data Points are Required.",IF(AND(D35="Yes"),"The Following Data Points are Not Required."))</f>
        <v>The Following Data Points are Required.</v>
      </c>
      <c r="D183" s="55"/>
      <c r="E183" s="55"/>
      <c r="F183" s="55"/>
      <c r="G183" s="55"/>
      <c r="H183" s="55"/>
      <c r="I183" s="55"/>
      <c r="J183" s="55"/>
      <c r="K183" s="55"/>
      <c r="L183" s="55"/>
      <c r="M183" s="55"/>
      <c r="N183" s="55"/>
      <c r="O183" s="55"/>
      <c r="P183" s="55"/>
      <c r="Q183" s="55"/>
      <c r="R183" s="55"/>
      <c r="S183" s="55"/>
      <c r="T183" s="12"/>
      <c r="U183" s="2"/>
    </row>
    <row r="184" spans="1:21" ht="15.75" thickBot="1" x14ac:dyDescent="0.3">
      <c r="A184" s="2"/>
      <c r="B184" s="11"/>
      <c r="C184" s="55"/>
      <c r="D184" s="55"/>
      <c r="E184" s="55"/>
      <c r="F184" s="55"/>
      <c r="G184" s="55"/>
      <c r="H184" s="55"/>
      <c r="I184" s="55"/>
      <c r="J184" s="55"/>
      <c r="K184" s="55"/>
      <c r="L184" s="55"/>
      <c r="M184" s="55"/>
      <c r="N184" s="55"/>
      <c r="O184" s="55"/>
      <c r="P184" s="55"/>
      <c r="Q184" s="55"/>
      <c r="R184" s="55"/>
      <c r="S184" s="55"/>
      <c r="T184" s="12"/>
      <c r="U184" s="2"/>
    </row>
    <row r="185" spans="1:21" ht="19.5" thickTop="1" thickBot="1" x14ac:dyDescent="0.4">
      <c r="A185" s="2"/>
      <c r="B185" s="11"/>
      <c r="C185" s="8"/>
      <c r="D185" s="31" t="s">
        <v>178</v>
      </c>
      <c r="E185" s="31">
        <f>IF(AND(D35="No"),'Leakage Category E'!F17,IF(AND(D35="Yes"),0))</f>
        <v>2.0409479999999998</v>
      </c>
      <c r="F185" s="8" t="s">
        <v>185</v>
      </c>
      <c r="G185" s="8"/>
      <c r="H185" s="8"/>
      <c r="I185" s="8"/>
      <c r="J185" s="8"/>
      <c r="K185" s="8"/>
      <c r="L185" s="8"/>
      <c r="M185" s="8"/>
      <c r="N185" s="8"/>
      <c r="O185" s="8"/>
      <c r="P185" s="8"/>
      <c r="Q185" s="8"/>
      <c r="R185" s="8"/>
      <c r="S185" s="8"/>
      <c r="T185" s="12"/>
      <c r="U185" s="2"/>
    </row>
    <row r="186" spans="1:21" ht="15.75" thickTop="1" x14ac:dyDescent="0.25">
      <c r="A186" s="2"/>
      <c r="B186" s="11"/>
      <c r="C186" s="8"/>
      <c r="D186" s="8"/>
      <c r="E186" s="8"/>
      <c r="F186" s="8"/>
      <c r="G186" s="8"/>
      <c r="H186" s="8"/>
      <c r="I186" s="8"/>
      <c r="J186" s="8"/>
      <c r="K186" s="8"/>
      <c r="L186" s="8"/>
      <c r="M186" s="8"/>
      <c r="N186" s="8"/>
      <c r="O186" s="8"/>
      <c r="P186" s="8"/>
      <c r="Q186" s="8"/>
      <c r="R186" s="8"/>
      <c r="S186" s="8"/>
      <c r="T186" s="12"/>
      <c r="U186" s="2"/>
    </row>
    <row r="187" spans="1:21" x14ac:dyDescent="0.25">
      <c r="A187" s="2"/>
      <c r="B187" s="11"/>
      <c r="C187" s="8"/>
      <c r="D187" s="43" t="s">
        <v>104</v>
      </c>
      <c r="E187" s="8" t="s">
        <v>390</v>
      </c>
      <c r="F187" s="8"/>
      <c r="G187" s="8"/>
      <c r="H187" s="8"/>
      <c r="I187" s="8"/>
      <c r="J187" s="8"/>
      <c r="K187" s="8"/>
      <c r="L187" s="8"/>
      <c r="M187" s="8"/>
      <c r="N187" s="8"/>
      <c r="O187" s="8"/>
      <c r="P187" s="8"/>
      <c r="Q187" s="8"/>
      <c r="R187" s="8"/>
      <c r="S187" s="8"/>
      <c r="T187" s="12"/>
      <c r="U187" s="2"/>
    </row>
    <row r="188" spans="1:21" x14ac:dyDescent="0.25">
      <c r="A188" s="2"/>
      <c r="B188" s="11"/>
      <c r="C188" s="8"/>
      <c r="D188" s="8"/>
      <c r="E188" s="8"/>
      <c r="F188" s="8"/>
      <c r="G188" s="8"/>
      <c r="H188" s="8"/>
      <c r="I188" s="8"/>
      <c r="J188" s="8"/>
      <c r="K188" s="8"/>
      <c r="L188" s="8"/>
      <c r="M188" s="8"/>
      <c r="N188" s="8"/>
      <c r="O188" s="8"/>
      <c r="P188" s="8"/>
      <c r="Q188" s="8"/>
      <c r="R188" s="8"/>
      <c r="S188" s="8"/>
      <c r="T188" s="12"/>
      <c r="U188" s="2"/>
    </row>
    <row r="189" spans="1:21" ht="15" customHeight="1" x14ac:dyDescent="0.35">
      <c r="A189" s="2"/>
      <c r="B189" s="11"/>
      <c r="C189" s="8"/>
      <c r="D189" s="152" t="s">
        <v>218</v>
      </c>
      <c r="E189" s="153"/>
      <c r="F189" s="8" t="s">
        <v>221</v>
      </c>
      <c r="G189" s="8"/>
      <c r="H189" s="8"/>
      <c r="I189" s="8"/>
      <c r="J189" s="8"/>
      <c r="K189" s="8"/>
      <c r="L189" s="8"/>
      <c r="M189" s="8"/>
      <c r="N189" s="8"/>
      <c r="O189" s="8"/>
      <c r="P189" s="8"/>
      <c r="Q189" s="8"/>
      <c r="R189" s="8"/>
      <c r="S189" s="8"/>
      <c r="T189" s="12"/>
      <c r="U189" s="2"/>
    </row>
    <row r="190" spans="1:21" x14ac:dyDescent="0.25">
      <c r="A190" s="2"/>
      <c r="B190" s="11"/>
      <c r="C190" s="8"/>
      <c r="D190" s="8"/>
      <c r="E190" s="8"/>
      <c r="F190" s="8"/>
      <c r="G190" s="8"/>
      <c r="H190" s="8"/>
      <c r="I190" s="8"/>
      <c r="J190" s="8"/>
      <c r="K190" s="8"/>
      <c r="L190" s="8"/>
      <c r="M190" s="8"/>
      <c r="N190" s="8"/>
      <c r="O190" s="8"/>
      <c r="P190" s="8"/>
      <c r="Q190" s="8"/>
      <c r="R190" s="8"/>
      <c r="S190" s="8"/>
      <c r="T190" s="12"/>
      <c r="U190" s="2"/>
    </row>
    <row r="191" spans="1:21" ht="18" x14ac:dyDescent="0.35">
      <c r="A191" s="2"/>
      <c r="B191" s="11"/>
      <c r="C191" s="8"/>
      <c r="D191" s="152" t="s">
        <v>219</v>
      </c>
      <c r="E191" s="153"/>
      <c r="F191" s="8" t="s">
        <v>222</v>
      </c>
      <c r="G191" s="8"/>
      <c r="H191" s="8"/>
      <c r="I191" s="8"/>
      <c r="J191" s="8"/>
      <c r="K191" s="8"/>
      <c r="L191" s="8"/>
      <c r="M191" s="8"/>
      <c r="N191" s="8"/>
      <c r="O191" s="8"/>
      <c r="P191" s="8"/>
      <c r="Q191" s="8"/>
      <c r="R191" s="8"/>
      <c r="S191" s="8"/>
      <c r="T191" s="12"/>
      <c r="U191" s="2"/>
    </row>
    <row r="192" spans="1:21" x14ac:dyDescent="0.25">
      <c r="A192" s="2"/>
      <c r="B192" s="11"/>
      <c r="C192" s="8"/>
      <c r="D192" s="8"/>
      <c r="E192" s="8"/>
      <c r="F192" s="8"/>
      <c r="G192" s="8"/>
      <c r="H192" s="8"/>
      <c r="I192" s="8"/>
      <c r="J192" s="8"/>
      <c r="K192" s="8"/>
      <c r="L192" s="8"/>
      <c r="M192" s="8"/>
      <c r="N192" s="8"/>
      <c r="O192" s="8"/>
      <c r="P192" s="8"/>
      <c r="Q192" s="8"/>
      <c r="R192" s="8"/>
      <c r="S192" s="8"/>
      <c r="T192" s="12"/>
      <c r="U192" s="2"/>
    </row>
    <row r="193" spans="1:21" ht="18" x14ac:dyDescent="0.35">
      <c r="A193" s="2"/>
      <c r="B193" s="11"/>
      <c r="C193" s="8"/>
      <c r="D193" s="152" t="s">
        <v>220</v>
      </c>
      <c r="E193" s="153"/>
      <c r="F193" s="8" t="s">
        <v>223</v>
      </c>
      <c r="G193" s="8"/>
      <c r="H193" s="8"/>
      <c r="I193" s="8"/>
      <c r="J193" s="8"/>
      <c r="K193" s="8"/>
      <c r="L193" s="8"/>
      <c r="M193" s="8"/>
      <c r="N193" s="8"/>
      <c r="O193" s="8"/>
      <c r="P193" s="8"/>
      <c r="Q193" s="8"/>
      <c r="R193" s="8"/>
      <c r="S193" s="8"/>
      <c r="T193" s="12"/>
      <c r="U193" s="2"/>
    </row>
    <row r="194" spans="1:21" x14ac:dyDescent="0.25">
      <c r="A194" s="2"/>
      <c r="B194" s="11"/>
      <c r="C194" s="8"/>
      <c r="D194" s="8"/>
      <c r="E194" s="8"/>
      <c r="F194" s="8"/>
      <c r="G194" s="8"/>
      <c r="H194" s="8"/>
      <c r="I194" s="8"/>
      <c r="J194" s="8"/>
      <c r="K194" s="8"/>
      <c r="L194" s="8"/>
      <c r="M194" s="8"/>
      <c r="N194" s="8"/>
      <c r="O194" s="8"/>
      <c r="P194" s="8"/>
      <c r="Q194" s="8"/>
      <c r="R194" s="8"/>
      <c r="S194" s="8"/>
      <c r="T194" s="12"/>
      <c r="U194" s="2"/>
    </row>
    <row r="195" spans="1:21" x14ac:dyDescent="0.25">
      <c r="A195" s="2"/>
      <c r="B195" s="11"/>
      <c r="C195" s="8"/>
      <c r="D195" s="152" t="s">
        <v>267</v>
      </c>
      <c r="E195" s="153"/>
      <c r="F195" s="8" t="s">
        <v>230</v>
      </c>
      <c r="G195" s="8"/>
      <c r="H195" s="8"/>
      <c r="I195" s="8"/>
      <c r="J195" s="8"/>
      <c r="K195" s="8"/>
      <c r="L195" s="8"/>
      <c r="M195" s="8"/>
      <c r="N195" s="8"/>
      <c r="O195" s="8"/>
      <c r="P195" s="8"/>
      <c r="Q195" s="8"/>
      <c r="R195" s="8"/>
      <c r="S195" s="8"/>
      <c r="T195" s="12"/>
      <c r="U195" s="2"/>
    </row>
    <row r="196" spans="1:21" x14ac:dyDescent="0.25">
      <c r="A196" s="2"/>
      <c r="B196" s="11"/>
      <c r="C196" s="8"/>
      <c r="D196" s="8"/>
      <c r="E196" s="8"/>
      <c r="F196" s="8"/>
      <c r="G196" s="8"/>
      <c r="H196" s="8"/>
      <c r="I196" s="8"/>
      <c r="J196" s="8"/>
      <c r="K196" s="8"/>
      <c r="L196" s="8"/>
      <c r="M196" s="8"/>
      <c r="N196" s="8"/>
      <c r="O196" s="8"/>
      <c r="P196" s="8"/>
      <c r="Q196" s="8"/>
      <c r="R196" s="8"/>
      <c r="S196" s="8"/>
      <c r="T196" s="12"/>
      <c r="U196" s="2"/>
    </row>
    <row r="197" spans="1:21" x14ac:dyDescent="0.25">
      <c r="A197" s="2"/>
      <c r="B197" s="11"/>
      <c r="C197" s="8"/>
      <c r="D197" s="8"/>
      <c r="E197" s="8"/>
      <c r="F197" s="8"/>
      <c r="G197" s="8"/>
      <c r="H197" s="8"/>
      <c r="I197" s="8"/>
      <c r="J197" s="8"/>
      <c r="K197" s="8"/>
      <c r="L197" s="8"/>
      <c r="M197" s="8"/>
      <c r="N197" s="8"/>
      <c r="O197" s="8"/>
      <c r="P197" s="8"/>
      <c r="Q197" s="8"/>
      <c r="R197" s="8"/>
      <c r="S197" s="8"/>
      <c r="T197" s="12"/>
      <c r="U197" s="2"/>
    </row>
    <row r="198" spans="1:21" x14ac:dyDescent="0.25">
      <c r="A198" s="2"/>
      <c r="B198" s="11"/>
      <c r="C198" s="8"/>
      <c r="D198" s="8"/>
      <c r="E198" s="8"/>
      <c r="F198" s="8"/>
      <c r="G198" s="8"/>
      <c r="H198" s="8"/>
      <c r="I198" s="8"/>
      <c r="J198" s="8"/>
      <c r="K198" s="8"/>
      <c r="L198" s="8"/>
      <c r="M198" s="8"/>
      <c r="N198" s="8"/>
      <c r="O198" s="8"/>
      <c r="P198" s="8"/>
      <c r="Q198" s="8"/>
      <c r="R198" s="8"/>
      <c r="S198" s="8"/>
      <c r="T198" s="12"/>
      <c r="U198" s="2"/>
    </row>
    <row r="199" spans="1:21" x14ac:dyDescent="0.25">
      <c r="A199" s="2"/>
      <c r="B199" s="11"/>
      <c r="C199" s="8"/>
      <c r="D199" s="8"/>
      <c r="E199" s="8"/>
      <c r="F199" s="8"/>
      <c r="G199" s="8"/>
      <c r="H199" s="8"/>
      <c r="I199" s="8"/>
      <c r="J199" s="8"/>
      <c r="K199" s="8"/>
      <c r="L199" s="8"/>
      <c r="M199" s="8"/>
      <c r="N199" s="8"/>
      <c r="O199" s="8"/>
      <c r="P199" s="8"/>
      <c r="Q199" s="8"/>
      <c r="R199" s="8"/>
      <c r="S199" s="8"/>
      <c r="T199" s="12"/>
      <c r="U199" s="2"/>
    </row>
    <row r="200" spans="1:21" ht="15.75" thickBot="1" x14ac:dyDescent="0.3">
      <c r="A200" s="2"/>
      <c r="B200" s="11"/>
      <c r="C200" s="8"/>
      <c r="D200" s="8"/>
      <c r="E200" s="8"/>
      <c r="F200" s="8"/>
      <c r="G200" s="8"/>
      <c r="H200" s="8"/>
      <c r="I200" s="8"/>
      <c r="J200" s="8"/>
      <c r="K200" s="8"/>
      <c r="L200" s="8"/>
      <c r="M200" s="8"/>
      <c r="N200" s="8"/>
      <c r="O200" s="8"/>
      <c r="P200" s="8"/>
      <c r="Q200" s="8"/>
      <c r="R200" s="8"/>
      <c r="S200" s="8"/>
      <c r="T200" s="12"/>
      <c r="U200" s="2"/>
    </row>
    <row r="201" spans="1:21" ht="14.25" customHeight="1" x14ac:dyDescent="0.25">
      <c r="A201" s="2"/>
      <c r="B201" s="129" t="s">
        <v>401</v>
      </c>
      <c r="C201" s="179"/>
      <c r="D201" s="179"/>
      <c r="E201" s="179"/>
      <c r="F201" s="179"/>
      <c r="G201" s="179"/>
      <c r="H201" s="179"/>
      <c r="I201" s="179"/>
      <c r="J201" s="179"/>
      <c r="K201" s="179"/>
      <c r="L201" s="179"/>
      <c r="M201" s="179"/>
      <c r="N201" s="179"/>
      <c r="O201" s="179"/>
      <c r="P201" s="179"/>
      <c r="Q201" s="179"/>
      <c r="R201" s="179"/>
      <c r="S201" s="179"/>
      <c r="T201" s="180"/>
      <c r="U201" s="2"/>
    </row>
    <row r="202" spans="1:21" x14ac:dyDescent="0.25">
      <c r="A202" s="2"/>
      <c r="B202" s="181"/>
      <c r="C202" s="182"/>
      <c r="D202" s="182"/>
      <c r="E202" s="182"/>
      <c r="F202" s="182"/>
      <c r="G202" s="182"/>
      <c r="H202" s="182"/>
      <c r="I202" s="182"/>
      <c r="J202" s="182"/>
      <c r="K202" s="182"/>
      <c r="L202" s="182"/>
      <c r="M202" s="182"/>
      <c r="N202" s="182"/>
      <c r="O202" s="182"/>
      <c r="P202" s="182"/>
      <c r="Q202" s="182"/>
      <c r="R202" s="182"/>
      <c r="S202" s="182"/>
      <c r="T202" s="183"/>
      <c r="U202" s="2"/>
    </row>
    <row r="203" spans="1:21" ht="15.75" thickBot="1" x14ac:dyDescent="0.3">
      <c r="A203" s="2"/>
      <c r="B203" s="184"/>
      <c r="C203" s="185"/>
      <c r="D203" s="185"/>
      <c r="E203" s="185"/>
      <c r="F203" s="185"/>
      <c r="G203" s="185"/>
      <c r="H203" s="185"/>
      <c r="I203" s="185"/>
      <c r="J203" s="185"/>
      <c r="K203" s="185"/>
      <c r="L203" s="185"/>
      <c r="M203" s="185"/>
      <c r="N203" s="185"/>
      <c r="O203" s="185"/>
      <c r="P203" s="185"/>
      <c r="Q203" s="185"/>
      <c r="R203" s="185"/>
      <c r="S203" s="185"/>
      <c r="T203" s="186"/>
      <c r="U203" s="2"/>
    </row>
    <row r="204" spans="1:21" ht="15.75" thickTop="1" x14ac:dyDescent="0.25">
      <c r="A204" s="2"/>
      <c r="B204" s="11"/>
      <c r="C204" s="8"/>
      <c r="D204" s="8"/>
      <c r="E204" s="8"/>
      <c r="F204" s="8"/>
      <c r="G204" s="8"/>
      <c r="H204" s="8"/>
      <c r="I204" s="8"/>
      <c r="J204" s="8"/>
      <c r="K204" s="8"/>
      <c r="L204" s="8"/>
      <c r="M204" s="8"/>
      <c r="N204" s="8"/>
      <c r="O204" s="8"/>
      <c r="P204" s="8"/>
      <c r="Q204" s="8"/>
      <c r="R204" s="8"/>
      <c r="S204" s="8"/>
      <c r="T204" s="12"/>
      <c r="U204" s="2"/>
    </row>
    <row r="205" spans="1:21" x14ac:dyDescent="0.25">
      <c r="A205" s="2"/>
      <c r="B205" s="11"/>
      <c r="C205" s="8"/>
      <c r="D205" s="8"/>
      <c r="E205" s="8"/>
      <c r="F205" s="8"/>
      <c r="G205" s="8"/>
      <c r="H205" s="8"/>
      <c r="I205" s="8"/>
      <c r="J205" s="8"/>
      <c r="K205" s="8"/>
      <c r="L205" s="8"/>
      <c r="M205" s="8"/>
      <c r="N205" s="8"/>
      <c r="O205" s="8"/>
      <c r="P205" s="8"/>
      <c r="Q205" s="8"/>
      <c r="R205" s="8"/>
      <c r="S205" s="8"/>
      <c r="T205" s="12"/>
      <c r="U205" s="2"/>
    </row>
    <row r="206" spans="1:21" ht="15.75" x14ac:dyDescent="0.25">
      <c r="A206" s="2"/>
      <c r="B206" s="11"/>
      <c r="C206" s="22" t="s">
        <v>49</v>
      </c>
      <c r="D206" s="8"/>
      <c r="E206" s="8"/>
      <c r="F206" s="8"/>
      <c r="G206" s="8"/>
      <c r="H206" s="8"/>
      <c r="I206" s="8"/>
      <c r="J206" s="8"/>
      <c r="K206" s="8"/>
      <c r="L206" s="8"/>
      <c r="M206" s="8"/>
      <c r="N206" s="8"/>
      <c r="O206" s="8"/>
      <c r="P206" s="8"/>
      <c r="Q206" s="8"/>
      <c r="R206" s="8"/>
      <c r="S206" s="8"/>
      <c r="T206" s="12"/>
      <c r="U206" s="2"/>
    </row>
    <row r="207" spans="1:21" x14ac:dyDescent="0.25">
      <c r="A207" s="2"/>
      <c r="B207" s="11"/>
      <c r="C207" s="192" t="s">
        <v>278</v>
      </c>
      <c r="D207" s="192"/>
      <c r="E207" s="192"/>
      <c r="F207" s="192"/>
      <c r="G207" s="192"/>
      <c r="H207" s="192"/>
      <c r="I207" s="192"/>
      <c r="J207" s="192"/>
      <c r="K207" s="192"/>
      <c r="L207" s="192"/>
      <c r="M207" s="192"/>
      <c r="N207" s="192"/>
      <c r="O207" s="192"/>
      <c r="P207" s="192"/>
      <c r="Q207" s="192"/>
      <c r="R207" s="192"/>
      <c r="S207" s="192"/>
      <c r="T207" s="12"/>
      <c r="U207" s="2"/>
    </row>
    <row r="208" spans="1:21" x14ac:dyDescent="0.25">
      <c r="A208" s="2"/>
      <c r="B208" s="11"/>
      <c r="C208" s="192"/>
      <c r="D208" s="192"/>
      <c r="E208" s="192"/>
      <c r="F208" s="192"/>
      <c r="G208" s="192"/>
      <c r="H208" s="192"/>
      <c r="I208" s="192"/>
      <c r="J208" s="192"/>
      <c r="K208" s="192"/>
      <c r="L208" s="192"/>
      <c r="M208" s="192"/>
      <c r="N208" s="192"/>
      <c r="O208" s="192"/>
      <c r="P208" s="192"/>
      <c r="Q208" s="192"/>
      <c r="R208" s="192"/>
      <c r="S208" s="192"/>
      <c r="T208" s="12"/>
      <c r="U208" s="2"/>
    </row>
    <row r="209" spans="1:21" x14ac:dyDescent="0.25">
      <c r="A209" s="2"/>
      <c r="B209" s="11"/>
      <c r="C209" s="55"/>
      <c r="D209" s="55"/>
      <c r="E209" s="55"/>
      <c r="F209" s="55"/>
      <c r="G209" s="55"/>
      <c r="H209" s="55"/>
      <c r="I209" s="55"/>
      <c r="J209" s="55"/>
      <c r="K209" s="55"/>
      <c r="L209" s="55"/>
      <c r="M209" s="55"/>
      <c r="N209" s="55"/>
      <c r="O209" s="55"/>
      <c r="P209" s="55"/>
      <c r="Q209" s="55"/>
      <c r="R209" s="55"/>
      <c r="S209" s="55"/>
      <c r="T209" s="12"/>
      <c r="U209" s="2"/>
    </row>
    <row r="210" spans="1:21" x14ac:dyDescent="0.25">
      <c r="A210" s="2"/>
      <c r="B210" s="11"/>
      <c r="C210" s="55"/>
      <c r="D210" s="55"/>
      <c r="E210" s="55"/>
      <c r="F210" s="55"/>
      <c r="G210" s="55"/>
      <c r="H210" s="55"/>
      <c r="I210" s="55"/>
      <c r="J210" s="55"/>
      <c r="K210" s="55"/>
      <c r="L210" s="55"/>
      <c r="M210" s="55"/>
      <c r="N210" s="55"/>
      <c r="O210" s="55"/>
      <c r="P210" s="55"/>
      <c r="Q210" s="55"/>
      <c r="R210" s="55"/>
      <c r="S210" s="55"/>
      <c r="T210" s="12"/>
      <c r="U210" s="2"/>
    </row>
    <row r="211" spans="1:21" x14ac:dyDescent="0.25">
      <c r="A211" s="2"/>
      <c r="B211" s="11"/>
      <c r="C211" s="23" t="s">
        <v>270</v>
      </c>
      <c r="D211" s="55"/>
      <c r="E211" s="55"/>
      <c r="F211" s="55"/>
      <c r="G211" s="55"/>
      <c r="H211" s="55"/>
      <c r="I211" s="55"/>
      <c r="J211" s="55"/>
      <c r="K211" s="55"/>
      <c r="L211" s="55"/>
      <c r="M211" s="55"/>
      <c r="N211" s="55"/>
      <c r="O211" s="55"/>
      <c r="P211" s="55"/>
      <c r="Q211" s="55"/>
      <c r="R211" s="55"/>
      <c r="S211" s="55"/>
      <c r="T211" s="12"/>
      <c r="U211" s="2"/>
    </row>
    <row r="212" spans="1:21" x14ac:dyDescent="0.25">
      <c r="A212" s="2"/>
      <c r="B212" s="11"/>
      <c r="C212" s="55"/>
      <c r="D212" s="55"/>
      <c r="E212" s="55"/>
      <c r="F212" s="55"/>
      <c r="G212" s="55"/>
      <c r="H212" s="55"/>
      <c r="I212" s="55"/>
      <c r="J212" s="55"/>
      <c r="K212" s="55"/>
      <c r="L212" s="55"/>
      <c r="M212" s="55"/>
      <c r="N212" s="55"/>
      <c r="O212" s="55"/>
      <c r="P212" s="55"/>
      <c r="Q212" s="55"/>
      <c r="R212" s="55"/>
      <c r="S212" s="55"/>
      <c r="T212" s="12"/>
      <c r="U212" s="2"/>
    </row>
    <row r="213" spans="1:21" x14ac:dyDescent="0.25">
      <c r="A213" s="2"/>
      <c r="B213" s="11"/>
      <c r="C213" s="55"/>
      <c r="D213" s="147" t="s">
        <v>133</v>
      </c>
      <c r="E213" s="149"/>
      <c r="F213" s="148"/>
      <c r="G213" s="55"/>
      <c r="H213" s="55"/>
      <c r="I213" s="55"/>
      <c r="J213" s="55"/>
      <c r="K213" s="55"/>
      <c r="L213" s="55"/>
      <c r="M213" s="55"/>
      <c r="N213" s="55"/>
      <c r="O213" s="55"/>
      <c r="P213" s="55"/>
      <c r="Q213" s="55"/>
      <c r="R213" s="55"/>
      <c r="S213" s="55"/>
      <c r="T213" s="12"/>
      <c r="U213" s="2"/>
    </row>
    <row r="214" spans="1:21" x14ac:dyDescent="0.25">
      <c r="A214" s="2" t="s">
        <v>231</v>
      </c>
      <c r="B214" s="11"/>
      <c r="C214" s="55"/>
      <c r="D214" s="55"/>
      <c r="E214" s="55"/>
      <c r="F214" s="55"/>
      <c r="G214" s="55"/>
      <c r="H214" s="55"/>
      <c r="I214" s="55"/>
      <c r="J214" s="55"/>
      <c r="K214" s="55"/>
      <c r="L214" s="55"/>
      <c r="M214" s="55"/>
      <c r="N214" s="55"/>
      <c r="O214" s="55"/>
      <c r="P214" s="55"/>
      <c r="Q214" s="55"/>
      <c r="R214" s="55"/>
      <c r="S214" s="55"/>
      <c r="T214" s="12"/>
      <c r="U214" s="2"/>
    </row>
    <row r="215" spans="1:21" x14ac:dyDescent="0.25">
      <c r="A215" s="2"/>
      <c r="B215" s="11"/>
      <c r="C215" s="55"/>
      <c r="D215" s="55"/>
      <c r="E215" s="55"/>
      <c r="F215" s="55"/>
      <c r="G215" s="55"/>
      <c r="H215" s="55"/>
      <c r="I215" s="55"/>
      <c r="J215" s="55"/>
      <c r="K215" s="55"/>
      <c r="L215" s="55"/>
      <c r="M215" s="55"/>
      <c r="N215" s="55"/>
      <c r="O215" s="55"/>
      <c r="P215" s="55"/>
      <c r="Q215" s="55"/>
      <c r="R215" s="55"/>
      <c r="S215" s="55"/>
      <c r="T215" s="12"/>
      <c r="U215" s="2"/>
    </row>
    <row r="216" spans="1:21" x14ac:dyDescent="0.25">
      <c r="A216" s="2"/>
      <c r="B216" s="11"/>
      <c r="C216" s="55"/>
      <c r="D216" s="55"/>
      <c r="E216" s="55"/>
      <c r="F216" s="55"/>
      <c r="G216" s="55"/>
      <c r="H216" s="55"/>
      <c r="I216" s="55"/>
      <c r="J216" s="55"/>
      <c r="K216" s="55"/>
      <c r="L216" s="55"/>
      <c r="M216" s="55"/>
      <c r="N216" s="55"/>
      <c r="O216" s="55"/>
      <c r="P216" s="55"/>
      <c r="Q216" s="55"/>
      <c r="R216" s="55"/>
      <c r="S216" s="55"/>
      <c r="T216" s="12"/>
      <c r="U216" s="2"/>
    </row>
    <row r="217" spans="1:21" x14ac:dyDescent="0.25">
      <c r="A217" s="2"/>
      <c r="B217" s="11"/>
      <c r="C217" s="55"/>
      <c r="D217" s="55"/>
      <c r="E217" s="55"/>
      <c r="F217" s="55"/>
      <c r="G217" s="55"/>
      <c r="H217" s="55"/>
      <c r="I217" s="55"/>
      <c r="J217" s="55"/>
      <c r="K217" s="55"/>
      <c r="L217" s="55"/>
      <c r="M217" s="55"/>
      <c r="N217" s="55"/>
      <c r="O217" s="55"/>
      <c r="P217" s="55"/>
      <c r="Q217" s="55"/>
      <c r="R217" s="55"/>
      <c r="S217" s="55"/>
      <c r="T217" s="12"/>
      <c r="U217" s="2"/>
    </row>
    <row r="218" spans="1:21" x14ac:dyDescent="0.25">
      <c r="A218" s="2"/>
      <c r="B218" s="11"/>
      <c r="C218" s="52" t="s">
        <v>273</v>
      </c>
      <c r="D218" s="8"/>
      <c r="E218" s="8"/>
      <c r="F218" s="8"/>
      <c r="G218" s="8"/>
      <c r="H218" s="8"/>
      <c r="I218" s="8"/>
      <c r="J218" s="8"/>
      <c r="K218" s="8"/>
      <c r="L218" s="8"/>
      <c r="M218" s="8"/>
      <c r="N218" s="8"/>
      <c r="O218" s="8"/>
      <c r="P218" s="8"/>
      <c r="Q218" s="8"/>
      <c r="R218" s="8"/>
      <c r="S218" s="8"/>
      <c r="T218" s="12"/>
      <c r="U218" s="2"/>
    </row>
    <row r="219" spans="1:21" x14ac:dyDescent="0.25">
      <c r="A219" s="2"/>
      <c r="B219" s="11"/>
      <c r="C219" s="8"/>
      <c r="D219" s="8"/>
      <c r="E219" s="8"/>
      <c r="F219" s="8"/>
      <c r="G219" s="8"/>
      <c r="H219" s="8"/>
      <c r="I219" s="8"/>
      <c r="J219" s="8"/>
      <c r="K219" s="8"/>
      <c r="L219" s="8"/>
      <c r="M219" s="8"/>
      <c r="N219" s="8"/>
      <c r="O219" s="8"/>
      <c r="P219" s="8"/>
      <c r="Q219" s="8"/>
      <c r="R219" s="8"/>
      <c r="S219" s="8"/>
      <c r="T219" s="12"/>
      <c r="U219" s="2"/>
    </row>
    <row r="220" spans="1:21" ht="15.75" x14ac:dyDescent="0.25">
      <c r="A220" s="2"/>
      <c r="B220" s="11"/>
      <c r="C220" s="56" t="str">
        <f>IF(AND(D45="No"),"The Following Data Points are Required.",IF(AND(D45="Yes"),"The Following Data Points are Not Required."))</f>
        <v>The Following Data Points are Not Required.</v>
      </c>
      <c r="D220" s="8"/>
      <c r="E220" s="8"/>
      <c r="F220" s="8"/>
      <c r="G220" s="8"/>
      <c r="H220" s="8"/>
      <c r="I220" s="8"/>
      <c r="J220" s="8"/>
      <c r="K220" s="8"/>
      <c r="L220" s="8"/>
      <c r="M220" s="8"/>
      <c r="N220" s="8"/>
      <c r="O220" s="8"/>
      <c r="P220" s="8"/>
      <c r="Q220" s="8"/>
      <c r="R220" s="8"/>
      <c r="S220" s="8"/>
      <c r="T220" s="12"/>
      <c r="U220" s="2"/>
    </row>
    <row r="221" spans="1:21" ht="15.75" thickBot="1" x14ac:dyDescent="0.3">
      <c r="A221" s="2"/>
      <c r="B221" s="11"/>
      <c r="C221" s="8"/>
      <c r="D221" s="8"/>
      <c r="E221" s="8"/>
      <c r="F221" s="8"/>
      <c r="G221" s="8"/>
      <c r="H221" s="8"/>
      <c r="I221" s="8"/>
      <c r="J221" s="8"/>
      <c r="K221" s="8"/>
      <c r="L221" s="8"/>
      <c r="M221" s="8"/>
      <c r="N221" s="8"/>
      <c r="O221" s="8"/>
      <c r="P221" s="8"/>
      <c r="Q221" s="8"/>
      <c r="R221" s="8"/>
      <c r="S221" s="8"/>
      <c r="T221" s="12"/>
      <c r="U221" s="2"/>
    </row>
    <row r="222" spans="1:21" ht="19.5" thickTop="1" thickBot="1" x14ac:dyDescent="0.4">
      <c r="A222" s="2"/>
      <c r="B222" s="11"/>
      <c r="C222" s="8"/>
      <c r="D222" s="31" t="s">
        <v>179</v>
      </c>
      <c r="E222" s="31">
        <f>IF(AND(D213="No"),'Leakage Category F.1'!F17,IF(AND(D213="Yes"),'Leakage Category F.1'!$F$17*2))</f>
        <v>1.166256</v>
      </c>
      <c r="F222" s="8" t="s">
        <v>201</v>
      </c>
      <c r="G222" s="8"/>
      <c r="H222" s="8"/>
      <c r="I222" s="8"/>
      <c r="J222" s="8"/>
      <c r="K222" s="8"/>
      <c r="L222" s="8"/>
      <c r="M222" s="8"/>
      <c r="N222" s="8"/>
      <c r="O222" s="8"/>
      <c r="P222" s="8"/>
      <c r="Q222" s="8"/>
      <c r="R222" s="8"/>
      <c r="S222" s="8"/>
      <c r="T222" s="12"/>
      <c r="U222" s="2"/>
    </row>
    <row r="223" spans="1:21" ht="15.75" thickTop="1" x14ac:dyDescent="0.25">
      <c r="A223" s="2"/>
      <c r="B223" s="11"/>
      <c r="C223" s="8"/>
      <c r="D223" s="8"/>
      <c r="E223" s="8"/>
      <c r="F223" s="8"/>
      <c r="G223" s="8"/>
      <c r="H223" s="8"/>
      <c r="I223" s="8"/>
      <c r="J223" s="8"/>
      <c r="K223" s="8"/>
      <c r="L223" s="8"/>
      <c r="M223" s="8"/>
      <c r="N223" s="8"/>
      <c r="O223" s="8"/>
      <c r="P223" s="8"/>
      <c r="Q223" s="8"/>
      <c r="R223" s="8"/>
      <c r="S223" s="8"/>
      <c r="T223" s="12"/>
      <c r="U223" s="2"/>
    </row>
    <row r="224" spans="1:21" x14ac:dyDescent="0.25">
      <c r="A224" s="2"/>
      <c r="B224" s="11"/>
      <c r="C224" s="8"/>
      <c r="D224" s="43" t="s">
        <v>104</v>
      </c>
      <c r="E224" s="8" t="s">
        <v>390</v>
      </c>
      <c r="F224" s="8"/>
      <c r="G224" s="8"/>
      <c r="H224" s="8"/>
      <c r="I224" s="8"/>
      <c r="J224" s="8"/>
      <c r="K224" s="8"/>
      <c r="L224" s="8"/>
      <c r="M224" s="8"/>
      <c r="N224" s="8"/>
      <c r="O224" s="8"/>
      <c r="P224" s="8"/>
      <c r="Q224" s="8"/>
      <c r="R224" s="8"/>
      <c r="S224" s="8"/>
      <c r="T224" s="12"/>
      <c r="U224" s="2"/>
    </row>
    <row r="225" spans="1:21" x14ac:dyDescent="0.25">
      <c r="A225" s="2"/>
      <c r="B225" s="11"/>
      <c r="C225" s="8"/>
      <c r="D225" s="8"/>
      <c r="E225" s="8"/>
      <c r="F225" s="8"/>
      <c r="G225" s="8"/>
      <c r="H225" s="8"/>
      <c r="I225" s="8"/>
      <c r="J225" s="8"/>
      <c r="K225" s="8"/>
      <c r="L225" s="8"/>
      <c r="M225" s="8"/>
      <c r="N225" s="8"/>
      <c r="O225" s="8"/>
      <c r="P225" s="8"/>
      <c r="Q225" s="8"/>
      <c r="R225" s="8"/>
      <c r="S225" s="8"/>
      <c r="T225" s="12"/>
      <c r="U225" s="2"/>
    </row>
    <row r="226" spans="1:21" ht="18" x14ac:dyDescent="0.35">
      <c r="A226" s="2"/>
      <c r="B226" s="11"/>
      <c r="C226" s="8"/>
      <c r="D226" s="152" t="s">
        <v>224</v>
      </c>
      <c r="E226" s="153"/>
      <c r="F226" s="8" t="s">
        <v>227</v>
      </c>
      <c r="G226" s="8"/>
      <c r="H226" s="8"/>
      <c r="I226" s="8"/>
      <c r="J226" s="8"/>
      <c r="K226" s="8"/>
      <c r="L226" s="8"/>
      <c r="M226" s="8"/>
      <c r="N226" s="8"/>
      <c r="O226" s="8"/>
      <c r="P226" s="8"/>
      <c r="Q226" s="8"/>
      <c r="R226" s="8"/>
      <c r="S226" s="8"/>
      <c r="T226" s="12"/>
      <c r="U226" s="2"/>
    </row>
    <row r="227" spans="1:21" x14ac:dyDescent="0.25">
      <c r="A227" s="2"/>
      <c r="B227" s="11"/>
      <c r="C227" s="8"/>
      <c r="D227" s="8"/>
      <c r="E227" s="8"/>
      <c r="F227" s="8"/>
      <c r="G227" s="8"/>
      <c r="H227" s="8"/>
      <c r="I227" s="8"/>
      <c r="J227" s="8"/>
      <c r="K227" s="8"/>
      <c r="L227" s="8"/>
      <c r="M227" s="8"/>
      <c r="N227" s="8"/>
      <c r="O227" s="8"/>
      <c r="P227" s="8"/>
      <c r="Q227" s="8"/>
      <c r="R227" s="8"/>
      <c r="S227" s="8"/>
      <c r="T227" s="12"/>
      <c r="U227" s="2"/>
    </row>
    <row r="228" spans="1:21" ht="18" x14ac:dyDescent="0.35">
      <c r="A228" s="2"/>
      <c r="B228" s="11"/>
      <c r="C228" s="8"/>
      <c r="D228" s="152" t="s">
        <v>225</v>
      </c>
      <c r="E228" s="153"/>
      <c r="F228" s="8" t="s">
        <v>228</v>
      </c>
      <c r="G228" s="8"/>
      <c r="H228" s="8"/>
      <c r="I228" s="8"/>
      <c r="J228" s="8"/>
      <c r="K228" s="8"/>
      <c r="L228" s="8"/>
      <c r="M228" s="8"/>
      <c r="N228" s="8"/>
      <c r="O228" s="8"/>
      <c r="P228" s="8"/>
      <c r="Q228" s="8"/>
      <c r="R228" s="8"/>
      <c r="S228" s="8"/>
      <c r="T228" s="12"/>
      <c r="U228" s="2"/>
    </row>
    <row r="229" spans="1:21" x14ac:dyDescent="0.25">
      <c r="A229" s="2"/>
      <c r="B229" s="11"/>
      <c r="C229" s="8"/>
      <c r="D229" s="8"/>
      <c r="E229" s="8"/>
      <c r="F229" s="8"/>
      <c r="G229" s="8"/>
      <c r="H229" s="8"/>
      <c r="I229" s="8"/>
      <c r="J229" s="8"/>
      <c r="K229" s="8"/>
      <c r="L229" s="8"/>
      <c r="M229" s="8"/>
      <c r="N229" s="8"/>
      <c r="O229" s="8"/>
      <c r="P229" s="8"/>
      <c r="Q229" s="8"/>
      <c r="R229" s="8"/>
      <c r="S229" s="8"/>
      <c r="T229" s="12"/>
      <c r="U229" s="2"/>
    </row>
    <row r="230" spans="1:21" ht="18" x14ac:dyDescent="0.35">
      <c r="A230" s="2"/>
      <c r="B230" s="11"/>
      <c r="C230" s="8"/>
      <c r="D230" s="152" t="s">
        <v>226</v>
      </c>
      <c r="E230" s="153"/>
      <c r="F230" s="8" t="s">
        <v>229</v>
      </c>
      <c r="G230" s="8"/>
      <c r="H230" s="8"/>
      <c r="I230" s="8"/>
      <c r="J230" s="8"/>
      <c r="K230" s="8"/>
      <c r="L230" s="8"/>
      <c r="M230" s="8"/>
      <c r="N230" s="8"/>
      <c r="O230" s="8"/>
      <c r="P230" s="8"/>
      <c r="Q230" s="8"/>
      <c r="R230" s="8"/>
      <c r="S230" s="8"/>
      <c r="T230" s="12"/>
      <c r="U230" s="2"/>
    </row>
    <row r="231" spans="1:21" x14ac:dyDescent="0.25">
      <c r="A231" s="2"/>
      <c r="B231" s="11"/>
      <c r="C231" s="8"/>
      <c r="D231" s="8"/>
      <c r="E231" s="8"/>
      <c r="F231" s="8"/>
      <c r="G231" s="8"/>
      <c r="H231" s="8"/>
      <c r="I231" s="8"/>
      <c r="J231" s="8"/>
      <c r="K231" s="8"/>
      <c r="L231" s="8"/>
      <c r="M231" s="8"/>
      <c r="N231" s="8"/>
      <c r="O231" s="8"/>
      <c r="P231" s="8"/>
      <c r="Q231" s="8"/>
      <c r="R231" s="8"/>
      <c r="S231" s="8"/>
      <c r="T231" s="12"/>
      <c r="U231" s="2"/>
    </row>
    <row r="232" spans="1:21" x14ac:dyDescent="0.25">
      <c r="A232" s="2"/>
      <c r="B232" s="11"/>
      <c r="C232" s="8"/>
      <c r="D232" s="152" t="s">
        <v>266</v>
      </c>
      <c r="E232" s="153"/>
      <c r="F232" s="8" t="s">
        <v>230</v>
      </c>
      <c r="G232" s="8"/>
      <c r="H232" s="8"/>
      <c r="I232" s="8"/>
      <c r="J232" s="8"/>
      <c r="K232" s="8"/>
      <c r="L232" s="8"/>
      <c r="M232" s="8"/>
      <c r="N232" s="8"/>
      <c r="O232" s="8"/>
      <c r="P232" s="8"/>
      <c r="Q232" s="8"/>
      <c r="R232" s="8"/>
      <c r="S232" s="8"/>
      <c r="T232" s="12"/>
      <c r="U232" s="2"/>
    </row>
    <row r="233" spans="1:21" x14ac:dyDescent="0.25">
      <c r="A233" s="2"/>
      <c r="B233" s="11"/>
      <c r="C233" s="8"/>
      <c r="D233" s="8"/>
      <c r="E233" s="8"/>
      <c r="F233" s="8"/>
      <c r="G233" s="8"/>
      <c r="H233" s="8"/>
      <c r="I233" s="8"/>
      <c r="J233" s="8"/>
      <c r="K233" s="8"/>
      <c r="L233" s="8"/>
      <c r="M233" s="8"/>
      <c r="N233" s="8"/>
      <c r="O233" s="8"/>
      <c r="P233" s="8"/>
      <c r="Q233" s="8"/>
      <c r="R233" s="8"/>
      <c r="S233" s="8"/>
      <c r="T233" s="12"/>
      <c r="U233" s="2"/>
    </row>
    <row r="234" spans="1:21" x14ac:dyDescent="0.25">
      <c r="A234" s="2"/>
      <c r="B234" s="11"/>
      <c r="C234" s="8"/>
      <c r="D234" s="8"/>
      <c r="E234" s="8"/>
      <c r="F234" s="8"/>
      <c r="G234" s="8"/>
      <c r="H234" s="8"/>
      <c r="I234" s="8"/>
      <c r="J234" s="8"/>
      <c r="K234" s="8"/>
      <c r="L234" s="8"/>
      <c r="M234" s="8"/>
      <c r="N234" s="8"/>
      <c r="O234" s="8"/>
      <c r="P234" s="8"/>
      <c r="Q234" s="8"/>
      <c r="R234" s="8"/>
      <c r="S234" s="8"/>
      <c r="T234" s="12"/>
      <c r="U234" s="2"/>
    </row>
    <row r="235" spans="1:21" x14ac:dyDescent="0.25">
      <c r="A235" s="2"/>
      <c r="B235" s="11"/>
      <c r="C235" s="8"/>
      <c r="D235" s="8"/>
      <c r="E235" s="8"/>
      <c r="F235" s="8"/>
      <c r="G235" s="8"/>
      <c r="H235" s="8"/>
      <c r="I235" s="8"/>
      <c r="J235" s="8"/>
      <c r="K235" s="8"/>
      <c r="L235" s="8"/>
      <c r="M235" s="8"/>
      <c r="N235" s="8"/>
      <c r="O235" s="8"/>
      <c r="P235" s="8"/>
      <c r="Q235" s="8"/>
      <c r="R235" s="8"/>
      <c r="S235" s="8"/>
      <c r="T235" s="12"/>
      <c r="U235" s="2"/>
    </row>
    <row r="236" spans="1:21" x14ac:dyDescent="0.25">
      <c r="A236" s="2"/>
      <c r="B236" s="11"/>
      <c r="C236" s="8"/>
      <c r="D236" s="8"/>
      <c r="E236" s="8"/>
      <c r="F236" s="8"/>
      <c r="G236" s="8"/>
      <c r="H236" s="8"/>
      <c r="I236" s="8"/>
      <c r="J236" s="8"/>
      <c r="K236" s="8"/>
      <c r="L236" s="8"/>
      <c r="M236" s="8"/>
      <c r="N236" s="8"/>
      <c r="O236" s="8"/>
      <c r="P236" s="8"/>
      <c r="Q236" s="8"/>
      <c r="R236" s="8"/>
      <c r="S236" s="8"/>
      <c r="T236" s="12"/>
      <c r="U236" s="2"/>
    </row>
    <row r="237" spans="1:21" x14ac:dyDescent="0.25">
      <c r="A237" s="2"/>
      <c r="B237" s="11"/>
      <c r="C237" s="8"/>
      <c r="D237" s="8"/>
      <c r="E237" s="8"/>
      <c r="F237" s="8"/>
      <c r="G237" s="8"/>
      <c r="H237" s="8"/>
      <c r="I237" s="8"/>
      <c r="J237" s="8"/>
      <c r="K237" s="8"/>
      <c r="L237" s="8"/>
      <c r="M237" s="8"/>
      <c r="N237" s="8"/>
      <c r="O237" s="8"/>
      <c r="P237" s="8"/>
      <c r="Q237" s="8"/>
      <c r="R237" s="8"/>
      <c r="S237" s="8"/>
      <c r="T237" s="12"/>
      <c r="U237" s="2"/>
    </row>
    <row r="238" spans="1:21" x14ac:dyDescent="0.25">
      <c r="A238" s="2"/>
      <c r="B238" s="11"/>
      <c r="C238" s="8"/>
      <c r="D238" s="8"/>
      <c r="E238" s="8"/>
      <c r="F238" s="8"/>
      <c r="G238" s="8"/>
      <c r="H238" s="8"/>
      <c r="I238" s="8"/>
      <c r="J238" s="8"/>
      <c r="K238" s="8"/>
      <c r="L238" s="8"/>
      <c r="M238" s="8"/>
      <c r="N238" s="8"/>
      <c r="O238" s="8"/>
      <c r="P238" s="8"/>
      <c r="Q238" s="8"/>
      <c r="R238" s="8"/>
      <c r="S238" s="8"/>
      <c r="T238" s="12"/>
      <c r="U238" s="2"/>
    </row>
    <row r="239" spans="1:21" ht="16.5" thickBot="1" x14ac:dyDescent="0.3">
      <c r="A239" s="2"/>
      <c r="B239" s="11"/>
      <c r="C239" s="56"/>
      <c r="D239" s="8"/>
      <c r="E239" s="8"/>
      <c r="F239" s="8"/>
      <c r="G239" s="8"/>
      <c r="H239" s="8"/>
      <c r="I239" s="8"/>
      <c r="J239" s="8"/>
      <c r="K239" s="8"/>
      <c r="L239" s="8"/>
      <c r="M239" s="8"/>
      <c r="N239" s="8"/>
      <c r="O239" s="8"/>
      <c r="P239" s="8"/>
      <c r="Q239" s="8"/>
      <c r="R239" s="8"/>
      <c r="S239" s="8"/>
      <c r="T239" s="12"/>
      <c r="U239" s="2"/>
    </row>
    <row r="240" spans="1:21" x14ac:dyDescent="0.25">
      <c r="A240" s="2"/>
      <c r="B240" s="129" t="s">
        <v>402</v>
      </c>
      <c r="C240" s="179"/>
      <c r="D240" s="179"/>
      <c r="E240" s="179"/>
      <c r="F240" s="179"/>
      <c r="G240" s="179"/>
      <c r="H240" s="179"/>
      <c r="I240" s="179"/>
      <c r="J240" s="179"/>
      <c r="K240" s="179"/>
      <c r="L240" s="179"/>
      <c r="M240" s="179"/>
      <c r="N240" s="179"/>
      <c r="O240" s="179"/>
      <c r="P240" s="179"/>
      <c r="Q240" s="179"/>
      <c r="R240" s="179"/>
      <c r="S240" s="179"/>
      <c r="T240" s="180"/>
      <c r="U240" s="2"/>
    </row>
    <row r="241" spans="1:21" x14ac:dyDescent="0.25">
      <c r="A241" s="2"/>
      <c r="B241" s="181"/>
      <c r="C241" s="182"/>
      <c r="D241" s="182"/>
      <c r="E241" s="182"/>
      <c r="F241" s="182"/>
      <c r="G241" s="182"/>
      <c r="H241" s="182"/>
      <c r="I241" s="182"/>
      <c r="J241" s="182"/>
      <c r="K241" s="182"/>
      <c r="L241" s="182"/>
      <c r="M241" s="182"/>
      <c r="N241" s="182"/>
      <c r="O241" s="182"/>
      <c r="P241" s="182"/>
      <c r="Q241" s="182"/>
      <c r="R241" s="182"/>
      <c r="S241" s="182"/>
      <c r="T241" s="183"/>
      <c r="U241" s="2"/>
    </row>
    <row r="242" spans="1:21" ht="33" customHeight="1" thickBot="1" x14ac:dyDescent="0.3">
      <c r="A242" s="2"/>
      <c r="B242" s="184"/>
      <c r="C242" s="185"/>
      <c r="D242" s="185"/>
      <c r="E242" s="185"/>
      <c r="F242" s="185"/>
      <c r="G242" s="185"/>
      <c r="H242" s="185"/>
      <c r="I242" s="185"/>
      <c r="J242" s="185"/>
      <c r="K242" s="185"/>
      <c r="L242" s="185"/>
      <c r="M242" s="185"/>
      <c r="N242" s="185"/>
      <c r="O242" s="185"/>
      <c r="P242" s="185"/>
      <c r="Q242" s="185"/>
      <c r="R242" s="185"/>
      <c r="S242" s="185"/>
      <c r="T242" s="186"/>
      <c r="U242" s="2"/>
    </row>
    <row r="243" spans="1:21" ht="15.75" thickTop="1" x14ac:dyDescent="0.25">
      <c r="A243" s="2"/>
      <c r="B243" s="11"/>
      <c r="C243" s="8"/>
      <c r="D243" s="8"/>
      <c r="E243" s="8"/>
      <c r="F243" s="8"/>
      <c r="G243" s="8"/>
      <c r="H243" s="8"/>
      <c r="I243" s="8"/>
      <c r="J243" s="8"/>
      <c r="K243" s="8"/>
      <c r="L243" s="8"/>
      <c r="M243" s="8"/>
      <c r="N243" s="8"/>
      <c r="O243" s="8"/>
      <c r="P243" s="8"/>
      <c r="Q243" s="8"/>
      <c r="R243" s="8"/>
      <c r="S243" s="8"/>
      <c r="T243" s="12"/>
      <c r="U243" s="2"/>
    </row>
    <row r="244" spans="1:21" x14ac:dyDescent="0.25">
      <c r="A244" s="2"/>
      <c r="B244" s="11"/>
      <c r="C244" s="8"/>
      <c r="D244" s="8"/>
      <c r="E244" s="8"/>
      <c r="F244" s="8"/>
      <c r="G244" s="8"/>
      <c r="H244" s="8"/>
      <c r="I244" s="8"/>
      <c r="J244" s="8"/>
      <c r="K244" s="8"/>
      <c r="L244" s="8"/>
      <c r="M244" s="8"/>
      <c r="N244" s="8"/>
      <c r="O244" s="8"/>
      <c r="P244" s="8"/>
      <c r="Q244" s="8"/>
      <c r="R244" s="8"/>
      <c r="S244" s="8"/>
      <c r="T244" s="12"/>
      <c r="U244" s="2"/>
    </row>
    <row r="245" spans="1:21" x14ac:dyDescent="0.25">
      <c r="A245" s="2"/>
      <c r="B245" s="11"/>
      <c r="C245" s="192" t="s">
        <v>272</v>
      </c>
      <c r="D245" s="192"/>
      <c r="E245" s="192"/>
      <c r="F245" s="192"/>
      <c r="G245" s="192"/>
      <c r="H245" s="192"/>
      <c r="I245" s="192"/>
      <c r="J245" s="192"/>
      <c r="K245" s="192"/>
      <c r="L245" s="192"/>
      <c r="M245" s="192"/>
      <c r="N245" s="192"/>
      <c r="O245" s="192"/>
      <c r="P245" s="192"/>
      <c r="Q245" s="192"/>
      <c r="R245" s="192"/>
      <c r="S245" s="192"/>
      <c r="T245" s="12"/>
      <c r="U245" s="2"/>
    </row>
    <row r="246" spans="1:21" x14ac:dyDescent="0.25">
      <c r="A246" s="2"/>
      <c r="B246" s="11"/>
      <c r="C246" s="192"/>
      <c r="D246" s="192"/>
      <c r="E246" s="192"/>
      <c r="F246" s="192"/>
      <c r="G246" s="192"/>
      <c r="H246" s="192"/>
      <c r="I246" s="192"/>
      <c r="J246" s="192"/>
      <c r="K246" s="192"/>
      <c r="L246" s="192"/>
      <c r="M246" s="192"/>
      <c r="N246" s="192"/>
      <c r="O246" s="192"/>
      <c r="P246" s="192"/>
      <c r="Q246" s="192"/>
      <c r="R246" s="192"/>
      <c r="S246" s="192"/>
      <c r="T246" s="12"/>
      <c r="U246" s="2"/>
    </row>
    <row r="247" spans="1:21" x14ac:dyDescent="0.25">
      <c r="A247" s="2"/>
      <c r="B247" s="11"/>
      <c r="C247" s="64"/>
      <c r="D247" s="64"/>
      <c r="E247" s="64"/>
      <c r="F247" s="64"/>
      <c r="G247" s="64"/>
      <c r="H247" s="64"/>
      <c r="I247" s="64"/>
      <c r="J247" s="64"/>
      <c r="K247" s="64"/>
      <c r="L247" s="64"/>
      <c r="M247" s="64"/>
      <c r="N247" s="64"/>
      <c r="O247" s="64"/>
      <c r="P247" s="64"/>
      <c r="Q247" s="64"/>
      <c r="R247" s="64"/>
      <c r="S247" s="64"/>
      <c r="T247" s="12"/>
      <c r="U247" s="2"/>
    </row>
    <row r="248" spans="1:21" ht="15.75" x14ac:dyDescent="0.25">
      <c r="A248" s="2"/>
      <c r="B248" s="11"/>
      <c r="C248" s="56" t="str">
        <f>IF(AND(D213="No"),"The Following Data Points are Required.",IF(AND(D213="Yes"),"The Following Data Points are Not Required."))</f>
        <v>The Following Data Points are Not Required.</v>
      </c>
      <c r="D248" s="64"/>
      <c r="E248" s="64"/>
      <c r="F248" s="64"/>
      <c r="G248" s="64"/>
      <c r="H248" s="64"/>
      <c r="I248" s="64"/>
      <c r="J248" s="64"/>
      <c r="K248" s="64"/>
      <c r="L248" s="64"/>
      <c r="M248" s="64"/>
      <c r="N248" s="64"/>
      <c r="O248" s="64"/>
      <c r="P248" s="64"/>
      <c r="Q248" s="64"/>
      <c r="R248" s="64"/>
      <c r="S248" s="64"/>
      <c r="T248" s="12"/>
      <c r="U248" s="2"/>
    </row>
    <row r="249" spans="1:21" ht="15.75" thickBot="1" x14ac:dyDescent="0.3">
      <c r="A249" s="2"/>
      <c r="B249" s="11"/>
      <c r="C249" s="8"/>
      <c r="D249" s="8"/>
      <c r="E249" s="8"/>
      <c r="F249" s="8"/>
      <c r="G249" s="8"/>
      <c r="H249" s="8"/>
      <c r="I249" s="8"/>
      <c r="J249" s="8"/>
      <c r="K249" s="8"/>
      <c r="L249" s="8"/>
      <c r="M249" s="8"/>
      <c r="N249" s="8"/>
      <c r="O249" s="8"/>
      <c r="P249" s="8"/>
      <c r="Q249" s="8"/>
      <c r="R249" s="8"/>
      <c r="S249" s="8"/>
      <c r="T249" s="12"/>
      <c r="U249" s="2"/>
    </row>
    <row r="250" spans="1:21" ht="19.5" thickTop="1" thickBot="1" x14ac:dyDescent="0.4">
      <c r="A250" s="2"/>
      <c r="B250" s="11"/>
      <c r="C250" s="8"/>
      <c r="D250" s="31" t="s">
        <v>180</v>
      </c>
      <c r="E250" s="31">
        <f>IF(AND(D213="No"),'Leakage Category F.2'!F17,IF(AND(D213="Yes"),0))</f>
        <v>0</v>
      </c>
      <c r="F250" s="128" t="s">
        <v>202</v>
      </c>
      <c r="G250" s="128"/>
      <c r="H250" s="128"/>
      <c r="I250" s="128"/>
      <c r="J250" s="128"/>
      <c r="K250" s="128"/>
      <c r="L250" s="128"/>
      <c r="M250" s="128"/>
      <c r="N250" s="128"/>
      <c r="O250" s="128"/>
      <c r="P250" s="128"/>
      <c r="Q250" s="128"/>
      <c r="R250" s="128"/>
      <c r="S250" s="128"/>
      <c r="T250" s="12"/>
      <c r="U250" s="2"/>
    </row>
    <row r="251" spans="1:21" ht="15.75" thickTop="1" x14ac:dyDescent="0.25">
      <c r="A251" s="2"/>
      <c r="B251" s="11"/>
      <c r="C251" s="8"/>
      <c r="D251" s="8"/>
      <c r="E251" s="8"/>
      <c r="F251" s="128"/>
      <c r="G251" s="128"/>
      <c r="H251" s="128"/>
      <c r="I251" s="128"/>
      <c r="J251" s="128"/>
      <c r="K251" s="128"/>
      <c r="L251" s="128"/>
      <c r="M251" s="128"/>
      <c r="N251" s="128"/>
      <c r="O251" s="128"/>
      <c r="P251" s="128"/>
      <c r="Q251" s="128"/>
      <c r="R251" s="128"/>
      <c r="S251" s="128"/>
      <c r="T251" s="12"/>
      <c r="U251" s="2"/>
    </row>
    <row r="252" spans="1:21" x14ac:dyDescent="0.25">
      <c r="A252" s="2"/>
      <c r="B252" s="11"/>
      <c r="C252" s="8"/>
      <c r="D252" s="8"/>
      <c r="E252" s="8"/>
      <c r="F252" s="8"/>
      <c r="G252" s="8"/>
      <c r="H252" s="8"/>
      <c r="I252" s="8"/>
      <c r="J252" s="8"/>
      <c r="K252" s="8"/>
      <c r="L252" s="8"/>
      <c r="M252" s="8"/>
      <c r="N252" s="8"/>
      <c r="O252" s="8"/>
      <c r="P252" s="8"/>
      <c r="Q252" s="8"/>
      <c r="R252" s="8"/>
      <c r="S252" s="8"/>
      <c r="T252" s="12"/>
      <c r="U252" s="2"/>
    </row>
    <row r="253" spans="1:21" ht="18" x14ac:dyDescent="0.35">
      <c r="A253" s="2"/>
      <c r="B253" s="11"/>
      <c r="C253" s="8"/>
      <c r="D253" s="21" t="s">
        <v>233</v>
      </c>
      <c r="E253" s="94">
        <v>0</v>
      </c>
      <c r="F253" s="8" t="s">
        <v>237</v>
      </c>
      <c r="G253" s="8"/>
      <c r="H253" s="8"/>
      <c r="I253" s="8"/>
      <c r="J253" s="8"/>
      <c r="K253" s="8"/>
      <c r="L253" s="8"/>
      <c r="M253" s="8"/>
      <c r="N253" s="8"/>
      <c r="O253" s="8"/>
      <c r="P253" s="8"/>
      <c r="Q253" s="8"/>
      <c r="R253" s="8"/>
      <c r="S253" s="8"/>
      <c r="T253" s="12"/>
      <c r="U253" s="2"/>
    </row>
    <row r="254" spans="1:21" x14ac:dyDescent="0.25">
      <c r="A254" s="2"/>
      <c r="B254" s="11"/>
      <c r="C254" s="8"/>
      <c r="D254" s="8"/>
      <c r="E254" s="8"/>
      <c r="F254" s="48"/>
      <c r="G254" s="48"/>
      <c r="H254" s="48"/>
      <c r="I254" s="48"/>
      <c r="J254" s="48"/>
      <c r="K254" s="48"/>
      <c r="L254" s="48"/>
      <c r="M254" s="48"/>
      <c r="N254" s="48"/>
      <c r="O254" s="48"/>
      <c r="P254" s="48"/>
      <c r="Q254" s="48"/>
      <c r="R254" s="48"/>
      <c r="S254" s="48"/>
      <c r="T254" s="12"/>
      <c r="U254" s="2"/>
    </row>
    <row r="255" spans="1:21" ht="18" x14ac:dyDescent="0.35">
      <c r="A255" s="2"/>
      <c r="B255" s="11"/>
      <c r="C255" s="8"/>
      <c r="D255" s="152" t="s">
        <v>232</v>
      </c>
      <c r="E255" s="153"/>
      <c r="F255" s="128" t="s">
        <v>236</v>
      </c>
      <c r="G255" s="128"/>
      <c r="H255" s="128"/>
      <c r="I255" s="128"/>
      <c r="J255" s="128"/>
      <c r="K255" s="128"/>
      <c r="L255" s="128"/>
      <c r="M255" s="128"/>
      <c r="N255" s="128"/>
      <c r="O255" s="128"/>
      <c r="P255" s="128"/>
      <c r="Q255" s="128"/>
      <c r="R255" s="128"/>
      <c r="S255" s="128"/>
      <c r="T255" s="12"/>
      <c r="U255" s="2"/>
    </row>
    <row r="256" spans="1:21" x14ac:dyDescent="0.25">
      <c r="A256" s="2"/>
      <c r="B256" s="11"/>
      <c r="C256" s="8"/>
      <c r="D256" s="8"/>
      <c r="E256" s="8"/>
      <c r="F256" s="128"/>
      <c r="G256" s="128"/>
      <c r="H256" s="128"/>
      <c r="I256" s="128"/>
      <c r="J256" s="128"/>
      <c r="K256" s="128"/>
      <c r="L256" s="128"/>
      <c r="M256" s="128"/>
      <c r="N256" s="128"/>
      <c r="O256" s="128"/>
      <c r="P256" s="128"/>
      <c r="Q256" s="128"/>
      <c r="R256" s="128"/>
      <c r="S256" s="128"/>
      <c r="T256" s="12"/>
      <c r="U256" s="2"/>
    </row>
    <row r="257" spans="1:21" x14ac:dyDescent="0.25">
      <c r="A257" s="2"/>
      <c r="B257" s="11"/>
      <c r="C257" s="8"/>
      <c r="D257" s="8"/>
      <c r="E257" s="8"/>
      <c r="F257" s="48"/>
      <c r="G257" s="48"/>
      <c r="H257" s="48"/>
      <c r="I257" s="48"/>
      <c r="J257" s="48"/>
      <c r="K257" s="48"/>
      <c r="L257" s="48"/>
      <c r="M257" s="48"/>
      <c r="N257" s="48"/>
      <c r="O257" s="48"/>
      <c r="P257" s="48"/>
      <c r="Q257" s="48"/>
      <c r="R257" s="48"/>
      <c r="S257" s="48"/>
      <c r="T257" s="12"/>
      <c r="U257" s="2"/>
    </row>
    <row r="258" spans="1:21" ht="18" x14ac:dyDescent="0.35">
      <c r="A258" s="2"/>
      <c r="B258" s="11"/>
      <c r="C258" s="8"/>
      <c r="D258" s="152" t="s">
        <v>234</v>
      </c>
      <c r="E258" s="153"/>
      <c r="F258" s="8" t="s">
        <v>238</v>
      </c>
      <c r="G258" s="8"/>
      <c r="H258" s="8"/>
      <c r="I258" s="8"/>
      <c r="J258" s="8"/>
      <c r="K258" s="8"/>
      <c r="L258" s="8"/>
      <c r="M258" s="8"/>
      <c r="N258" s="8"/>
      <c r="O258" s="8"/>
      <c r="P258" s="8"/>
      <c r="Q258" s="8"/>
      <c r="R258" s="8"/>
      <c r="S258" s="8"/>
      <c r="T258" s="12"/>
      <c r="U258" s="2"/>
    </row>
    <row r="259" spans="1:21" x14ac:dyDescent="0.25">
      <c r="A259" s="2"/>
      <c r="B259" s="11"/>
      <c r="C259" s="8"/>
      <c r="D259" s="8"/>
      <c r="E259" s="8"/>
      <c r="F259" s="8"/>
      <c r="G259" s="8"/>
      <c r="H259" s="8"/>
      <c r="I259" s="8"/>
      <c r="J259" s="8"/>
      <c r="K259" s="8"/>
      <c r="L259" s="8"/>
      <c r="M259" s="8"/>
      <c r="N259" s="8"/>
      <c r="O259" s="8"/>
      <c r="P259" s="8"/>
      <c r="Q259" s="8"/>
      <c r="R259" s="8"/>
      <c r="S259" s="8"/>
      <c r="T259" s="12"/>
      <c r="U259" s="2"/>
    </row>
    <row r="260" spans="1:21" ht="18" x14ac:dyDescent="0.35">
      <c r="A260" s="2"/>
      <c r="B260" s="11"/>
      <c r="C260" s="8"/>
      <c r="D260" s="152" t="s">
        <v>235</v>
      </c>
      <c r="E260" s="153"/>
      <c r="F260" s="8" t="s">
        <v>239</v>
      </c>
      <c r="G260" s="8"/>
      <c r="H260" s="8"/>
      <c r="I260" s="8"/>
      <c r="J260" s="8"/>
      <c r="K260" s="8"/>
      <c r="L260" s="8"/>
      <c r="M260" s="8"/>
      <c r="N260" s="8"/>
      <c r="O260" s="8"/>
      <c r="P260" s="8"/>
      <c r="Q260" s="8"/>
      <c r="R260" s="8"/>
      <c r="S260" s="8"/>
      <c r="T260" s="12"/>
      <c r="U260" s="2"/>
    </row>
    <row r="261" spans="1:21" x14ac:dyDescent="0.25">
      <c r="A261" s="2"/>
      <c r="B261" s="11"/>
      <c r="C261" s="8"/>
      <c r="D261" s="8"/>
      <c r="E261" s="8"/>
      <c r="F261" s="8"/>
      <c r="G261" s="8"/>
      <c r="H261" s="8"/>
      <c r="I261" s="8"/>
      <c r="J261" s="8"/>
      <c r="K261" s="8"/>
      <c r="L261" s="8"/>
      <c r="M261" s="8"/>
      <c r="N261" s="8"/>
      <c r="O261" s="8"/>
      <c r="P261" s="8"/>
      <c r="Q261" s="8"/>
      <c r="R261" s="8"/>
      <c r="S261" s="8"/>
      <c r="T261" s="12"/>
      <c r="U261" s="2"/>
    </row>
    <row r="262" spans="1:21" x14ac:dyDescent="0.25">
      <c r="A262" s="2"/>
      <c r="B262" s="11"/>
      <c r="C262" s="8"/>
      <c r="D262" s="152" t="s">
        <v>265</v>
      </c>
      <c r="E262" s="153"/>
      <c r="F262" s="8" t="s">
        <v>230</v>
      </c>
      <c r="G262" s="8"/>
      <c r="H262" s="8"/>
      <c r="I262" s="8"/>
      <c r="J262" s="8"/>
      <c r="K262" s="8"/>
      <c r="L262" s="8"/>
      <c r="M262" s="8"/>
      <c r="N262" s="8"/>
      <c r="O262" s="8"/>
      <c r="P262" s="8"/>
      <c r="Q262" s="8"/>
      <c r="R262" s="8"/>
      <c r="S262" s="8"/>
      <c r="T262" s="12"/>
      <c r="U262" s="2"/>
    </row>
    <row r="263" spans="1:21" x14ac:dyDescent="0.25">
      <c r="A263" s="2"/>
      <c r="B263" s="11"/>
      <c r="C263" s="8"/>
      <c r="D263" s="8"/>
      <c r="E263" s="8"/>
      <c r="F263" s="8"/>
      <c r="G263" s="8"/>
      <c r="H263" s="8"/>
      <c r="I263" s="8"/>
      <c r="J263" s="8"/>
      <c r="K263" s="8"/>
      <c r="L263" s="8"/>
      <c r="M263" s="8"/>
      <c r="N263" s="8"/>
      <c r="O263" s="8"/>
      <c r="P263" s="8"/>
      <c r="Q263" s="8"/>
      <c r="R263" s="8"/>
      <c r="S263" s="8"/>
      <c r="T263" s="12"/>
      <c r="U263" s="2"/>
    </row>
    <row r="264" spans="1:21" x14ac:dyDescent="0.25">
      <c r="A264" s="2"/>
      <c r="B264" s="11"/>
      <c r="C264" s="8"/>
      <c r="D264" s="8"/>
      <c r="E264" s="8"/>
      <c r="F264" s="8"/>
      <c r="G264" s="8"/>
      <c r="H264" s="8"/>
      <c r="I264" s="8"/>
      <c r="J264" s="8"/>
      <c r="K264" s="8"/>
      <c r="L264" s="8"/>
      <c r="M264" s="8"/>
      <c r="N264" s="8"/>
      <c r="O264" s="8"/>
      <c r="P264" s="8"/>
      <c r="Q264" s="8"/>
      <c r="R264" s="8"/>
      <c r="S264" s="8"/>
      <c r="T264" s="12"/>
      <c r="U264" s="2"/>
    </row>
    <row r="265" spans="1:21" x14ac:dyDescent="0.25">
      <c r="A265" s="2"/>
      <c r="B265" s="11"/>
      <c r="C265" s="8"/>
      <c r="D265" s="8"/>
      <c r="E265" s="8"/>
      <c r="F265" s="8"/>
      <c r="G265" s="8"/>
      <c r="H265" s="8"/>
      <c r="I265" s="8"/>
      <c r="J265" s="8"/>
      <c r="K265" s="8"/>
      <c r="L265" s="8"/>
      <c r="M265" s="8"/>
      <c r="N265" s="8"/>
      <c r="O265" s="8"/>
      <c r="P265" s="8"/>
      <c r="Q265" s="8"/>
      <c r="R265" s="8"/>
      <c r="S265" s="8"/>
      <c r="T265" s="12"/>
      <c r="U265" s="2"/>
    </row>
    <row r="266" spans="1:21" x14ac:dyDescent="0.25">
      <c r="A266" s="2"/>
      <c r="B266" s="11"/>
      <c r="C266" s="8"/>
      <c r="D266" s="8"/>
      <c r="E266" s="8"/>
      <c r="F266" s="8"/>
      <c r="G266" s="8"/>
      <c r="H266" s="8"/>
      <c r="I266" s="8"/>
      <c r="J266" s="8"/>
      <c r="K266" s="8"/>
      <c r="L266" s="8"/>
      <c r="M266" s="8"/>
      <c r="N266" s="8"/>
      <c r="O266" s="8"/>
      <c r="P266" s="8"/>
      <c r="Q266" s="8"/>
      <c r="R266" s="8"/>
      <c r="S266" s="8"/>
      <c r="T266" s="12"/>
      <c r="U266" s="2"/>
    </row>
    <row r="267" spans="1:21" x14ac:dyDescent="0.25">
      <c r="A267" s="2"/>
      <c r="B267" s="11"/>
      <c r="C267" s="8"/>
      <c r="D267" s="8"/>
      <c r="E267" s="8"/>
      <c r="F267" s="8"/>
      <c r="G267" s="8"/>
      <c r="H267" s="8"/>
      <c r="I267" s="8"/>
      <c r="J267" s="8"/>
      <c r="K267" s="8"/>
      <c r="L267" s="8"/>
      <c r="M267" s="8"/>
      <c r="N267" s="8"/>
      <c r="O267" s="8"/>
      <c r="P267" s="8"/>
      <c r="Q267" s="8"/>
      <c r="R267" s="8"/>
      <c r="S267" s="8"/>
      <c r="T267" s="12"/>
      <c r="U267" s="2"/>
    </row>
    <row r="268" spans="1:21" ht="15.75" thickBot="1" x14ac:dyDescent="0.3">
      <c r="A268" s="2"/>
      <c r="B268" s="13"/>
      <c r="C268" s="24"/>
      <c r="D268" s="24"/>
      <c r="E268" s="24"/>
      <c r="F268" s="24"/>
      <c r="G268" s="24"/>
      <c r="H268" s="24"/>
      <c r="I268" s="24"/>
      <c r="J268" s="24"/>
      <c r="K268" s="24"/>
      <c r="L268" s="24"/>
      <c r="M268" s="24"/>
      <c r="N268" s="24"/>
      <c r="O268" s="24"/>
      <c r="P268" s="24"/>
      <c r="Q268" s="24"/>
      <c r="R268" s="24"/>
      <c r="S268" s="24"/>
      <c r="T268" s="16"/>
      <c r="U268" s="2"/>
    </row>
    <row r="269" spans="1:21" x14ac:dyDescent="0.25">
      <c r="A269" s="2"/>
      <c r="B269" s="2"/>
      <c r="C269" s="2"/>
      <c r="D269" s="2"/>
      <c r="E269" s="2"/>
      <c r="F269" s="2"/>
      <c r="G269" s="2"/>
      <c r="H269" s="2"/>
      <c r="I269" s="2"/>
      <c r="J269" s="2"/>
      <c r="K269" s="2"/>
      <c r="L269" s="2"/>
      <c r="M269" s="2"/>
      <c r="N269" s="2"/>
      <c r="O269" s="2"/>
      <c r="P269" s="2"/>
      <c r="Q269" s="2"/>
      <c r="R269" s="2"/>
      <c r="S269" s="2"/>
      <c r="T269" s="2"/>
      <c r="U269" s="2"/>
    </row>
    <row r="270" spans="1:21" x14ac:dyDescent="0.25">
      <c r="A270" s="2"/>
      <c r="B270" s="2"/>
      <c r="C270" s="2"/>
      <c r="D270" s="2"/>
      <c r="E270" s="2"/>
      <c r="F270" s="2"/>
      <c r="G270" s="2"/>
      <c r="H270" s="2"/>
      <c r="I270" s="2"/>
      <c r="J270" s="2"/>
      <c r="K270" s="2"/>
      <c r="L270" s="2"/>
      <c r="M270" s="2"/>
      <c r="N270" s="2"/>
      <c r="O270" s="2"/>
      <c r="P270" s="2"/>
      <c r="Q270" s="2"/>
      <c r="R270" s="2"/>
      <c r="S270" s="2"/>
      <c r="T270" s="2"/>
      <c r="U270" s="2"/>
    </row>
  </sheetData>
  <mergeCells count="47">
    <mergeCell ref="D137:E137"/>
    <mergeCell ref="D139:E139"/>
    <mergeCell ref="D165:E165"/>
    <mergeCell ref="B240:T242"/>
    <mergeCell ref="B201:T203"/>
    <mergeCell ref="D163:E163"/>
    <mergeCell ref="B146:T148"/>
    <mergeCell ref="D75:E75"/>
    <mergeCell ref="D105:E105"/>
    <mergeCell ref="D107:E107"/>
    <mergeCell ref="D109:E109"/>
    <mergeCell ref="D135:E135"/>
    <mergeCell ref="D103:E103"/>
    <mergeCell ref="D133:E133"/>
    <mergeCell ref="B116:T118"/>
    <mergeCell ref="B5:T7"/>
    <mergeCell ref="C245:S246"/>
    <mergeCell ref="D195:E195"/>
    <mergeCell ref="D226:E226"/>
    <mergeCell ref="D228:E228"/>
    <mergeCell ref="D230:E230"/>
    <mergeCell ref="D232:E232"/>
    <mergeCell ref="C60:S61"/>
    <mergeCell ref="C13:S24"/>
    <mergeCell ref="D167:E167"/>
    <mergeCell ref="D169:E169"/>
    <mergeCell ref="D189:E189"/>
    <mergeCell ref="D73:E73"/>
    <mergeCell ref="B56:T58"/>
    <mergeCell ref="B86:T88"/>
    <mergeCell ref="D191:E191"/>
    <mergeCell ref="D30:F30"/>
    <mergeCell ref="D260:E260"/>
    <mergeCell ref="D262:E262"/>
    <mergeCell ref="F255:S256"/>
    <mergeCell ref="F250:S251"/>
    <mergeCell ref="D255:E255"/>
    <mergeCell ref="D258:E258"/>
    <mergeCell ref="D193:E193"/>
    <mergeCell ref="D40:F40"/>
    <mergeCell ref="D45:F45"/>
    <mergeCell ref="B176:T178"/>
    <mergeCell ref="D35:F35"/>
    <mergeCell ref="D213:F213"/>
    <mergeCell ref="C207:S208"/>
    <mergeCell ref="D77:E77"/>
    <mergeCell ref="D79:E79"/>
  </mergeCells>
  <dataValidations count="1">
    <dataValidation type="list" allowBlank="1" showInputMessage="1" showErrorMessage="1" sqref="D213:F213 D30:F30 D40:F40 D45:F45 D35:F35" xr:uid="{AC4E6209-02D9-44EA-8457-BB36BAA13A31}">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78" r:id="rId3" name="Button 14">
              <controlPr defaultSize="0" print="0" autoFill="0" autoPict="0" macro="[0]!Redirect_leakage_fuel_consumption">
                <anchor moveWithCells="1" sizeWithCells="1">
                  <from>
                    <xdr:col>3</xdr:col>
                    <xdr:colOff>0</xdr:colOff>
                    <xdr:row>80</xdr:row>
                    <xdr:rowOff>57150</xdr:rowOff>
                  </from>
                  <to>
                    <xdr:col>8</xdr:col>
                    <xdr:colOff>152400</xdr:colOff>
                    <xdr:row>82</xdr:row>
                    <xdr:rowOff>85725</xdr:rowOff>
                  </to>
                </anchor>
              </controlPr>
            </control>
          </mc:Choice>
        </mc:AlternateContent>
        <mc:AlternateContent xmlns:mc="http://schemas.openxmlformats.org/markup-compatibility/2006">
          <mc:Choice Requires="x14">
            <control shapeId="11280" r:id="rId4" name="Button 16">
              <controlPr defaultSize="0" print="0" autoFill="0" autoPict="0" macro="[0]!Redirect_leakage_fuel_consumption">
                <anchor moveWithCells="1" sizeWithCells="1">
                  <from>
                    <xdr:col>3</xdr:col>
                    <xdr:colOff>0</xdr:colOff>
                    <xdr:row>110</xdr:row>
                    <xdr:rowOff>76200</xdr:rowOff>
                  </from>
                  <to>
                    <xdr:col>8</xdr:col>
                    <xdr:colOff>152400</xdr:colOff>
                    <xdr:row>112</xdr:row>
                    <xdr:rowOff>104775</xdr:rowOff>
                  </to>
                </anchor>
              </controlPr>
            </control>
          </mc:Choice>
        </mc:AlternateContent>
        <mc:AlternateContent xmlns:mc="http://schemas.openxmlformats.org/markup-compatibility/2006">
          <mc:Choice Requires="x14">
            <control shapeId="11281" r:id="rId5" name="Button 17">
              <controlPr defaultSize="0" print="0" autoFill="0" autoPict="0" macro="[0]!Redirect_leakage_fuel_consumption">
                <anchor moveWithCells="1" sizeWithCells="1">
                  <from>
                    <xdr:col>2</xdr:col>
                    <xdr:colOff>600075</xdr:colOff>
                    <xdr:row>140</xdr:row>
                    <xdr:rowOff>66675</xdr:rowOff>
                  </from>
                  <to>
                    <xdr:col>8</xdr:col>
                    <xdr:colOff>142875</xdr:colOff>
                    <xdr:row>142</xdr:row>
                    <xdr:rowOff>95250</xdr:rowOff>
                  </to>
                </anchor>
              </controlPr>
            </control>
          </mc:Choice>
        </mc:AlternateContent>
        <mc:AlternateContent xmlns:mc="http://schemas.openxmlformats.org/markup-compatibility/2006">
          <mc:Choice Requires="x14">
            <control shapeId="11282" r:id="rId6" name="Button 18">
              <controlPr defaultSize="0" print="0" autoFill="0" autoPict="0" macro="[0]!Redirect_leakage_fuel_consumption">
                <anchor moveWithCells="1" sizeWithCells="1">
                  <from>
                    <xdr:col>3</xdr:col>
                    <xdr:colOff>0</xdr:colOff>
                    <xdr:row>170</xdr:row>
                    <xdr:rowOff>66675</xdr:rowOff>
                  </from>
                  <to>
                    <xdr:col>8</xdr:col>
                    <xdr:colOff>152400</xdr:colOff>
                    <xdr:row>172</xdr:row>
                    <xdr:rowOff>95250</xdr:rowOff>
                  </to>
                </anchor>
              </controlPr>
            </control>
          </mc:Choice>
        </mc:AlternateContent>
        <mc:AlternateContent xmlns:mc="http://schemas.openxmlformats.org/markup-compatibility/2006">
          <mc:Choice Requires="x14">
            <control shapeId="11283" r:id="rId7" name="Button 19">
              <controlPr defaultSize="0" print="0" autoFill="0" autoPict="0" macro="[0]!Redirect_leakage_category_e">
                <anchor moveWithCells="1" sizeWithCells="1">
                  <from>
                    <xdr:col>2</xdr:col>
                    <xdr:colOff>600075</xdr:colOff>
                    <xdr:row>196</xdr:row>
                    <xdr:rowOff>95250</xdr:rowOff>
                  </from>
                  <to>
                    <xdr:col>8</xdr:col>
                    <xdr:colOff>200025</xdr:colOff>
                    <xdr:row>198</xdr:row>
                    <xdr:rowOff>123825</xdr:rowOff>
                  </to>
                </anchor>
              </controlPr>
            </control>
          </mc:Choice>
        </mc:AlternateContent>
        <mc:AlternateContent xmlns:mc="http://schemas.openxmlformats.org/markup-compatibility/2006">
          <mc:Choice Requires="x14">
            <control shapeId="11284" r:id="rId8" name="Button 20">
              <controlPr defaultSize="0" print="0" autoFill="0" autoPict="0" macro="[0]!Redirect_leakage_category_f1">
                <anchor moveWithCells="1" sizeWithCells="1">
                  <from>
                    <xdr:col>3</xdr:col>
                    <xdr:colOff>0</xdr:colOff>
                    <xdr:row>233</xdr:row>
                    <xdr:rowOff>66675</xdr:rowOff>
                  </from>
                  <to>
                    <xdr:col>8</xdr:col>
                    <xdr:colOff>209550</xdr:colOff>
                    <xdr:row>235</xdr:row>
                    <xdr:rowOff>95250</xdr:rowOff>
                  </to>
                </anchor>
              </controlPr>
            </control>
          </mc:Choice>
        </mc:AlternateContent>
        <mc:AlternateContent xmlns:mc="http://schemas.openxmlformats.org/markup-compatibility/2006">
          <mc:Choice Requires="x14">
            <control shapeId="11285" r:id="rId9" name="Button 21">
              <controlPr defaultSize="0" print="0" autoFill="0" autoPict="0" macro="[0]!Redirect_leakage_category_f2">
                <anchor moveWithCells="1" sizeWithCells="1">
                  <from>
                    <xdr:col>3</xdr:col>
                    <xdr:colOff>0</xdr:colOff>
                    <xdr:row>263</xdr:row>
                    <xdr:rowOff>66675</xdr:rowOff>
                  </from>
                  <to>
                    <xdr:col>8</xdr:col>
                    <xdr:colOff>209550</xdr:colOff>
                    <xdr:row>265</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1CFE9-18F9-4460-A2A4-6BFE5632DEA5}">
  <sheetPr codeName="Sheet7"/>
  <dimension ref="A1:P94"/>
  <sheetViews>
    <sheetView workbookViewId="0">
      <selection activeCell="C10" sqref="C10"/>
    </sheetView>
  </sheetViews>
  <sheetFormatPr defaultRowHeight="15" x14ac:dyDescent="0.25"/>
  <cols>
    <col min="1" max="3" width="9.140625" style="1"/>
    <col min="4" max="4" width="13.28515625" style="1" customWidth="1"/>
    <col min="5" max="8" width="15.7109375" style="1" customWidth="1"/>
    <col min="9" max="9" width="14.42578125" style="1" customWidth="1"/>
    <col min="10" max="10" width="13.28515625" style="1" customWidth="1"/>
    <col min="11" max="11" width="33.85546875" style="1" bestFit="1" customWidth="1"/>
    <col min="12" max="13" width="33.85546875" style="1" customWidth="1"/>
    <col min="14" max="14" width="33.85546875" style="1" bestFit="1" customWidth="1"/>
    <col min="15" max="15" width="9.140625" style="1" customWidth="1"/>
    <col min="16" max="16384" width="9.140625" style="1"/>
  </cols>
  <sheetData>
    <row r="1" spans="1:16" x14ac:dyDescent="0.25">
      <c r="A1" s="2"/>
      <c r="B1" s="2"/>
      <c r="C1" s="2"/>
      <c r="D1" s="2"/>
      <c r="E1" s="2"/>
      <c r="F1" s="2"/>
      <c r="G1" s="2"/>
      <c r="H1" s="2"/>
      <c r="I1" s="2"/>
      <c r="J1" s="2"/>
      <c r="K1" s="2"/>
      <c r="L1" s="2"/>
      <c r="M1" s="2"/>
      <c r="N1" s="2"/>
      <c r="O1" s="2"/>
      <c r="P1" s="2"/>
    </row>
    <row r="2" spans="1:16" x14ac:dyDescent="0.25">
      <c r="A2" s="2"/>
      <c r="B2" s="2"/>
      <c r="C2" s="2"/>
      <c r="D2" s="2"/>
      <c r="E2" s="2"/>
      <c r="F2" s="2"/>
      <c r="G2" s="2"/>
      <c r="H2" s="2"/>
      <c r="I2" s="2"/>
      <c r="J2" s="2"/>
      <c r="K2" s="2"/>
      <c r="L2" s="2"/>
      <c r="M2" s="2"/>
      <c r="N2" s="2"/>
      <c r="O2" s="2"/>
      <c r="P2" s="2"/>
    </row>
    <row r="3" spans="1:16" x14ac:dyDescent="0.25">
      <c r="A3" s="2"/>
      <c r="B3" s="2"/>
      <c r="C3" s="2"/>
      <c r="D3" s="2"/>
      <c r="E3" s="2"/>
      <c r="F3" s="2"/>
      <c r="G3" s="2"/>
      <c r="H3" s="2"/>
      <c r="I3" s="2"/>
      <c r="J3" s="2"/>
      <c r="K3" s="2"/>
      <c r="L3" s="2"/>
      <c r="M3" s="2"/>
      <c r="N3" s="2"/>
      <c r="O3" s="2"/>
      <c r="P3" s="2"/>
    </row>
    <row r="4" spans="1:16" ht="15.75" thickBot="1" x14ac:dyDescent="0.3">
      <c r="A4" s="2"/>
      <c r="B4" s="2"/>
      <c r="C4" s="2"/>
      <c r="D4" s="2"/>
      <c r="E4" s="2"/>
      <c r="F4" s="2"/>
      <c r="G4" s="2"/>
      <c r="H4" s="2"/>
      <c r="I4" s="2"/>
      <c r="J4" s="2"/>
      <c r="K4" s="2"/>
      <c r="L4" s="2"/>
      <c r="M4" s="2"/>
      <c r="N4" s="2"/>
      <c r="O4" s="2"/>
      <c r="P4" s="2"/>
    </row>
    <row r="5" spans="1:16" ht="15" customHeight="1" x14ac:dyDescent="0.25">
      <c r="A5" s="2"/>
      <c r="B5" s="129" t="s">
        <v>244</v>
      </c>
      <c r="C5" s="179"/>
      <c r="D5" s="179"/>
      <c r="E5" s="179"/>
      <c r="F5" s="179"/>
      <c r="G5" s="179"/>
      <c r="H5" s="179"/>
      <c r="I5" s="179"/>
      <c r="J5" s="179"/>
      <c r="K5" s="179"/>
      <c r="L5" s="179"/>
      <c r="M5" s="179"/>
      <c r="N5" s="179"/>
      <c r="O5" s="180"/>
      <c r="P5" s="2"/>
    </row>
    <row r="6" spans="1:16" ht="15" customHeight="1" x14ac:dyDescent="0.25">
      <c r="A6" s="2"/>
      <c r="B6" s="181"/>
      <c r="C6" s="182"/>
      <c r="D6" s="182"/>
      <c r="E6" s="182"/>
      <c r="F6" s="182"/>
      <c r="G6" s="182"/>
      <c r="H6" s="182"/>
      <c r="I6" s="182"/>
      <c r="J6" s="182"/>
      <c r="K6" s="182"/>
      <c r="L6" s="182"/>
      <c r="M6" s="182"/>
      <c r="N6" s="182"/>
      <c r="O6" s="183"/>
      <c r="P6" s="2"/>
    </row>
    <row r="7" spans="1:16" ht="15.75" customHeight="1" thickBot="1" x14ac:dyDescent="0.3">
      <c r="A7" s="2"/>
      <c r="B7" s="184"/>
      <c r="C7" s="185"/>
      <c r="D7" s="185"/>
      <c r="E7" s="185"/>
      <c r="F7" s="185"/>
      <c r="G7" s="185"/>
      <c r="H7" s="185"/>
      <c r="I7" s="185"/>
      <c r="J7" s="185"/>
      <c r="K7" s="185"/>
      <c r="L7" s="185"/>
      <c r="M7" s="185"/>
      <c r="N7" s="185"/>
      <c r="O7" s="186"/>
      <c r="P7" s="2"/>
    </row>
    <row r="8" spans="1:16" ht="15.75" thickTop="1" x14ac:dyDescent="0.25">
      <c r="A8" s="2"/>
      <c r="B8" s="11"/>
      <c r="C8" s="8"/>
      <c r="D8" s="8"/>
      <c r="E8" s="8"/>
      <c r="F8" s="8"/>
      <c r="G8" s="8"/>
      <c r="H8" s="8"/>
      <c r="I8" s="8"/>
      <c r="J8" s="8"/>
      <c r="K8" s="8"/>
      <c r="L8" s="8"/>
      <c r="M8" s="8"/>
      <c r="N8" s="8"/>
      <c r="O8" s="12"/>
      <c r="P8" s="2"/>
    </row>
    <row r="9" spans="1:16" x14ac:dyDescent="0.25">
      <c r="A9" s="2"/>
      <c r="B9" s="11"/>
      <c r="C9" s="8"/>
      <c r="D9" s="8"/>
      <c r="E9" s="8"/>
      <c r="F9" s="8"/>
      <c r="G9" s="8"/>
      <c r="H9" s="8"/>
      <c r="I9" s="8"/>
      <c r="J9" s="8"/>
      <c r="K9" s="8"/>
      <c r="L9" s="8"/>
      <c r="M9" s="8"/>
      <c r="N9" s="8"/>
      <c r="O9" s="12"/>
      <c r="P9" s="2"/>
    </row>
    <row r="10" spans="1:16" ht="18.75" x14ac:dyDescent="0.3">
      <c r="A10" s="2"/>
      <c r="B10" s="11"/>
      <c r="C10" s="40" t="s">
        <v>245</v>
      </c>
      <c r="D10" s="8"/>
      <c r="E10" s="8"/>
      <c r="F10" s="8"/>
      <c r="G10" s="8"/>
      <c r="H10" s="8"/>
      <c r="I10" s="8"/>
      <c r="J10" s="94">
        <v>2022</v>
      </c>
      <c r="K10" s="8"/>
      <c r="L10" s="8"/>
      <c r="M10" s="8"/>
      <c r="N10" s="8"/>
      <c r="O10" s="12"/>
      <c r="P10" s="2"/>
    </row>
    <row r="11" spans="1:16" x14ac:dyDescent="0.25">
      <c r="A11" s="2"/>
      <c r="B11" s="11"/>
      <c r="C11" s="23"/>
      <c r="D11" s="8"/>
      <c r="E11" s="8"/>
      <c r="F11" s="8"/>
      <c r="G11" s="8"/>
      <c r="H11" s="8"/>
      <c r="I11" s="8"/>
      <c r="J11" s="8"/>
      <c r="K11" s="8"/>
      <c r="L11" s="8"/>
      <c r="M11" s="8"/>
      <c r="N11" s="8"/>
      <c r="O11" s="12"/>
      <c r="P11" s="2"/>
    </row>
    <row r="12" spans="1:16" x14ac:dyDescent="0.25">
      <c r="A12" s="2"/>
      <c r="B12" s="11"/>
      <c r="C12" s="23" t="s">
        <v>62</v>
      </c>
      <c r="D12" s="23"/>
      <c r="E12" s="8"/>
      <c r="F12" s="8"/>
      <c r="G12" s="8"/>
      <c r="H12" s="8"/>
      <c r="I12" s="8"/>
      <c r="J12" s="8"/>
      <c r="K12" s="8"/>
      <c r="L12" s="8"/>
      <c r="M12" s="8"/>
      <c r="N12" s="8"/>
      <c r="O12" s="12"/>
      <c r="P12" s="2"/>
    </row>
    <row r="13" spans="1:16" ht="14.25" customHeight="1" thickBot="1" x14ac:dyDescent="0.3">
      <c r="A13" s="2"/>
      <c r="B13" s="11"/>
      <c r="C13" s="23"/>
      <c r="D13" s="23"/>
      <c r="E13" s="8"/>
      <c r="F13" s="8"/>
      <c r="G13" s="8"/>
      <c r="H13" s="8"/>
      <c r="I13" s="8"/>
      <c r="J13" s="8"/>
      <c r="K13" s="8"/>
      <c r="L13" s="8"/>
      <c r="M13" s="8"/>
      <c r="N13" s="8"/>
      <c r="O13" s="12"/>
      <c r="P13" s="2"/>
    </row>
    <row r="14" spans="1:16" ht="19.5" thickTop="1" thickBot="1" x14ac:dyDescent="0.4">
      <c r="A14" s="2"/>
      <c r="B14" s="11"/>
      <c r="C14" s="23"/>
      <c r="D14" s="187" t="s">
        <v>240</v>
      </c>
      <c r="E14" s="188"/>
      <c r="F14" s="31">
        <f>SUMIF(C29:C90,J10,K29:K90)</f>
        <v>0</v>
      </c>
      <c r="G14" s="8"/>
      <c r="H14" s="8"/>
      <c r="I14" s="8"/>
      <c r="J14" s="8"/>
      <c r="K14" s="8"/>
      <c r="L14" s="8"/>
      <c r="M14" s="8"/>
      <c r="N14" s="8"/>
      <c r="O14" s="12"/>
      <c r="P14" s="2"/>
    </row>
    <row r="15" spans="1:16" ht="16.5" thickTop="1" thickBot="1" x14ac:dyDescent="0.3">
      <c r="A15" s="2"/>
      <c r="B15" s="11"/>
      <c r="C15" s="23"/>
      <c r="D15" s="23"/>
      <c r="E15" s="8"/>
      <c r="F15" s="8"/>
      <c r="G15" s="8"/>
      <c r="H15" s="8"/>
      <c r="I15" s="8"/>
      <c r="J15" s="8"/>
      <c r="K15" s="8"/>
      <c r="L15" s="8"/>
      <c r="M15" s="8"/>
      <c r="N15" s="8"/>
      <c r="O15" s="12"/>
      <c r="P15" s="2"/>
    </row>
    <row r="16" spans="1:16" ht="19.5" thickTop="1" thickBot="1" x14ac:dyDescent="0.4">
      <c r="A16" s="2"/>
      <c r="B16" s="11"/>
      <c r="C16" s="23"/>
      <c r="D16" s="187" t="s">
        <v>241</v>
      </c>
      <c r="E16" s="188"/>
      <c r="F16" s="31">
        <f>SUMIF(C29:C90,J10,L29:L90)</f>
        <v>0</v>
      </c>
      <c r="G16" s="8"/>
      <c r="H16" s="8"/>
      <c r="I16" s="8"/>
      <c r="J16" s="8"/>
      <c r="K16" s="8"/>
      <c r="L16" s="8"/>
      <c r="M16" s="8"/>
      <c r="N16" s="8"/>
      <c r="O16" s="12"/>
      <c r="P16" s="2"/>
    </row>
    <row r="17" spans="1:16" ht="16.5" thickTop="1" thickBot="1" x14ac:dyDescent="0.3">
      <c r="A17" s="2"/>
      <c r="B17" s="11"/>
      <c r="C17" s="8"/>
      <c r="D17" s="8"/>
      <c r="E17" s="8"/>
      <c r="F17" s="8"/>
      <c r="G17" s="8"/>
      <c r="H17" s="8"/>
      <c r="I17" s="8"/>
      <c r="J17" s="8"/>
      <c r="K17" s="8"/>
      <c r="L17" s="8"/>
      <c r="M17" s="8"/>
      <c r="N17" s="8"/>
      <c r="O17" s="12"/>
      <c r="P17" s="2"/>
    </row>
    <row r="18" spans="1:16" ht="19.5" thickTop="1" thickBot="1" x14ac:dyDescent="0.4">
      <c r="A18" s="2"/>
      <c r="B18" s="11"/>
      <c r="C18" s="23"/>
      <c r="D18" s="187" t="s">
        <v>242</v>
      </c>
      <c r="E18" s="188"/>
      <c r="F18" s="31">
        <f>SUMIF(C29:C90,J10,M29:M90)</f>
        <v>2.05125</v>
      </c>
      <c r="G18" s="8"/>
      <c r="H18" s="8"/>
      <c r="I18" s="8"/>
      <c r="J18" s="8"/>
      <c r="K18" s="8"/>
      <c r="L18" s="8"/>
      <c r="M18" s="8"/>
      <c r="N18" s="8"/>
      <c r="O18" s="12"/>
      <c r="P18" s="2"/>
    </row>
    <row r="19" spans="1:16" ht="16.5" thickTop="1" thickBot="1" x14ac:dyDescent="0.3">
      <c r="A19" s="2"/>
      <c r="B19" s="11"/>
      <c r="C19" s="8"/>
      <c r="D19" s="8"/>
      <c r="E19" s="8"/>
      <c r="F19" s="8"/>
      <c r="G19" s="8"/>
      <c r="H19" s="8"/>
      <c r="I19" s="8"/>
      <c r="J19" s="8"/>
      <c r="K19" s="8"/>
      <c r="L19" s="8"/>
      <c r="M19" s="8"/>
      <c r="N19" s="8"/>
      <c r="O19" s="12"/>
      <c r="P19" s="2"/>
    </row>
    <row r="20" spans="1:16" ht="19.5" thickTop="1" thickBot="1" x14ac:dyDescent="0.4">
      <c r="A20" s="2"/>
      <c r="B20" s="11"/>
      <c r="C20" s="23"/>
      <c r="D20" s="187" t="s">
        <v>243</v>
      </c>
      <c r="E20" s="188"/>
      <c r="F20" s="31">
        <f>SUMIF(C29:C90,J10,N29:N90)</f>
        <v>0</v>
      </c>
      <c r="G20" s="8"/>
      <c r="H20" s="8"/>
      <c r="I20" s="8"/>
      <c r="J20" s="8"/>
      <c r="K20" s="8"/>
      <c r="L20" s="8"/>
      <c r="M20" s="8"/>
      <c r="N20" s="8"/>
      <c r="O20" s="12"/>
      <c r="P20" s="2"/>
    </row>
    <row r="21" spans="1:16" ht="15.75" thickTop="1" x14ac:dyDescent="0.25">
      <c r="A21" s="2"/>
      <c r="B21" s="11"/>
      <c r="C21" s="8"/>
      <c r="D21" s="8"/>
      <c r="E21" s="8"/>
      <c r="F21" s="8"/>
      <c r="G21" s="8"/>
      <c r="H21" s="8"/>
      <c r="I21" s="8"/>
      <c r="J21" s="8"/>
      <c r="K21" s="8"/>
      <c r="L21" s="8"/>
      <c r="M21" s="8"/>
      <c r="N21" s="8"/>
      <c r="O21" s="12"/>
      <c r="P21" s="2"/>
    </row>
    <row r="22" spans="1:16" x14ac:dyDescent="0.25">
      <c r="A22" s="2"/>
      <c r="B22" s="11"/>
      <c r="C22" s="8"/>
      <c r="D22" s="8"/>
      <c r="E22" s="8"/>
      <c r="F22" s="8"/>
      <c r="G22" s="8"/>
      <c r="H22" s="8"/>
      <c r="I22" s="8"/>
      <c r="J22" s="8"/>
      <c r="K22" s="8"/>
      <c r="L22" s="8"/>
      <c r="M22" s="8"/>
      <c r="N22" s="8"/>
      <c r="O22" s="12"/>
      <c r="P22" s="2"/>
    </row>
    <row r="23" spans="1:16" ht="15" customHeight="1" x14ac:dyDescent="0.25">
      <c r="A23" s="2"/>
      <c r="B23" s="11"/>
      <c r="C23" s="23"/>
      <c r="D23" s="23"/>
      <c r="E23" s="8"/>
      <c r="F23" s="23"/>
      <c r="G23" s="23"/>
      <c r="H23" s="23"/>
      <c r="I23" s="8"/>
      <c r="J23" s="8"/>
      <c r="K23" s="8"/>
      <c r="L23" s="8"/>
      <c r="M23" s="8"/>
      <c r="N23" s="8"/>
      <c r="O23" s="12"/>
      <c r="P23" s="2"/>
    </row>
    <row r="24" spans="1:16" x14ac:dyDescent="0.25">
      <c r="A24" s="2"/>
      <c r="B24" s="11"/>
      <c r="C24" s="30"/>
      <c r="D24" s="39" t="s">
        <v>103</v>
      </c>
      <c r="E24" s="8"/>
      <c r="F24" s="8"/>
      <c r="G24" s="8"/>
      <c r="H24" s="8"/>
      <c r="I24" s="8"/>
      <c r="J24" s="8"/>
      <c r="K24" s="8"/>
      <c r="L24" s="8"/>
      <c r="M24" s="8"/>
      <c r="N24" s="8"/>
      <c r="O24" s="12"/>
      <c r="P24" s="2"/>
    </row>
    <row r="25" spans="1:16" ht="15.75" thickBot="1" x14ac:dyDescent="0.3">
      <c r="A25" s="2"/>
      <c r="B25" s="11"/>
      <c r="C25" s="8"/>
      <c r="D25" s="8"/>
      <c r="E25" s="24"/>
      <c r="F25" s="8"/>
      <c r="G25" s="8"/>
      <c r="H25" s="8"/>
      <c r="I25" s="24"/>
      <c r="J25" s="24"/>
      <c r="K25" s="24"/>
      <c r="L25" s="24"/>
      <c r="M25" s="24"/>
      <c r="N25" s="24"/>
      <c r="O25" s="12"/>
      <c r="P25" s="2"/>
    </row>
    <row r="26" spans="1:16" x14ac:dyDescent="0.25">
      <c r="A26" s="2"/>
      <c r="B26" s="11"/>
      <c r="C26" s="159" t="s">
        <v>104</v>
      </c>
      <c r="D26" s="162" t="s">
        <v>162</v>
      </c>
      <c r="E26" s="162" t="s">
        <v>189</v>
      </c>
      <c r="F26" s="166" t="s">
        <v>188</v>
      </c>
      <c r="G26" s="166" t="s">
        <v>190</v>
      </c>
      <c r="H26" s="166" t="s">
        <v>191</v>
      </c>
      <c r="I26" s="166" t="s">
        <v>165</v>
      </c>
      <c r="J26" s="166" t="s">
        <v>166</v>
      </c>
      <c r="K26" s="166" t="s">
        <v>192</v>
      </c>
      <c r="L26" s="166" t="s">
        <v>193</v>
      </c>
      <c r="M26" s="166" t="s">
        <v>194</v>
      </c>
      <c r="N26" s="189" t="s">
        <v>195</v>
      </c>
      <c r="O26" s="12"/>
      <c r="P26" s="2"/>
    </row>
    <row r="27" spans="1:16" x14ac:dyDescent="0.25">
      <c r="A27" s="2"/>
      <c r="B27" s="11"/>
      <c r="C27" s="160"/>
      <c r="D27" s="157"/>
      <c r="E27" s="157"/>
      <c r="F27" s="167"/>
      <c r="G27" s="167"/>
      <c r="H27" s="167"/>
      <c r="I27" s="167"/>
      <c r="J27" s="167"/>
      <c r="K27" s="167"/>
      <c r="L27" s="167"/>
      <c r="M27" s="167"/>
      <c r="N27" s="190"/>
      <c r="O27" s="12"/>
      <c r="P27" s="2"/>
    </row>
    <row r="28" spans="1:16" ht="15.75" thickBot="1" x14ac:dyDescent="0.3">
      <c r="A28" s="2"/>
      <c r="B28" s="11"/>
      <c r="C28" s="161"/>
      <c r="D28" s="158"/>
      <c r="E28" s="158"/>
      <c r="F28" s="168"/>
      <c r="G28" s="168"/>
      <c r="H28" s="168"/>
      <c r="I28" s="168"/>
      <c r="J28" s="168"/>
      <c r="K28" s="168"/>
      <c r="L28" s="168"/>
      <c r="M28" s="168"/>
      <c r="N28" s="191"/>
      <c r="O28" s="12"/>
      <c r="P28" s="2"/>
    </row>
    <row r="29" spans="1:16" x14ac:dyDescent="0.25">
      <c r="A29" s="2"/>
      <c r="B29" s="11"/>
      <c r="C29" s="76">
        <v>2021</v>
      </c>
      <c r="D29" s="77" t="s">
        <v>169</v>
      </c>
      <c r="E29" s="79">
        <v>0</v>
      </c>
      <c r="F29" s="79">
        <v>0</v>
      </c>
      <c r="G29" s="79">
        <v>0</v>
      </c>
      <c r="H29" s="79">
        <v>0</v>
      </c>
      <c r="I29" s="79">
        <v>0.25</v>
      </c>
      <c r="J29" s="79">
        <v>5.4699999999999999E-2</v>
      </c>
      <c r="K29" s="33">
        <f>E29*I29*J29</f>
        <v>0</v>
      </c>
      <c r="L29" s="49">
        <f>F29*I29*J29</f>
        <v>0</v>
      </c>
      <c r="M29" s="49">
        <f>G29*I29*J29</f>
        <v>0</v>
      </c>
      <c r="N29" s="45">
        <f>H29*I29*J29</f>
        <v>0</v>
      </c>
      <c r="O29" s="12"/>
      <c r="P29" s="2"/>
    </row>
    <row r="30" spans="1:16" x14ac:dyDescent="0.25">
      <c r="A30" s="2"/>
      <c r="B30" s="11"/>
      <c r="C30" s="80">
        <v>2021</v>
      </c>
      <c r="D30" s="81" t="s">
        <v>170</v>
      </c>
      <c r="E30" s="79">
        <v>0</v>
      </c>
      <c r="F30" s="79">
        <v>0</v>
      </c>
      <c r="G30" s="79">
        <v>0</v>
      </c>
      <c r="H30" s="79">
        <v>0</v>
      </c>
      <c r="I30" s="79">
        <v>0.25</v>
      </c>
      <c r="J30" s="79">
        <v>5.4699999999999999E-2</v>
      </c>
      <c r="K30" s="33">
        <f t="shared" ref="K30:K90" si="0">E30*I30*J30</f>
        <v>0</v>
      </c>
      <c r="L30" s="49">
        <f t="shared" ref="L30:L90" si="1">F30*I30*J30</f>
        <v>0</v>
      </c>
      <c r="M30" s="49">
        <f t="shared" ref="M30:M90" si="2">G30*I30*J30</f>
        <v>0</v>
      </c>
      <c r="N30" s="45">
        <f t="shared" ref="N30:N90" si="3">H30*I30*J30</f>
        <v>0</v>
      </c>
      <c r="O30" s="12"/>
      <c r="P30" s="2"/>
    </row>
    <row r="31" spans="1:16" x14ac:dyDescent="0.25">
      <c r="A31" s="2"/>
      <c r="B31" s="11"/>
      <c r="C31" s="80">
        <v>2022</v>
      </c>
      <c r="D31" s="81" t="s">
        <v>169</v>
      </c>
      <c r="E31" s="79">
        <v>0</v>
      </c>
      <c r="F31" s="79">
        <v>0</v>
      </c>
      <c r="G31" s="79">
        <v>150</v>
      </c>
      <c r="H31" s="79">
        <v>0</v>
      </c>
      <c r="I31" s="79">
        <v>0.25</v>
      </c>
      <c r="J31" s="79">
        <v>5.4699999999999999E-2</v>
      </c>
      <c r="K31" s="33">
        <f t="shared" si="0"/>
        <v>0</v>
      </c>
      <c r="L31" s="49">
        <f t="shared" si="1"/>
        <v>0</v>
      </c>
      <c r="M31" s="49">
        <f t="shared" si="2"/>
        <v>2.05125</v>
      </c>
      <c r="N31" s="45">
        <f t="shared" si="3"/>
        <v>0</v>
      </c>
      <c r="O31" s="12"/>
      <c r="P31" s="2"/>
    </row>
    <row r="32" spans="1:16" x14ac:dyDescent="0.25">
      <c r="A32" s="2"/>
      <c r="B32" s="11"/>
      <c r="C32" s="80">
        <v>2022</v>
      </c>
      <c r="D32" s="81" t="s">
        <v>170</v>
      </c>
      <c r="E32" s="79">
        <v>0</v>
      </c>
      <c r="F32" s="79">
        <v>0</v>
      </c>
      <c r="G32" s="79">
        <v>0</v>
      </c>
      <c r="H32" s="79">
        <v>0</v>
      </c>
      <c r="I32" s="79">
        <v>0.25</v>
      </c>
      <c r="J32" s="79">
        <v>5.4699999999999999E-2</v>
      </c>
      <c r="K32" s="33">
        <f t="shared" si="0"/>
        <v>0</v>
      </c>
      <c r="L32" s="49">
        <f t="shared" si="1"/>
        <v>0</v>
      </c>
      <c r="M32" s="49">
        <f t="shared" si="2"/>
        <v>0</v>
      </c>
      <c r="N32" s="45">
        <f t="shared" si="3"/>
        <v>0</v>
      </c>
      <c r="O32" s="12"/>
      <c r="P32" s="2"/>
    </row>
    <row r="33" spans="1:16" x14ac:dyDescent="0.25">
      <c r="A33" s="2"/>
      <c r="B33" s="11"/>
      <c r="C33" s="80">
        <v>2023</v>
      </c>
      <c r="D33" s="81" t="s">
        <v>169</v>
      </c>
      <c r="E33" s="79">
        <v>0</v>
      </c>
      <c r="F33" s="79">
        <v>0</v>
      </c>
      <c r="G33" s="79">
        <v>200</v>
      </c>
      <c r="H33" s="79">
        <v>0</v>
      </c>
      <c r="I33" s="79">
        <v>0.25</v>
      </c>
      <c r="J33" s="79">
        <v>5.4699999999999999E-2</v>
      </c>
      <c r="K33" s="33">
        <f t="shared" si="0"/>
        <v>0</v>
      </c>
      <c r="L33" s="49">
        <f t="shared" si="1"/>
        <v>0</v>
      </c>
      <c r="M33" s="49">
        <f t="shared" si="2"/>
        <v>2.7349999999999999</v>
      </c>
      <c r="N33" s="45">
        <f t="shared" si="3"/>
        <v>0</v>
      </c>
      <c r="O33" s="12"/>
      <c r="P33" s="2"/>
    </row>
    <row r="34" spans="1:16" x14ac:dyDescent="0.25">
      <c r="A34" s="2"/>
      <c r="B34" s="11"/>
      <c r="C34" s="80">
        <v>2023</v>
      </c>
      <c r="D34" s="81" t="s">
        <v>170</v>
      </c>
      <c r="E34" s="79">
        <v>0</v>
      </c>
      <c r="F34" s="79">
        <v>0</v>
      </c>
      <c r="G34" s="79">
        <v>0</v>
      </c>
      <c r="H34" s="79">
        <v>0</v>
      </c>
      <c r="I34" s="79">
        <v>0.25</v>
      </c>
      <c r="J34" s="79">
        <v>5.4699999999999999E-2</v>
      </c>
      <c r="K34" s="33">
        <f t="shared" si="0"/>
        <v>0</v>
      </c>
      <c r="L34" s="49">
        <f t="shared" si="1"/>
        <v>0</v>
      </c>
      <c r="M34" s="49">
        <f t="shared" si="2"/>
        <v>0</v>
      </c>
      <c r="N34" s="45">
        <f t="shared" si="3"/>
        <v>0</v>
      </c>
      <c r="O34" s="12"/>
      <c r="P34" s="2"/>
    </row>
    <row r="35" spans="1:16" x14ac:dyDescent="0.25">
      <c r="A35" s="2"/>
      <c r="B35" s="11"/>
      <c r="C35" s="80">
        <v>2024</v>
      </c>
      <c r="D35" s="81" t="s">
        <v>169</v>
      </c>
      <c r="E35" s="79">
        <v>0</v>
      </c>
      <c r="F35" s="79">
        <v>0</v>
      </c>
      <c r="G35" s="79">
        <v>200</v>
      </c>
      <c r="H35" s="79">
        <v>0</v>
      </c>
      <c r="I35" s="79">
        <v>0.25</v>
      </c>
      <c r="J35" s="79">
        <v>5.4699999999999999E-2</v>
      </c>
      <c r="K35" s="33">
        <f t="shared" si="0"/>
        <v>0</v>
      </c>
      <c r="L35" s="49">
        <f t="shared" si="1"/>
        <v>0</v>
      </c>
      <c r="M35" s="49">
        <f t="shared" si="2"/>
        <v>2.7349999999999999</v>
      </c>
      <c r="N35" s="45">
        <f t="shared" si="3"/>
        <v>0</v>
      </c>
      <c r="O35" s="12"/>
      <c r="P35" s="2"/>
    </row>
    <row r="36" spans="1:16" x14ac:dyDescent="0.25">
      <c r="A36" s="2"/>
      <c r="B36" s="11"/>
      <c r="C36" s="80">
        <v>2024</v>
      </c>
      <c r="D36" s="81" t="s">
        <v>170</v>
      </c>
      <c r="E36" s="79">
        <v>0</v>
      </c>
      <c r="F36" s="79">
        <v>0</v>
      </c>
      <c r="G36" s="79">
        <v>0</v>
      </c>
      <c r="H36" s="79">
        <v>0</v>
      </c>
      <c r="I36" s="79">
        <v>0.25</v>
      </c>
      <c r="J36" s="79">
        <v>5.4699999999999999E-2</v>
      </c>
      <c r="K36" s="33">
        <f t="shared" si="0"/>
        <v>0</v>
      </c>
      <c r="L36" s="49">
        <f t="shared" si="1"/>
        <v>0</v>
      </c>
      <c r="M36" s="49">
        <f t="shared" si="2"/>
        <v>0</v>
      </c>
      <c r="N36" s="45">
        <f t="shared" si="3"/>
        <v>0</v>
      </c>
      <c r="O36" s="12"/>
      <c r="P36" s="2"/>
    </row>
    <row r="37" spans="1:16" x14ac:dyDescent="0.25">
      <c r="A37" s="2"/>
      <c r="B37" s="11"/>
      <c r="C37" s="80"/>
      <c r="D37" s="81"/>
      <c r="E37" s="82"/>
      <c r="F37" s="79"/>
      <c r="G37" s="79"/>
      <c r="H37" s="79"/>
      <c r="I37" s="82"/>
      <c r="J37" s="82"/>
      <c r="K37" s="33">
        <f t="shared" si="0"/>
        <v>0</v>
      </c>
      <c r="L37" s="49">
        <f t="shared" si="1"/>
        <v>0</v>
      </c>
      <c r="M37" s="49">
        <f t="shared" si="2"/>
        <v>0</v>
      </c>
      <c r="N37" s="45">
        <f t="shared" si="3"/>
        <v>0</v>
      </c>
      <c r="O37" s="12"/>
      <c r="P37" s="2"/>
    </row>
    <row r="38" spans="1:16" x14ac:dyDescent="0.25">
      <c r="A38" s="2"/>
      <c r="B38" s="11"/>
      <c r="C38" s="80"/>
      <c r="D38" s="81"/>
      <c r="E38" s="82"/>
      <c r="F38" s="79"/>
      <c r="G38" s="79"/>
      <c r="H38" s="79"/>
      <c r="I38" s="82"/>
      <c r="J38" s="82"/>
      <c r="K38" s="33">
        <f t="shared" si="0"/>
        <v>0</v>
      </c>
      <c r="L38" s="49">
        <f t="shared" si="1"/>
        <v>0</v>
      </c>
      <c r="M38" s="49">
        <f t="shared" si="2"/>
        <v>0</v>
      </c>
      <c r="N38" s="45">
        <f t="shared" si="3"/>
        <v>0</v>
      </c>
      <c r="O38" s="12"/>
      <c r="P38" s="2"/>
    </row>
    <row r="39" spans="1:16" x14ac:dyDescent="0.25">
      <c r="A39" s="2"/>
      <c r="B39" s="11"/>
      <c r="C39" s="80"/>
      <c r="D39" s="81"/>
      <c r="E39" s="82"/>
      <c r="F39" s="79"/>
      <c r="G39" s="79"/>
      <c r="H39" s="79"/>
      <c r="I39" s="82"/>
      <c r="J39" s="82"/>
      <c r="K39" s="33">
        <f t="shared" si="0"/>
        <v>0</v>
      </c>
      <c r="L39" s="49">
        <f t="shared" si="1"/>
        <v>0</v>
      </c>
      <c r="M39" s="49">
        <f t="shared" si="2"/>
        <v>0</v>
      </c>
      <c r="N39" s="45">
        <f t="shared" si="3"/>
        <v>0</v>
      </c>
      <c r="O39" s="12"/>
      <c r="P39" s="2"/>
    </row>
    <row r="40" spans="1:16" x14ac:dyDescent="0.25">
      <c r="A40" s="2"/>
      <c r="B40" s="11"/>
      <c r="C40" s="80"/>
      <c r="D40" s="81"/>
      <c r="E40" s="82"/>
      <c r="F40" s="79"/>
      <c r="G40" s="79"/>
      <c r="H40" s="79"/>
      <c r="I40" s="82"/>
      <c r="J40" s="82"/>
      <c r="K40" s="33">
        <f t="shared" si="0"/>
        <v>0</v>
      </c>
      <c r="L40" s="49">
        <f t="shared" si="1"/>
        <v>0</v>
      </c>
      <c r="M40" s="49">
        <f t="shared" si="2"/>
        <v>0</v>
      </c>
      <c r="N40" s="45">
        <f t="shared" si="3"/>
        <v>0</v>
      </c>
      <c r="O40" s="12"/>
      <c r="P40" s="2"/>
    </row>
    <row r="41" spans="1:16" x14ac:dyDescent="0.25">
      <c r="A41" s="2"/>
      <c r="B41" s="11"/>
      <c r="C41" s="80"/>
      <c r="D41" s="81"/>
      <c r="E41" s="82"/>
      <c r="F41" s="79"/>
      <c r="G41" s="79"/>
      <c r="H41" s="79"/>
      <c r="I41" s="82"/>
      <c r="J41" s="82"/>
      <c r="K41" s="33">
        <f t="shared" si="0"/>
        <v>0</v>
      </c>
      <c r="L41" s="49">
        <f t="shared" si="1"/>
        <v>0</v>
      </c>
      <c r="M41" s="49">
        <f t="shared" si="2"/>
        <v>0</v>
      </c>
      <c r="N41" s="45">
        <f t="shared" si="3"/>
        <v>0</v>
      </c>
      <c r="O41" s="12"/>
      <c r="P41" s="2"/>
    </row>
    <row r="42" spans="1:16" x14ac:dyDescent="0.25">
      <c r="A42" s="2"/>
      <c r="B42" s="11"/>
      <c r="C42" s="80"/>
      <c r="D42" s="81"/>
      <c r="E42" s="82"/>
      <c r="F42" s="79"/>
      <c r="G42" s="79"/>
      <c r="H42" s="79"/>
      <c r="I42" s="82"/>
      <c r="J42" s="82"/>
      <c r="K42" s="33">
        <f t="shared" si="0"/>
        <v>0</v>
      </c>
      <c r="L42" s="49">
        <f t="shared" si="1"/>
        <v>0</v>
      </c>
      <c r="M42" s="49">
        <f t="shared" si="2"/>
        <v>0</v>
      </c>
      <c r="N42" s="45">
        <f t="shared" si="3"/>
        <v>0</v>
      </c>
      <c r="O42" s="12"/>
      <c r="P42" s="2"/>
    </row>
    <row r="43" spans="1:16" x14ac:dyDescent="0.25">
      <c r="A43" s="2"/>
      <c r="B43" s="11"/>
      <c r="C43" s="80"/>
      <c r="D43" s="81"/>
      <c r="E43" s="82"/>
      <c r="F43" s="79"/>
      <c r="G43" s="79"/>
      <c r="H43" s="79"/>
      <c r="I43" s="82"/>
      <c r="J43" s="82"/>
      <c r="K43" s="33">
        <f t="shared" si="0"/>
        <v>0</v>
      </c>
      <c r="L43" s="49">
        <f t="shared" si="1"/>
        <v>0</v>
      </c>
      <c r="M43" s="49">
        <f t="shared" si="2"/>
        <v>0</v>
      </c>
      <c r="N43" s="45">
        <f t="shared" si="3"/>
        <v>0</v>
      </c>
      <c r="O43" s="12"/>
      <c r="P43" s="2"/>
    </row>
    <row r="44" spans="1:16" x14ac:dyDescent="0.25">
      <c r="A44" s="2"/>
      <c r="B44" s="11"/>
      <c r="C44" s="80"/>
      <c r="D44" s="81"/>
      <c r="E44" s="82"/>
      <c r="F44" s="79"/>
      <c r="G44" s="79"/>
      <c r="H44" s="79"/>
      <c r="I44" s="82"/>
      <c r="J44" s="82"/>
      <c r="K44" s="33">
        <f t="shared" si="0"/>
        <v>0</v>
      </c>
      <c r="L44" s="49">
        <f t="shared" si="1"/>
        <v>0</v>
      </c>
      <c r="M44" s="49">
        <f t="shared" si="2"/>
        <v>0</v>
      </c>
      <c r="N44" s="45">
        <f t="shared" si="3"/>
        <v>0</v>
      </c>
      <c r="O44" s="12"/>
      <c r="P44" s="2"/>
    </row>
    <row r="45" spans="1:16" x14ac:dyDescent="0.25">
      <c r="A45" s="2"/>
      <c r="B45" s="11"/>
      <c r="C45" s="80"/>
      <c r="D45" s="81"/>
      <c r="E45" s="82"/>
      <c r="F45" s="79"/>
      <c r="G45" s="79"/>
      <c r="H45" s="79"/>
      <c r="I45" s="82"/>
      <c r="J45" s="82"/>
      <c r="K45" s="33">
        <f t="shared" si="0"/>
        <v>0</v>
      </c>
      <c r="L45" s="49">
        <f t="shared" si="1"/>
        <v>0</v>
      </c>
      <c r="M45" s="49">
        <f t="shared" si="2"/>
        <v>0</v>
      </c>
      <c r="N45" s="45">
        <f t="shared" si="3"/>
        <v>0</v>
      </c>
      <c r="O45" s="12"/>
      <c r="P45" s="2"/>
    </row>
    <row r="46" spans="1:16" x14ac:dyDescent="0.25">
      <c r="A46" s="2"/>
      <c r="B46" s="11"/>
      <c r="C46" s="80"/>
      <c r="D46" s="81"/>
      <c r="E46" s="82"/>
      <c r="F46" s="79"/>
      <c r="G46" s="79"/>
      <c r="H46" s="79"/>
      <c r="I46" s="82"/>
      <c r="J46" s="82"/>
      <c r="K46" s="33">
        <f t="shared" si="0"/>
        <v>0</v>
      </c>
      <c r="L46" s="49">
        <f t="shared" si="1"/>
        <v>0</v>
      </c>
      <c r="M46" s="49">
        <f t="shared" si="2"/>
        <v>0</v>
      </c>
      <c r="N46" s="45">
        <f t="shared" si="3"/>
        <v>0</v>
      </c>
      <c r="O46" s="12"/>
      <c r="P46" s="2"/>
    </row>
    <row r="47" spans="1:16" x14ac:dyDescent="0.25">
      <c r="A47" s="2"/>
      <c r="B47" s="11"/>
      <c r="C47" s="80"/>
      <c r="D47" s="81"/>
      <c r="E47" s="82"/>
      <c r="F47" s="79"/>
      <c r="G47" s="79"/>
      <c r="H47" s="79"/>
      <c r="I47" s="82"/>
      <c r="J47" s="82"/>
      <c r="K47" s="33">
        <f t="shared" si="0"/>
        <v>0</v>
      </c>
      <c r="L47" s="49">
        <f t="shared" si="1"/>
        <v>0</v>
      </c>
      <c r="M47" s="49">
        <f t="shared" si="2"/>
        <v>0</v>
      </c>
      <c r="N47" s="45">
        <f t="shared" si="3"/>
        <v>0</v>
      </c>
      <c r="O47" s="12"/>
      <c r="P47" s="2"/>
    </row>
    <row r="48" spans="1:16" x14ac:dyDescent="0.25">
      <c r="A48" s="2"/>
      <c r="B48" s="11"/>
      <c r="C48" s="80"/>
      <c r="D48" s="81"/>
      <c r="E48" s="82"/>
      <c r="F48" s="79"/>
      <c r="G48" s="79"/>
      <c r="H48" s="79"/>
      <c r="I48" s="82"/>
      <c r="J48" s="82"/>
      <c r="K48" s="33">
        <f t="shared" si="0"/>
        <v>0</v>
      </c>
      <c r="L48" s="49">
        <f t="shared" si="1"/>
        <v>0</v>
      </c>
      <c r="M48" s="49">
        <f t="shared" si="2"/>
        <v>0</v>
      </c>
      <c r="N48" s="45">
        <f t="shared" si="3"/>
        <v>0</v>
      </c>
      <c r="O48" s="12"/>
      <c r="P48" s="2"/>
    </row>
    <row r="49" spans="1:16" x14ac:dyDescent="0.25">
      <c r="A49" s="2"/>
      <c r="B49" s="11"/>
      <c r="C49" s="80"/>
      <c r="D49" s="81"/>
      <c r="E49" s="82"/>
      <c r="F49" s="79"/>
      <c r="G49" s="79"/>
      <c r="H49" s="79"/>
      <c r="I49" s="82"/>
      <c r="J49" s="82"/>
      <c r="K49" s="33">
        <f t="shared" si="0"/>
        <v>0</v>
      </c>
      <c r="L49" s="49">
        <f t="shared" si="1"/>
        <v>0</v>
      </c>
      <c r="M49" s="49">
        <f t="shared" si="2"/>
        <v>0</v>
      </c>
      <c r="N49" s="45">
        <f t="shared" si="3"/>
        <v>0</v>
      </c>
      <c r="O49" s="12"/>
      <c r="P49" s="2"/>
    </row>
    <row r="50" spans="1:16" x14ac:dyDescent="0.25">
      <c r="A50" s="2"/>
      <c r="B50" s="11"/>
      <c r="C50" s="80"/>
      <c r="D50" s="81"/>
      <c r="E50" s="82"/>
      <c r="F50" s="79"/>
      <c r="G50" s="79"/>
      <c r="H50" s="79"/>
      <c r="I50" s="82"/>
      <c r="J50" s="82"/>
      <c r="K50" s="33">
        <f t="shared" si="0"/>
        <v>0</v>
      </c>
      <c r="L50" s="49">
        <f t="shared" si="1"/>
        <v>0</v>
      </c>
      <c r="M50" s="49">
        <f t="shared" si="2"/>
        <v>0</v>
      </c>
      <c r="N50" s="45">
        <f t="shared" si="3"/>
        <v>0</v>
      </c>
      <c r="O50" s="12"/>
      <c r="P50" s="2"/>
    </row>
    <row r="51" spans="1:16" x14ac:dyDescent="0.25">
      <c r="A51" s="2"/>
      <c r="B51" s="11"/>
      <c r="C51" s="80"/>
      <c r="D51" s="81"/>
      <c r="E51" s="82"/>
      <c r="F51" s="79"/>
      <c r="G51" s="79"/>
      <c r="H51" s="79"/>
      <c r="I51" s="82"/>
      <c r="J51" s="82"/>
      <c r="K51" s="33">
        <f t="shared" si="0"/>
        <v>0</v>
      </c>
      <c r="L51" s="49">
        <f t="shared" si="1"/>
        <v>0</v>
      </c>
      <c r="M51" s="49">
        <f t="shared" si="2"/>
        <v>0</v>
      </c>
      <c r="N51" s="45">
        <f t="shared" si="3"/>
        <v>0</v>
      </c>
      <c r="O51" s="12"/>
      <c r="P51" s="2"/>
    </row>
    <row r="52" spans="1:16" x14ac:dyDescent="0.25">
      <c r="A52" s="2"/>
      <c r="B52" s="11"/>
      <c r="C52" s="80"/>
      <c r="D52" s="81"/>
      <c r="E52" s="82"/>
      <c r="F52" s="79"/>
      <c r="G52" s="79"/>
      <c r="H52" s="79"/>
      <c r="I52" s="82"/>
      <c r="J52" s="82"/>
      <c r="K52" s="33">
        <f t="shared" si="0"/>
        <v>0</v>
      </c>
      <c r="L52" s="49">
        <f t="shared" si="1"/>
        <v>0</v>
      </c>
      <c r="M52" s="49">
        <f t="shared" si="2"/>
        <v>0</v>
      </c>
      <c r="N52" s="45">
        <f t="shared" si="3"/>
        <v>0</v>
      </c>
      <c r="O52" s="12"/>
      <c r="P52" s="2"/>
    </row>
    <row r="53" spans="1:16" x14ac:dyDescent="0.25">
      <c r="A53" s="2"/>
      <c r="B53" s="11"/>
      <c r="C53" s="80"/>
      <c r="D53" s="81"/>
      <c r="E53" s="82"/>
      <c r="F53" s="79"/>
      <c r="G53" s="79"/>
      <c r="H53" s="79"/>
      <c r="I53" s="82"/>
      <c r="J53" s="82"/>
      <c r="K53" s="33">
        <f t="shared" si="0"/>
        <v>0</v>
      </c>
      <c r="L53" s="49">
        <f t="shared" si="1"/>
        <v>0</v>
      </c>
      <c r="M53" s="49">
        <f t="shared" si="2"/>
        <v>0</v>
      </c>
      <c r="N53" s="45">
        <f t="shared" si="3"/>
        <v>0</v>
      </c>
      <c r="O53" s="12"/>
      <c r="P53" s="2"/>
    </row>
    <row r="54" spans="1:16" x14ac:dyDescent="0.25">
      <c r="A54" s="2"/>
      <c r="B54" s="11"/>
      <c r="C54" s="80"/>
      <c r="D54" s="81"/>
      <c r="E54" s="82"/>
      <c r="F54" s="79"/>
      <c r="G54" s="79"/>
      <c r="H54" s="79"/>
      <c r="I54" s="82"/>
      <c r="J54" s="82"/>
      <c r="K54" s="33">
        <f t="shared" si="0"/>
        <v>0</v>
      </c>
      <c r="L54" s="49">
        <f t="shared" si="1"/>
        <v>0</v>
      </c>
      <c r="M54" s="49">
        <f t="shared" si="2"/>
        <v>0</v>
      </c>
      <c r="N54" s="45">
        <f t="shared" si="3"/>
        <v>0</v>
      </c>
      <c r="O54" s="12"/>
      <c r="P54" s="2"/>
    </row>
    <row r="55" spans="1:16" x14ac:dyDescent="0.25">
      <c r="A55" s="2"/>
      <c r="B55" s="11"/>
      <c r="C55" s="80"/>
      <c r="D55" s="81"/>
      <c r="E55" s="82"/>
      <c r="F55" s="79"/>
      <c r="G55" s="79"/>
      <c r="H55" s="79"/>
      <c r="I55" s="82"/>
      <c r="J55" s="82"/>
      <c r="K55" s="33">
        <f t="shared" si="0"/>
        <v>0</v>
      </c>
      <c r="L55" s="49">
        <f t="shared" si="1"/>
        <v>0</v>
      </c>
      <c r="M55" s="49">
        <f t="shared" si="2"/>
        <v>0</v>
      </c>
      <c r="N55" s="45">
        <f t="shared" si="3"/>
        <v>0</v>
      </c>
      <c r="O55" s="12"/>
      <c r="P55" s="2"/>
    </row>
    <row r="56" spans="1:16" x14ac:dyDescent="0.25">
      <c r="A56" s="2"/>
      <c r="B56" s="11"/>
      <c r="C56" s="80"/>
      <c r="D56" s="81"/>
      <c r="E56" s="82"/>
      <c r="F56" s="79"/>
      <c r="G56" s="79"/>
      <c r="H56" s="79"/>
      <c r="I56" s="82"/>
      <c r="J56" s="82"/>
      <c r="K56" s="33">
        <f t="shared" si="0"/>
        <v>0</v>
      </c>
      <c r="L56" s="49">
        <f t="shared" si="1"/>
        <v>0</v>
      </c>
      <c r="M56" s="49">
        <f t="shared" si="2"/>
        <v>0</v>
      </c>
      <c r="N56" s="45">
        <f t="shared" si="3"/>
        <v>0</v>
      </c>
      <c r="O56" s="12"/>
      <c r="P56" s="2"/>
    </row>
    <row r="57" spans="1:16" x14ac:dyDescent="0.25">
      <c r="A57" s="2"/>
      <c r="B57" s="11"/>
      <c r="C57" s="80"/>
      <c r="D57" s="81"/>
      <c r="E57" s="82"/>
      <c r="F57" s="79"/>
      <c r="G57" s="79"/>
      <c r="H57" s="79"/>
      <c r="I57" s="82"/>
      <c r="J57" s="82"/>
      <c r="K57" s="33">
        <f t="shared" si="0"/>
        <v>0</v>
      </c>
      <c r="L57" s="49">
        <f t="shared" si="1"/>
        <v>0</v>
      </c>
      <c r="M57" s="49">
        <f t="shared" si="2"/>
        <v>0</v>
      </c>
      <c r="N57" s="45">
        <f t="shared" si="3"/>
        <v>0</v>
      </c>
      <c r="O57" s="12"/>
      <c r="P57" s="2"/>
    </row>
    <row r="58" spans="1:16" x14ac:dyDescent="0.25">
      <c r="A58" s="2"/>
      <c r="B58" s="11"/>
      <c r="C58" s="80"/>
      <c r="D58" s="81"/>
      <c r="E58" s="82"/>
      <c r="F58" s="79"/>
      <c r="G58" s="79"/>
      <c r="H58" s="79"/>
      <c r="I58" s="82"/>
      <c r="J58" s="82"/>
      <c r="K58" s="33">
        <f t="shared" si="0"/>
        <v>0</v>
      </c>
      <c r="L58" s="49">
        <f t="shared" si="1"/>
        <v>0</v>
      </c>
      <c r="M58" s="49">
        <f t="shared" si="2"/>
        <v>0</v>
      </c>
      <c r="N58" s="45">
        <f t="shared" si="3"/>
        <v>0</v>
      </c>
      <c r="O58" s="12"/>
      <c r="P58" s="2"/>
    </row>
    <row r="59" spans="1:16" x14ac:dyDescent="0.25">
      <c r="A59" s="2"/>
      <c r="B59" s="11"/>
      <c r="C59" s="80"/>
      <c r="D59" s="81"/>
      <c r="E59" s="82"/>
      <c r="F59" s="79"/>
      <c r="G59" s="79"/>
      <c r="H59" s="79"/>
      <c r="I59" s="82"/>
      <c r="J59" s="82"/>
      <c r="K59" s="33">
        <f t="shared" si="0"/>
        <v>0</v>
      </c>
      <c r="L59" s="49">
        <f t="shared" si="1"/>
        <v>0</v>
      </c>
      <c r="M59" s="49">
        <f t="shared" si="2"/>
        <v>0</v>
      </c>
      <c r="N59" s="45">
        <f t="shared" si="3"/>
        <v>0</v>
      </c>
      <c r="O59" s="12"/>
      <c r="P59" s="2"/>
    </row>
    <row r="60" spans="1:16" x14ac:dyDescent="0.25">
      <c r="A60" s="2"/>
      <c r="B60" s="11"/>
      <c r="C60" s="80"/>
      <c r="D60" s="81"/>
      <c r="E60" s="82"/>
      <c r="F60" s="79"/>
      <c r="G60" s="79"/>
      <c r="H60" s="79"/>
      <c r="I60" s="82"/>
      <c r="J60" s="82"/>
      <c r="K60" s="33">
        <f t="shared" si="0"/>
        <v>0</v>
      </c>
      <c r="L60" s="49">
        <f t="shared" si="1"/>
        <v>0</v>
      </c>
      <c r="M60" s="49">
        <f t="shared" si="2"/>
        <v>0</v>
      </c>
      <c r="N60" s="45">
        <f t="shared" si="3"/>
        <v>0</v>
      </c>
      <c r="O60" s="12"/>
      <c r="P60" s="2"/>
    </row>
    <row r="61" spans="1:16" x14ac:dyDescent="0.25">
      <c r="A61" s="2"/>
      <c r="B61" s="11"/>
      <c r="C61" s="80"/>
      <c r="D61" s="81"/>
      <c r="E61" s="82"/>
      <c r="F61" s="79"/>
      <c r="G61" s="79"/>
      <c r="H61" s="79"/>
      <c r="I61" s="82"/>
      <c r="J61" s="82"/>
      <c r="K61" s="33">
        <f t="shared" si="0"/>
        <v>0</v>
      </c>
      <c r="L61" s="49">
        <f t="shared" si="1"/>
        <v>0</v>
      </c>
      <c r="M61" s="49">
        <f t="shared" si="2"/>
        <v>0</v>
      </c>
      <c r="N61" s="45">
        <f t="shared" si="3"/>
        <v>0</v>
      </c>
      <c r="O61" s="12"/>
      <c r="P61" s="2"/>
    </row>
    <row r="62" spans="1:16" x14ac:dyDescent="0.25">
      <c r="A62" s="2"/>
      <c r="B62" s="11"/>
      <c r="C62" s="80"/>
      <c r="D62" s="81"/>
      <c r="E62" s="82"/>
      <c r="F62" s="79"/>
      <c r="G62" s="79"/>
      <c r="H62" s="79"/>
      <c r="I62" s="82"/>
      <c r="J62" s="82"/>
      <c r="K62" s="33">
        <f t="shared" si="0"/>
        <v>0</v>
      </c>
      <c r="L62" s="49">
        <f t="shared" si="1"/>
        <v>0</v>
      </c>
      <c r="M62" s="49">
        <f t="shared" si="2"/>
        <v>0</v>
      </c>
      <c r="N62" s="45">
        <f t="shared" si="3"/>
        <v>0</v>
      </c>
      <c r="O62" s="12"/>
      <c r="P62" s="2"/>
    </row>
    <row r="63" spans="1:16" x14ac:dyDescent="0.25">
      <c r="A63" s="2"/>
      <c r="B63" s="11"/>
      <c r="C63" s="80"/>
      <c r="D63" s="81"/>
      <c r="E63" s="82"/>
      <c r="F63" s="79"/>
      <c r="G63" s="79"/>
      <c r="H63" s="79"/>
      <c r="I63" s="82"/>
      <c r="J63" s="82"/>
      <c r="K63" s="33">
        <f t="shared" si="0"/>
        <v>0</v>
      </c>
      <c r="L63" s="49">
        <f t="shared" si="1"/>
        <v>0</v>
      </c>
      <c r="M63" s="49">
        <f t="shared" si="2"/>
        <v>0</v>
      </c>
      <c r="N63" s="45">
        <f t="shared" si="3"/>
        <v>0</v>
      </c>
      <c r="O63" s="12"/>
      <c r="P63" s="2"/>
    </row>
    <row r="64" spans="1:16" x14ac:dyDescent="0.25">
      <c r="A64" s="2"/>
      <c r="B64" s="11"/>
      <c r="C64" s="80"/>
      <c r="D64" s="81"/>
      <c r="E64" s="82"/>
      <c r="F64" s="79"/>
      <c r="G64" s="79"/>
      <c r="H64" s="79"/>
      <c r="I64" s="82"/>
      <c r="J64" s="82"/>
      <c r="K64" s="33">
        <f t="shared" si="0"/>
        <v>0</v>
      </c>
      <c r="L64" s="49">
        <f t="shared" si="1"/>
        <v>0</v>
      </c>
      <c r="M64" s="49">
        <f t="shared" si="2"/>
        <v>0</v>
      </c>
      <c r="N64" s="45">
        <f t="shared" si="3"/>
        <v>0</v>
      </c>
      <c r="O64" s="12"/>
      <c r="P64" s="2"/>
    </row>
    <row r="65" spans="1:16" x14ac:dyDescent="0.25">
      <c r="A65" s="2"/>
      <c r="B65" s="11"/>
      <c r="C65" s="80"/>
      <c r="D65" s="81"/>
      <c r="E65" s="82"/>
      <c r="F65" s="79"/>
      <c r="G65" s="79"/>
      <c r="H65" s="79"/>
      <c r="I65" s="82"/>
      <c r="J65" s="82"/>
      <c r="K65" s="33">
        <f t="shared" si="0"/>
        <v>0</v>
      </c>
      <c r="L65" s="49">
        <f t="shared" si="1"/>
        <v>0</v>
      </c>
      <c r="M65" s="49">
        <f t="shared" si="2"/>
        <v>0</v>
      </c>
      <c r="N65" s="45">
        <f t="shared" si="3"/>
        <v>0</v>
      </c>
      <c r="O65" s="12"/>
      <c r="P65" s="2"/>
    </row>
    <row r="66" spans="1:16" x14ac:dyDescent="0.25">
      <c r="A66" s="2"/>
      <c r="B66" s="11"/>
      <c r="C66" s="80"/>
      <c r="D66" s="81"/>
      <c r="E66" s="82"/>
      <c r="F66" s="79"/>
      <c r="G66" s="79"/>
      <c r="H66" s="79"/>
      <c r="I66" s="82"/>
      <c r="J66" s="82"/>
      <c r="K66" s="33">
        <f t="shared" si="0"/>
        <v>0</v>
      </c>
      <c r="L66" s="49">
        <f t="shared" si="1"/>
        <v>0</v>
      </c>
      <c r="M66" s="49">
        <f t="shared" si="2"/>
        <v>0</v>
      </c>
      <c r="N66" s="45">
        <f t="shared" si="3"/>
        <v>0</v>
      </c>
      <c r="O66" s="12"/>
      <c r="P66" s="2"/>
    </row>
    <row r="67" spans="1:16" x14ac:dyDescent="0.25">
      <c r="A67" s="2"/>
      <c r="B67" s="11"/>
      <c r="C67" s="80"/>
      <c r="D67" s="81"/>
      <c r="E67" s="82"/>
      <c r="F67" s="79"/>
      <c r="G67" s="79"/>
      <c r="H67" s="79"/>
      <c r="I67" s="82"/>
      <c r="J67" s="82"/>
      <c r="K67" s="33">
        <f t="shared" si="0"/>
        <v>0</v>
      </c>
      <c r="L67" s="49">
        <f t="shared" si="1"/>
        <v>0</v>
      </c>
      <c r="M67" s="49">
        <f t="shared" si="2"/>
        <v>0</v>
      </c>
      <c r="N67" s="45">
        <f t="shared" si="3"/>
        <v>0</v>
      </c>
      <c r="O67" s="12"/>
      <c r="P67" s="2"/>
    </row>
    <row r="68" spans="1:16" x14ac:dyDescent="0.25">
      <c r="A68" s="2"/>
      <c r="B68" s="11"/>
      <c r="C68" s="80"/>
      <c r="D68" s="81"/>
      <c r="E68" s="82"/>
      <c r="F68" s="79"/>
      <c r="G68" s="79"/>
      <c r="H68" s="79"/>
      <c r="I68" s="82"/>
      <c r="J68" s="82"/>
      <c r="K68" s="33">
        <f t="shared" si="0"/>
        <v>0</v>
      </c>
      <c r="L68" s="49">
        <f t="shared" si="1"/>
        <v>0</v>
      </c>
      <c r="M68" s="49">
        <f t="shared" si="2"/>
        <v>0</v>
      </c>
      <c r="N68" s="45">
        <f t="shared" si="3"/>
        <v>0</v>
      </c>
      <c r="O68" s="12"/>
      <c r="P68" s="2"/>
    </row>
    <row r="69" spans="1:16" x14ac:dyDescent="0.25">
      <c r="A69" s="2"/>
      <c r="B69" s="11"/>
      <c r="C69" s="80"/>
      <c r="D69" s="81"/>
      <c r="E69" s="82"/>
      <c r="F69" s="79"/>
      <c r="G69" s="79"/>
      <c r="H69" s="79"/>
      <c r="I69" s="82"/>
      <c r="J69" s="82"/>
      <c r="K69" s="33">
        <f t="shared" si="0"/>
        <v>0</v>
      </c>
      <c r="L69" s="49">
        <f t="shared" si="1"/>
        <v>0</v>
      </c>
      <c r="M69" s="49">
        <f t="shared" si="2"/>
        <v>0</v>
      </c>
      <c r="N69" s="45">
        <f t="shared" si="3"/>
        <v>0</v>
      </c>
      <c r="O69" s="12"/>
      <c r="P69" s="2"/>
    </row>
    <row r="70" spans="1:16" x14ac:dyDescent="0.25">
      <c r="A70" s="2"/>
      <c r="B70" s="11"/>
      <c r="C70" s="80"/>
      <c r="D70" s="81"/>
      <c r="E70" s="82"/>
      <c r="F70" s="79"/>
      <c r="G70" s="79"/>
      <c r="H70" s="79"/>
      <c r="I70" s="82"/>
      <c r="J70" s="82"/>
      <c r="K70" s="33">
        <f t="shared" si="0"/>
        <v>0</v>
      </c>
      <c r="L70" s="49">
        <f t="shared" si="1"/>
        <v>0</v>
      </c>
      <c r="M70" s="49">
        <f t="shared" si="2"/>
        <v>0</v>
      </c>
      <c r="N70" s="45">
        <f t="shared" si="3"/>
        <v>0</v>
      </c>
      <c r="O70" s="12"/>
      <c r="P70" s="2"/>
    </row>
    <row r="71" spans="1:16" x14ac:dyDescent="0.25">
      <c r="A71" s="2"/>
      <c r="B71" s="11"/>
      <c r="C71" s="80"/>
      <c r="D71" s="81"/>
      <c r="E71" s="82"/>
      <c r="F71" s="79"/>
      <c r="G71" s="79"/>
      <c r="H71" s="79"/>
      <c r="I71" s="82"/>
      <c r="J71" s="82"/>
      <c r="K71" s="33">
        <f t="shared" si="0"/>
        <v>0</v>
      </c>
      <c r="L71" s="49">
        <f t="shared" si="1"/>
        <v>0</v>
      </c>
      <c r="M71" s="49">
        <f t="shared" si="2"/>
        <v>0</v>
      </c>
      <c r="N71" s="45">
        <f t="shared" si="3"/>
        <v>0</v>
      </c>
      <c r="O71" s="12"/>
      <c r="P71" s="2"/>
    </row>
    <row r="72" spans="1:16" x14ac:dyDescent="0.25">
      <c r="A72" s="2"/>
      <c r="B72" s="11"/>
      <c r="C72" s="80"/>
      <c r="D72" s="81"/>
      <c r="E72" s="82"/>
      <c r="F72" s="79"/>
      <c r="G72" s="79"/>
      <c r="H72" s="79"/>
      <c r="I72" s="82"/>
      <c r="J72" s="82"/>
      <c r="K72" s="33">
        <f t="shared" si="0"/>
        <v>0</v>
      </c>
      <c r="L72" s="49">
        <f t="shared" si="1"/>
        <v>0</v>
      </c>
      <c r="M72" s="49">
        <f t="shared" si="2"/>
        <v>0</v>
      </c>
      <c r="N72" s="45">
        <f t="shared" si="3"/>
        <v>0</v>
      </c>
      <c r="O72" s="12"/>
      <c r="P72" s="2"/>
    </row>
    <row r="73" spans="1:16" x14ac:dyDescent="0.25">
      <c r="A73" s="2"/>
      <c r="B73" s="11"/>
      <c r="C73" s="80"/>
      <c r="D73" s="81"/>
      <c r="E73" s="82"/>
      <c r="F73" s="79"/>
      <c r="G73" s="79"/>
      <c r="H73" s="79"/>
      <c r="I73" s="82"/>
      <c r="J73" s="82"/>
      <c r="K73" s="33">
        <f t="shared" si="0"/>
        <v>0</v>
      </c>
      <c r="L73" s="49">
        <f t="shared" si="1"/>
        <v>0</v>
      </c>
      <c r="M73" s="49">
        <f t="shared" si="2"/>
        <v>0</v>
      </c>
      <c r="N73" s="45">
        <f t="shared" si="3"/>
        <v>0</v>
      </c>
      <c r="O73" s="12"/>
      <c r="P73" s="2"/>
    </row>
    <row r="74" spans="1:16" x14ac:dyDescent="0.25">
      <c r="A74" s="2"/>
      <c r="B74" s="11"/>
      <c r="C74" s="80"/>
      <c r="D74" s="81"/>
      <c r="E74" s="82"/>
      <c r="F74" s="79"/>
      <c r="G74" s="79"/>
      <c r="H74" s="79"/>
      <c r="I74" s="82"/>
      <c r="J74" s="82"/>
      <c r="K74" s="33">
        <f>E74*I74*J74</f>
        <v>0</v>
      </c>
      <c r="L74" s="49">
        <f t="shared" si="1"/>
        <v>0</v>
      </c>
      <c r="M74" s="49">
        <f t="shared" si="2"/>
        <v>0</v>
      </c>
      <c r="N74" s="45">
        <f t="shared" si="3"/>
        <v>0</v>
      </c>
      <c r="O74" s="12"/>
      <c r="P74" s="2"/>
    </row>
    <row r="75" spans="1:16" x14ac:dyDescent="0.25">
      <c r="A75" s="2"/>
      <c r="B75" s="11"/>
      <c r="C75" s="80"/>
      <c r="D75" s="81"/>
      <c r="E75" s="82"/>
      <c r="F75" s="79"/>
      <c r="G75" s="79"/>
      <c r="H75" s="79"/>
      <c r="I75" s="82"/>
      <c r="J75" s="82"/>
      <c r="K75" s="33">
        <f t="shared" si="0"/>
        <v>0</v>
      </c>
      <c r="L75" s="49">
        <f t="shared" si="1"/>
        <v>0</v>
      </c>
      <c r="M75" s="49">
        <f t="shared" si="2"/>
        <v>0</v>
      </c>
      <c r="N75" s="45">
        <f t="shared" si="3"/>
        <v>0</v>
      </c>
      <c r="O75" s="12"/>
      <c r="P75" s="2"/>
    </row>
    <row r="76" spans="1:16" x14ac:dyDescent="0.25">
      <c r="A76" s="2"/>
      <c r="B76" s="11"/>
      <c r="C76" s="80"/>
      <c r="D76" s="81"/>
      <c r="E76" s="82"/>
      <c r="F76" s="79"/>
      <c r="G76" s="79"/>
      <c r="H76" s="79"/>
      <c r="I76" s="82"/>
      <c r="J76" s="82"/>
      <c r="K76" s="33">
        <f t="shared" si="0"/>
        <v>0</v>
      </c>
      <c r="L76" s="49">
        <f t="shared" si="1"/>
        <v>0</v>
      </c>
      <c r="M76" s="49">
        <f t="shared" si="2"/>
        <v>0</v>
      </c>
      <c r="N76" s="45">
        <f t="shared" si="3"/>
        <v>0</v>
      </c>
      <c r="O76" s="12"/>
      <c r="P76" s="2"/>
    </row>
    <row r="77" spans="1:16" x14ac:dyDescent="0.25">
      <c r="A77" s="2"/>
      <c r="B77" s="11"/>
      <c r="C77" s="80"/>
      <c r="D77" s="81"/>
      <c r="E77" s="82"/>
      <c r="F77" s="79"/>
      <c r="G77" s="79"/>
      <c r="H77" s="79"/>
      <c r="I77" s="82"/>
      <c r="J77" s="82"/>
      <c r="K77" s="33">
        <f t="shared" si="0"/>
        <v>0</v>
      </c>
      <c r="L77" s="49">
        <f t="shared" si="1"/>
        <v>0</v>
      </c>
      <c r="M77" s="49">
        <f t="shared" si="2"/>
        <v>0</v>
      </c>
      <c r="N77" s="45">
        <f t="shared" si="3"/>
        <v>0</v>
      </c>
      <c r="O77" s="12"/>
      <c r="P77" s="2"/>
    </row>
    <row r="78" spans="1:16" x14ac:dyDescent="0.25">
      <c r="A78" s="2"/>
      <c r="B78" s="11"/>
      <c r="C78" s="80"/>
      <c r="D78" s="81"/>
      <c r="E78" s="82"/>
      <c r="F78" s="79"/>
      <c r="G78" s="79"/>
      <c r="H78" s="79"/>
      <c r="I78" s="82"/>
      <c r="J78" s="82"/>
      <c r="K78" s="33">
        <f t="shared" si="0"/>
        <v>0</v>
      </c>
      <c r="L78" s="49">
        <f t="shared" si="1"/>
        <v>0</v>
      </c>
      <c r="M78" s="49">
        <f t="shared" si="2"/>
        <v>0</v>
      </c>
      <c r="N78" s="45">
        <f t="shared" si="3"/>
        <v>0</v>
      </c>
      <c r="O78" s="12"/>
      <c r="P78" s="2"/>
    </row>
    <row r="79" spans="1:16" x14ac:dyDescent="0.25">
      <c r="A79" s="2"/>
      <c r="B79" s="11"/>
      <c r="C79" s="80"/>
      <c r="D79" s="81"/>
      <c r="E79" s="82"/>
      <c r="F79" s="79"/>
      <c r="G79" s="79"/>
      <c r="H79" s="79"/>
      <c r="I79" s="82"/>
      <c r="J79" s="82"/>
      <c r="K79" s="33">
        <f t="shared" si="0"/>
        <v>0</v>
      </c>
      <c r="L79" s="49">
        <f t="shared" si="1"/>
        <v>0</v>
      </c>
      <c r="M79" s="49">
        <f t="shared" si="2"/>
        <v>0</v>
      </c>
      <c r="N79" s="45">
        <f t="shared" si="3"/>
        <v>0</v>
      </c>
      <c r="O79" s="12"/>
      <c r="P79" s="2"/>
    </row>
    <row r="80" spans="1:16" x14ac:dyDescent="0.25">
      <c r="A80" s="2"/>
      <c r="B80" s="11"/>
      <c r="C80" s="80"/>
      <c r="D80" s="81"/>
      <c r="E80" s="82"/>
      <c r="F80" s="79"/>
      <c r="G80" s="79"/>
      <c r="H80" s="79"/>
      <c r="I80" s="82"/>
      <c r="J80" s="82"/>
      <c r="K80" s="33">
        <f t="shared" si="0"/>
        <v>0</v>
      </c>
      <c r="L80" s="49">
        <f t="shared" si="1"/>
        <v>0</v>
      </c>
      <c r="M80" s="49">
        <f t="shared" si="2"/>
        <v>0</v>
      </c>
      <c r="N80" s="45">
        <f t="shared" si="3"/>
        <v>0</v>
      </c>
      <c r="O80" s="12"/>
      <c r="P80" s="2"/>
    </row>
    <row r="81" spans="1:16" x14ac:dyDescent="0.25">
      <c r="A81" s="2"/>
      <c r="B81" s="11"/>
      <c r="C81" s="80"/>
      <c r="D81" s="81"/>
      <c r="E81" s="82"/>
      <c r="F81" s="79"/>
      <c r="G81" s="79"/>
      <c r="H81" s="79"/>
      <c r="I81" s="82"/>
      <c r="J81" s="82"/>
      <c r="K81" s="33">
        <f t="shared" si="0"/>
        <v>0</v>
      </c>
      <c r="L81" s="49">
        <f t="shared" si="1"/>
        <v>0</v>
      </c>
      <c r="M81" s="49">
        <f t="shared" si="2"/>
        <v>0</v>
      </c>
      <c r="N81" s="45">
        <f t="shared" si="3"/>
        <v>0</v>
      </c>
      <c r="O81" s="12"/>
      <c r="P81" s="2"/>
    </row>
    <row r="82" spans="1:16" x14ac:dyDescent="0.25">
      <c r="A82" s="2"/>
      <c r="B82" s="11"/>
      <c r="C82" s="80"/>
      <c r="D82" s="81"/>
      <c r="E82" s="82"/>
      <c r="F82" s="79"/>
      <c r="G82" s="79"/>
      <c r="H82" s="79"/>
      <c r="I82" s="82"/>
      <c r="J82" s="82"/>
      <c r="K82" s="33">
        <f t="shared" si="0"/>
        <v>0</v>
      </c>
      <c r="L82" s="49">
        <f t="shared" si="1"/>
        <v>0</v>
      </c>
      <c r="M82" s="49">
        <f t="shared" si="2"/>
        <v>0</v>
      </c>
      <c r="N82" s="45">
        <f t="shared" si="3"/>
        <v>0</v>
      </c>
      <c r="O82" s="12"/>
      <c r="P82" s="2"/>
    </row>
    <row r="83" spans="1:16" x14ac:dyDescent="0.25">
      <c r="A83" s="2"/>
      <c r="B83" s="11"/>
      <c r="C83" s="80"/>
      <c r="D83" s="81"/>
      <c r="E83" s="82"/>
      <c r="F83" s="79"/>
      <c r="G83" s="79"/>
      <c r="H83" s="79"/>
      <c r="I83" s="82"/>
      <c r="J83" s="82"/>
      <c r="K83" s="33">
        <f t="shared" si="0"/>
        <v>0</v>
      </c>
      <c r="L83" s="49">
        <f t="shared" si="1"/>
        <v>0</v>
      </c>
      <c r="M83" s="49">
        <f t="shared" si="2"/>
        <v>0</v>
      </c>
      <c r="N83" s="45">
        <f t="shared" si="3"/>
        <v>0</v>
      </c>
      <c r="O83" s="12"/>
      <c r="P83" s="2"/>
    </row>
    <row r="84" spans="1:16" x14ac:dyDescent="0.25">
      <c r="A84" s="2"/>
      <c r="B84" s="11"/>
      <c r="C84" s="83"/>
      <c r="D84" s="84"/>
      <c r="E84" s="82"/>
      <c r="F84" s="79"/>
      <c r="G84" s="79"/>
      <c r="H84" s="79"/>
      <c r="I84" s="82"/>
      <c r="J84" s="82"/>
      <c r="K84" s="33">
        <f t="shared" si="0"/>
        <v>0</v>
      </c>
      <c r="L84" s="49">
        <f t="shared" si="1"/>
        <v>0</v>
      </c>
      <c r="M84" s="49">
        <f t="shared" si="2"/>
        <v>0</v>
      </c>
      <c r="N84" s="45">
        <f t="shared" si="3"/>
        <v>0</v>
      </c>
      <c r="O84" s="12"/>
      <c r="P84" s="2"/>
    </row>
    <row r="85" spans="1:16" x14ac:dyDescent="0.25">
      <c r="A85" s="2"/>
      <c r="B85" s="11"/>
      <c r="C85" s="83"/>
      <c r="D85" s="84"/>
      <c r="E85" s="82"/>
      <c r="F85" s="79"/>
      <c r="G85" s="79"/>
      <c r="H85" s="79"/>
      <c r="I85" s="82"/>
      <c r="J85" s="82"/>
      <c r="K85" s="33">
        <f t="shared" si="0"/>
        <v>0</v>
      </c>
      <c r="L85" s="49">
        <f t="shared" si="1"/>
        <v>0</v>
      </c>
      <c r="M85" s="49">
        <f t="shared" si="2"/>
        <v>0</v>
      </c>
      <c r="N85" s="45">
        <f t="shared" si="3"/>
        <v>0</v>
      </c>
      <c r="O85" s="12"/>
      <c r="P85" s="2"/>
    </row>
    <row r="86" spans="1:16" x14ac:dyDescent="0.25">
      <c r="A86" s="2"/>
      <c r="B86" s="11"/>
      <c r="C86" s="83"/>
      <c r="D86" s="84"/>
      <c r="E86" s="82"/>
      <c r="F86" s="79"/>
      <c r="G86" s="79"/>
      <c r="H86" s="79"/>
      <c r="I86" s="82"/>
      <c r="J86" s="82"/>
      <c r="K86" s="33">
        <f t="shared" si="0"/>
        <v>0</v>
      </c>
      <c r="L86" s="49">
        <f t="shared" si="1"/>
        <v>0</v>
      </c>
      <c r="M86" s="49">
        <f t="shared" si="2"/>
        <v>0</v>
      </c>
      <c r="N86" s="45">
        <f t="shared" si="3"/>
        <v>0</v>
      </c>
      <c r="O86" s="12"/>
      <c r="P86" s="2"/>
    </row>
    <row r="87" spans="1:16" x14ac:dyDescent="0.25">
      <c r="A87" s="2"/>
      <c r="B87" s="11"/>
      <c r="C87" s="83"/>
      <c r="D87" s="84"/>
      <c r="E87" s="82"/>
      <c r="F87" s="79"/>
      <c r="G87" s="79"/>
      <c r="H87" s="79"/>
      <c r="I87" s="82"/>
      <c r="J87" s="82"/>
      <c r="K87" s="33">
        <f t="shared" si="0"/>
        <v>0</v>
      </c>
      <c r="L87" s="49">
        <f t="shared" si="1"/>
        <v>0</v>
      </c>
      <c r="M87" s="49">
        <f t="shared" si="2"/>
        <v>0</v>
      </c>
      <c r="N87" s="45">
        <f t="shared" si="3"/>
        <v>0</v>
      </c>
      <c r="O87" s="12"/>
      <c r="P87" s="2"/>
    </row>
    <row r="88" spans="1:16" x14ac:dyDescent="0.25">
      <c r="A88" s="2"/>
      <c r="B88" s="11"/>
      <c r="C88" s="83"/>
      <c r="D88" s="84"/>
      <c r="E88" s="82"/>
      <c r="F88" s="79"/>
      <c r="G88" s="79"/>
      <c r="H88" s="79"/>
      <c r="I88" s="82"/>
      <c r="J88" s="82"/>
      <c r="K88" s="33">
        <f t="shared" si="0"/>
        <v>0</v>
      </c>
      <c r="L88" s="49">
        <f t="shared" si="1"/>
        <v>0</v>
      </c>
      <c r="M88" s="49">
        <f t="shared" si="2"/>
        <v>0</v>
      </c>
      <c r="N88" s="45">
        <f t="shared" si="3"/>
        <v>0</v>
      </c>
      <c r="O88" s="12"/>
      <c r="P88" s="2"/>
    </row>
    <row r="89" spans="1:16" x14ac:dyDescent="0.25">
      <c r="A89" s="2"/>
      <c r="B89" s="11"/>
      <c r="C89" s="83"/>
      <c r="D89" s="84"/>
      <c r="E89" s="82"/>
      <c r="F89" s="79"/>
      <c r="G89" s="79"/>
      <c r="H89" s="79"/>
      <c r="I89" s="82"/>
      <c r="J89" s="82"/>
      <c r="K89" s="33">
        <f t="shared" si="0"/>
        <v>0</v>
      </c>
      <c r="L89" s="49">
        <f t="shared" si="1"/>
        <v>0</v>
      </c>
      <c r="M89" s="49">
        <f t="shared" si="2"/>
        <v>0</v>
      </c>
      <c r="N89" s="45">
        <f t="shared" si="3"/>
        <v>0</v>
      </c>
      <c r="O89" s="12"/>
      <c r="P89" s="2"/>
    </row>
    <row r="90" spans="1:16" ht="15.75" thickBot="1" x14ac:dyDescent="0.3">
      <c r="A90" s="2"/>
      <c r="B90" s="11"/>
      <c r="C90" s="86"/>
      <c r="D90" s="87"/>
      <c r="E90" s="89"/>
      <c r="F90" s="89"/>
      <c r="G90" s="89"/>
      <c r="H90" s="89"/>
      <c r="I90" s="89"/>
      <c r="J90" s="89"/>
      <c r="K90" s="35">
        <f t="shared" si="0"/>
        <v>0</v>
      </c>
      <c r="L90" s="49">
        <f t="shared" si="1"/>
        <v>0</v>
      </c>
      <c r="M90" s="49">
        <f t="shared" si="2"/>
        <v>0</v>
      </c>
      <c r="N90" s="45">
        <f t="shared" si="3"/>
        <v>0</v>
      </c>
      <c r="O90" s="12"/>
      <c r="P90" s="2"/>
    </row>
    <row r="91" spans="1:16" x14ac:dyDescent="0.25">
      <c r="A91" s="2"/>
      <c r="B91" s="11"/>
      <c r="C91" s="8"/>
      <c r="D91" s="8"/>
      <c r="E91" s="8"/>
      <c r="F91" s="8"/>
      <c r="G91" s="8"/>
      <c r="H91" s="8"/>
      <c r="I91" s="8"/>
      <c r="J91" s="8"/>
      <c r="K91" s="8"/>
      <c r="L91" s="8"/>
      <c r="M91" s="8"/>
      <c r="N91" s="8"/>
      <c r="O91" s="12"/>
      <c r="P91" s="2"/>
    </row>
    <row r="92" spans="1:16" ht="15.75" thickBot="1" x14ac:dyDescent="0.3">
      <c r="A92" s="2"/>
      <c r="B92" s="13"/>
      <c r="C92" s="24"/>
      <c r="D92" s="24"/>
      <c r="E92" s="24"/>
      <c r="F92" s="24"/>
      <c r="G92" s="24"/>
      <c r="H92" s="24"/>
      <c r="I92" s="24"/>
      <c r="J92" s="24"/>
      <c r="K92" s="24"/>
      <c r="L92" s="24"/>
      <c r="M92" s="24"/>
      <c r="N92" s="24"/>
      <c r="O92" s="16"/>
      <c r="P92" s="2"/>
    </row>
    <row r="93" spans="1:16" x14ac:dyDescent="0.25">
      <c r="A93" s="2"/>
      <c r="B93" s="2"/>
      <c r="C93" s="2"/>
      <c r="D93" s="2"/>
      <c r="E93" s="2"/>
      <c r="F93" s="2"/>
      <c r="G93" s="2"/>
      <c r="H93" s="2"/>
      <c r="I93" s="2"/>
      <c r="J93" s="2"/>
      <c r="K93" s="2"/>
      <c r="L93" s="2"/>
      <c r="M93" s="2"/>
      <c r="N93" s="2"/>
      <c r="O93" s="2"/>
      <c r="P93" s="2"/>
    </row>
    <row r="94" spans="1:16" x14ac:dyDescent="0.25">
      <c r="A94" s="2"/>
      <c r="B94" s="2"/>
      <c r="C94" s="2"/>
      <c r="D94" s="2"/>
      <c r="E94" s="2"/>
      <c r="F94" s="2"/>
      <c r="G94" s="2"/>
      <c r="H94" s="2"/>
      <c r="I94" s="2"/>
      <c r="J94" s="2"/>
      <c r="K94" s="2"/>
      <c r="L94" s="2"/>
      <c r="M94" s="2"/>
      <c r="N94" s="2"/>
      <c r="O94" s="2"/>
      <c r="P94" s="2"/>
    </row>
  </sheetData>
  <mergeCells count="17">
    <mergeCell ref="G26:G28"/>
    <mergeCell ref="H26:H28"/>
    <mergeCell ref="M26:M28"/>
    <mergeCell ref="L26:L28"/>
    <mergeCell ref="D16:E16"/>
    <mergeCell ref="B5:O7"/>
    <mergeCell ref="D18:E18"/>
    <mergeCell ref="D20:E20"/>
    <mergeCell ref="C26:C28"/>
    <mergeCell ref="D26:D28"/>
    <mergeCell ref="E26:E28"/>
    <mergeCell ref="F26:F28"/>
    <mergeCell ref="I26:I28"/>
    <mergeCell ref="J26:J28"/>
    <mergeCell ref="K26:K28"/>
    <mergeCell ref="D14:E14"/>
    <mergeCell ref="N26:N2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Redirect_leakage_emissions_fc_descriptions">
                <anchor moveWithCells="1" sizeWithCells="1">
                  <from>
                    <xdr:col>12</xdr:col>
                    <xdr:colOff>1200150</xdr:colOff>
                    <xdr:row>22</xdr:row>
                    <xdr:rowOff>76200</xdr:rowOff>
                  </from>
                  <to>
                    <xdr:col>13</xdr:col>
                    <xdr:colOff>2209800</xdr:colOff>
                    <xdr:row>24</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AD6A7-00D8-42E6-B2EB-C0F73F583A31}">
  <sheetPr codeName="Sheet8"/>
  <dimension ref="A1:J90"/>
  <sheetViews>
    <sheetView workbookViewId="0">
      <selection activeCell="C13" sqref="C13:D13"/>
    </sheetView>
  </sheetViews>
  <sheetFormatPr defaultRowHeight="15" x14ac:dyDescent="0.25"/>
  <cols>
    <col min="1" max="3" width="9.140625" style="1"/>
    <col min="4" max="4" width="13.28515625" style="1" customWidth="1"/>
    <col min="5" max="7" width="15.7109375" style="1" customWidth="1"/>
    <col min="8" max="8" width="33.85546875" style="1" bestFit="1" customWidth="1"/>
    <col min="9" max="9" width="9.140625" style="1" customWidth="1"/>
    <col min="10" max="16384" width="9.140625" style="1"/>
  </cols>
  <sheetData>
    <row r="1" spans="1:10" x14ac:dyDescent="0.25">
      <c r="A1" s="2"/>
      <c r="B1" s="2"/>
      <c r="C1" s="2"/>
      <c r="D1" s="2"/>
      <c r="E1" s="2"/>
      <c r="F1" s="2"/>
      <c r="G1" s="2"/>
      <c r="H1" s="2"/>
      <c r="I1" s="2"/>
      <c r="J1" s="2"/>
    </row>
    <row r="2" spans="1:10" x14ac:dyDescent="0.25">
      <c r="A2" s="2"/>
      <c r="B2" s="2"/>
      <c r="C2" s="2"/>
      <c r="D2" s="2"/>
      <c r="E2" s="2"/>
      <c r="F2" s="2"/>
      <c r="G2" s="2"/>
      <c r="H2" s="2"/>
      <c r="I2" s="2"/>
      <c r="J2" s="2"/>
    </row>
    <row r="3" spans="1:10" x14ac:dyDescent="0.25">
      <c r="A3" s="2"/>
      <c r="B3" s="2"/>
      <c r="C3" s="2"/>
      <c r="D3" s="2"/>
      <c r="E3" s="2"/>
      <c r="F3" s="2"/>
      <c r="G3" s="2"/>
      <c r="H3" s="2"/>
      <c r="I3" s="2"/>
      <c r="J3" s="2"/>
    </row>
    <row r="4" spans="1:10" ht="15.75" thickBot="1" x14ac:dyDescent="0.3">
      <c r="A4" s="2"/>
      <c r="B4" s="2"/>
      <c r="C4" s="2"/>
      <c r="D4" s="2"/>
      <c r="E4" s="2"/>
      <c r="F4" s="2"/>
      <c r="G4" s="2"/>
      <c r="H4" s="2"/>
      <c r="I4" s="2"/>
      <c r="J4" s="2"/>
    </row>
    <row r="5" spans="1:10" ht="15" customHeight="1" x14ac:dyDescent="0.25">
      <c r="A5" s="2"/>
      <c r="B5" s="129" t="s">
        <v>248</v>
      </c>
      <c r="C5" s="179"/>
      <c r="D5" s="179"/>
      <c r="E5" s="179"/>
      <c r="F5" s="179"/>
      <c r="G5" s="179"/>
      <c r="H5" s="179"/>
      <c r="I5" s="180"/>
      <c r="J5" s="2"/>
    </row>
    <row r="6" spans="1:10" ht="15" customHeight="1" x14ac:dyDescent="0.25">
      <c r="A6" s="2"/>
      <c r="B6" s="181"/>
      <c r="C6" s="182"/>
      <c r="D6" s="182"/>
      <c r="E6" s="182"/>
      <c r="F6" s="182"/>
      <c r="G6" s="182"/>
      <c r="H6" s="182"/>
      <c r="I6" s="183"/>
      <c r="J6" s="2"/>
    </row>
    <row r="7" spans="1:10" ht="15.75" customHeight="1" thickBot="1" x14ac:dyDescent="0.3">
      <c r="A7" s="2"/>
      <c r="B7" s="184"/>
      <c r="C7" s="185"/>
      <c r="D7" s="185"/>
      <c r="E7" s="185"/>
      <c r="F7" s="185"/>
      <c r="G7" s="185"/>
      <c r="H7" s="185"/>
      <c r="I7" s="186"/>
      <c r="J7" s="2"/>
    </row>
    <row r="8" spans="1:10" ht="15.75" thickTop="1" x14ac:dyDescent="0.25">
      <c r="A8" s="2"/>
      <c r="B8" s="11"/>
      <c r="C8" s="8"/>
      <c r="D8" s="8"/>
      <c r="E8" s="8"/>
      <c r="F8" s="8"/>
      <c r="G8" s="8"/>
      <c r="H8" s="8"/>
      <c r="I8" s="12"/>
      <c r="J8" s="2"/>
    </row>
    <row r="9" spans="1:10" x14ac:dyDescent="0.25">
      <c r="A9" s="2"/>
      <c r="B9" s="11"/>
      <c r="C9" s="8"/>
      <c r="D9" s="8"/>
      <c r="E9" s="8"/>
      <c r="F9" s="8"/>
      <c r="G9" s="8"/>
      <c r="H9" s="8"/>
      <c r="I9" s="12"/>
      <c r="J9" s="2"/>
    </row>
    <row r="10" spans="1:10" x14ac:dyDescent="0.25">
      <c r="A10" s="2"/>
      <c r="B10" s="11"/>
      <c r="C10" s="194" t="s">
        <v>403</v>
      </c>
      <c r="D10" s="194"/>
      <c r="E10" s="194"/>
      <c r="F10" s="194"/>
      <c r="G10" s="194"/>
      <c r="H10" s="194"/>
      <c r="I10" s="12"/>
      <c r="J10" s="2"/>
    </row>
    <row r="11" spans="1:10" x14ac:dyDescent="0.25">
      <c r="A11" s="2"/>
      <c r="B11" s="11"/>
      <c r="C11" s="194"/>
      <c r="D11" s="194"/>
      <c r="E11" s="194"/>
      <c r="F11" s="194"/>
      <c r="G11" s="194"/>
      <c r="H11" s="194"/>
      <c r="I11" s="12"/>
      <c r="J11" s="2"/>
    </row>
    <row r="12" spans="1:10" x14ac:dyDescent="0.25">
      <c r="A12" s="2"/>
      <c r="B12" s="11"/>
      <c r="C12" s="194"/>
      <c r="D12" s="194"/>
      <c r="E12" s="194"/>
      <c r="F12" s="194"/>
      <c r="G12" s="194"/>
      <c r="H12" s="194"/>
      <c r="I12" s="12"/>
      <c r="J12" s="2"/>
    </row>
    <row r="13" spans="1:10" ht="18.75" x14ac:dyDescent="0.25">
      <c r="A13" s="2"/>
      <c r="B13" s="11"/>
      <c r="C13" s="147">
        <v>2022</v>
      </c>
      <c r="D13" s="148"/>
      <c r="E13" s="50"/>
      <c r="F13" s="50"/>
      <c r="G13" s="50"/>
      <c r="H13" s="50"/>
      <c r="I13" s="12"/>
      <c r="J13" s="2"/>
    </row>
    <row r="14" spans="1:10" ht="18.75" x14ac:dyDescent="0.25">
      <c r="A14" s="2"/>
      <c r="B14" s="11"/>
      <c r="C14" s="50"/>
      <c r="D14" s="50"/>
      <c r="E14" s="50"/>
      <c r="F14" s="50"/>
      <c r="G14" s="50"/>
      <c r="H14" s="50"/>
      <c r="I14" s="12"/>
      <c r="J14" s="2"/>
    </row>
    <row r="15" spans="1:10" ht="18.75" x14ac:dyDescent="0.25">
      <c r="A15" s="2"/>
      <c r="B15" s="11"/>
      <c r="C15" s="23" t="s">
        <v>62</v>
      </c>
      <c r="D15" s="50"/>
      <c r="E15" s="50"/>
      <c r="F15" s="50"/>
      <c r="G15" s="50"/>
      <c r="H15" s="50"/>
      <c r="I15" s="12"/>
      <c r="J15" s="2"/>
    </row>
    <row r="16" spans="1:10" ht="19.5" thickBot="1" x14ac:dyDescent="0.3">
      <c r="A16" s="2"/>
      <c r="B16" s="11"/>
      <c r="C16" s="23"/>
      <c r="D16" s="50"/>
      <c r="E16" s="50"/>
      <c r="F16" s="50"/>
      <c r="G16" s="50"/>
      <c r="H16" s="50"/>
      <c r="I16" s="12"/>
      <c r="J16" s="2"/>
    </row>
    <row r="17" spans="1:10" ht="19.5" thickTop="1" thickBot="1" x14ac:dyDescent="0.4">
      <c r="A17" s="2"/>
      <c r="B17" s="11"/>
      <c r="C17" s="23"/>
      <c r="D17" s="187" t="s">
        <v>264</v>
      </c>
      <c r="E17" s="188"/>
      <c r="F17" s="31">
        <f>SUMIF(C25:C86,C13,H25:H86)</f>
        <v>2.0409479999999998</v>
      </c>
      <c r="G17" s="8"/>
      <c r="H17" s="8"/>
      <c r="I17" s="12"/>
      <c r="J17" s="2"/>
    </row>
    <row r="18" spans="1:10" ht="15.75" thickTop="1" x14ac:dyDescent="0.25">
      <c r="A18" s="2"/>
      <c r="B18" s="11"/>
      <c r="C18" s="8"/>
      <c r="D18" s="8"/>
      <c r="E18" s="8"/>
      <c r="F18" s="8"/>
      <c r="G18" s="8"/>
      <c r="H18" s="8"/>
      <c r="I18" s="12"/>
      <c r="J18" s="2"/>
    </row>
    <row r="19" spans="1:10" ht="15" customHeight="1" x14ac:dyDescent="0.25">
      <c r="A19" s="2"/>
      <c r="B19" s="11"/>
      <c r="C19" s="23"/>
      <c r="D19" s="23"/>
      <c r="E19" s="8"/>
      <c r="F19" s="23"/>
      <c r="G19" s="23"/>
      <c r="H19" s="8"/>
      <c r="I19" s="12"/>
      <c r="J19" s="2"/>
    </row>
    <row r="20" spans="1:10" x14ac:dyDescent="0.25">
      <c r="A20" s="2"/>
      <c r="B20" s="11"/>
      <c r="C20" s="30"/>
      <c r="D20" s="39" t="s">
        <v>103</v>
      </c>
      <c r="E20" s="8"/>
      <c r="F20" s="8"/>
      <c r="G20" s="8"/>
      <c r="H20" s="8"/>
      <c r="I20" s="12"/>
      <c r="J20" s="2"/>
    </row>
    <row r="21" spans="1:10" ht="15.75" thickBot="1" x14ac:dyDescent="0.3">
      <c r="A21" s="2"/>
      <c r="B21" s="11"/>
      <c r="C21" s="8"/>
      <c r="D21" s="8"/>
      <c r="E21" s="24"/>
      <c r="F21" s="8"/>
      <c r="G21" s="8"/>
      <c r="H21" s="24"/>
      <c r="I21" s="12"/>
      <c r="J21" s="2"/>
    </row>
    <row r="22" spans="1:10" x14ac:dyDescent="0.25">
      <c r="A22" s="2"/>
      <c r="B22" s="11"/>
      <c r="C22" s="159" t="s">
        <v>104</v>
      </c>
      <c r="D22" s="162" t="s">
        <v>267</v>
      </c>
      <c r="E22" s="162" t="s">
        <v>246</v>
      </c>
      <c r="F22" s="166" t="s">
        <v>247</v>
      </c>
      <c r="G22" s="166" t="s">
        <v>257</v>
      </c>
      <c r="H22" s="189" t="s">
        <v>263</v>
      </c>
      <c r="I22" s="12"/>
      <c r="J22" s="2"/>
    </row>
    <row r="23" spans="1:10" x14ac:dyDescent="0.25">
      <c r="A23" s="2"/>
      <c r="B23" s="11"/>
      <c r="C23" s="160"/>
      <c r="D23" s="157"/>
      <c r="E23" s="157"/>
      <c r="F23" s="167"/>
      <c r="G23" s="167"/>
      <c r="H23" s="190"/>
      <c r="I23" s="12"/>
      <c r="J23" s="2"/>
    </row>
    <row r="24" spans="1:10" ht="15.75" thickBot="1" x14ac:dyDescent="0.3">
      <c r="A24" s="2"/>
      <c r="B24" s="11"/>
      <c r="C24" s="161"/>
      <c r="D24" s="158"/>
      <c r="E24" s="158"/>
      <c r="F24" s="168"/>
      <c r="G24" s="168"/>
      <c r="H24" s="191"/>
      <c r="I24" s="12"/>
      <c r="J24" s="2"/>
    </row>
    <row r="25" spans="1:10" x14ac:dyDescent="0.25">
      <c r="A25" s="2"/>
      <c r="B25" s="11"/>
      <c r="C25" s="76">
        <v>2021</v>
      </c>
      <c r="D25" s="77" t="s">
        <v>308</v>
      </c>
      <c r="E25" s="79">
        <v>0</v>
      </c>
      <c r="F25" s="79">
        <v>0</v>
      </c>
      <c r="G25" s="126">
        <v>0</v>
      </c>
      <c r="H25" s="45">
        <f>E25*F25*G25</f>
        <v>0</v>
      </c>
      <c r="I25" s="12"/>
      <c r="J25" s="2"/>
    </row>
    <row r="26" spans="1:10" x14ac:dyDescent="0.25">
      <c r="A26" s="2"/>
      <c r="B26" s="11"/>
      <c r="C26" s="80">
        <v>2022</v>
      </c>
      <c r="D26" s="81" t="s">
        <v>308</v>
      </c>
      <c r="E26" s="82">
        <v>126</v>
      </c>
      <c r="F26" s="79">
        <v>20</v>
      </c>
      <c r="G26" s="126">
        <v>1.1569999999999999E-4</v>
      </c>
      <c r="H26" s="45">
        <f>E26*F26*G26</f>
        <v>0.29156399999999999</v>
      </c>
      <c r="I26" s="12"/>
      <c r="J26" s="2"/>
    </row>
    <row r="27" spans="1:10" x14ac:dyDescent="0.25">
      <c r="A27" s="2"/>
      <c r="B27" s="11"/>
      <c r="C27" s="80">
        <v>2022</v>
      </c>
      <c r="D27" s="81" t="s">
        <v>309</v>
      </c>
      <c r="E27" s="82">
        <v>126</v>
      </c>
      <c r="F27" s="79">
        <v>20</v>
      </c>
      <c r="G27" s="126">
        <v>1.1569999999999999E-4</v>
      </c>
      <c r="H27" s="45">
        <f>E27*F27*G27</f>
        <v>0.29156399999999999</v>
      </c>
      <c r="I27" s="12"/>
      <c r="J27" s="2"/>
    </row>
    <row r="28" spans="1:10" x14ac:dyDescent="0.25">
      <c r="A28" s="2"/>
      <c r="B28" s="11"/>
      <c r="C28" s="80">
        <v>2022</v>
      </c>
      <c r="D28" s="81" t="s">
        <v>310</v>
      </c>
      <c r="E28" s="82">
        <v>126</v>
      </c>
      <c r="F28" s="79">
        <v>20</v>
      </c>
      <c r="G28" s="126">
        <v>1.1569999999999999E-4</v>
      </c>
      <c r="H28" s="45">
        <f t="shared" ref="H28:H86" si="0">E28*F28*G28</f>
        <v>0.29156399999999999</v>
      </c>
      <c r="I28" s="12"/>
      <c r="J28" s="2"/>
    </row>
    <row r="29" spans="1:10" x14ac:dyDescent="0.25">
      <c r="A29" s="2"/>
      <c r="B29" s="11"/>
      <c r="C29" s="80">
        <v>2022</v>
      </c>
      <c r="D29" s="81" t="s">
        <v>311</v>
      </c>
      <c r="E29" s="82">
        <v>126</v>
      </c>
      <c r="F29" s="79">
        <v>20</v>
      </c>
      <c r="G29" s="126">
        <v>1.1569999999999999E-4</v>
      </c>
      <c r="H29" s="45">
        <f t="shared" si="0"/>
        <v>0.29156399999999999</v>
      </c>
      <c r="I29" s="12"/>
      <c r="J29" s="2"/>
    </row>
    <row r="30" spans="1:10" x14ac:dyDescent="0.25">
      <c r="A30" s="2"/>
      <c r="B30" s="11"/>
      <c r="C30" s="80">
        <v>2022</v>
      </c>
      <c r="D30" s="81" t="s">
        <v>312</v>
      </c>
      <c r="E30" s="82">
        <v>126</v>
      </c>
      <c r="F30" s="79">
        <v>20</v>
      </c>
      <c r="G30" s="126">
        <v>1.1569999999999999E-4</v>
      </c>
      <c r="H30" s="45">
        <f t="shared" si="0"/>
        <v>0.29156399999999999</v>
      </c>
      <c r="I30" s="12"/>
      <c r="J30" s="2"/>
    </row>
    <row r="31" spans="1:10" x14ac:dyDescent="0.25">
      <c r="A31" s="2"/>
      <c r="B31" s="11"/>
      <c r="C31" s="80">
        <v>2022</v>
      </c>
      <c r="D31" s="81" t="s">
        <v>313</v>
      </c>
      <c r="E31" s="82">
        <v>126</v>
      </c>
      <c r="F31" s="79">
        <v>20</v>
      </c>
      <c r="G31" s="126">
        <v>1.1569999999999999E-4</v>
      </c>
      <c r="H31" s="45">
        <f t="shared" si="0"/>
        <v>0.29156399999999999</v>
      </c>
      <c r="I31" s="12"/>
      <c r="J31" s="2"/>
    </row>
    <row r="32" spans="1:10" x14ac:dyDescent="0.25">
      <c r="A32" s="2"/>
      <c r="B32" s="11"/>
      <c r="C32" s="80">
        <v>2022</v>
      </c>
      <c r="D32" s="81" t="s">
        <v>314</v>
      </c>
      <c r="E32" s="82">
        <v>126</v>
      </c>
      <c r="F32" s="79">
        <v>20</v>
      </c>
      <c r="G32" s="126">
        <v>1.1569999999999999E-4</v>
      </c>
      <c r="H32" s="45">
        <f t="shared" si="0"/>
        <v>0.29156399999999999</v>
      </c>
      <c r="I32" s="12"/>
      <c r="J32" s="2"/>
    </row>
    <row r="33" spans="1:10" x14ac:dyDescent="0.25">
      <c r="A33" s="2"/>
      <c r="B33" s="11"/>
      <c r="C33" s="80">
        <v>2023</v>
      </c>
      <c r="D33" s="81" t="s">
        <v>308</v>
      </c>
      <c r="E33" s="82">
        <v>126</v>
      </c>
      <c r="F33" s="79">
        <v>20</v>
      </c>
      <c r="G33" s="126">
        <v>1.1569999999999999E-4</v>
      </c>
      <c r="H33" s="45">
        <f t="shared" si="0"/>
        <v>0.29156399999999999</v>
      </c>
      <c r="I33" s="12"/>
      <c r="J33" s="2"/>
    </row>
    <row r="34" spans="1:10" x14ac:dyDescent="0.25">
      <c r="A34" s="2"/>
      <c r="B34" s="11"/>
      <c r="C34" s="80">
        <v>2023</v>
      </c>
      <c r="D34" s="81" t="s">
        <v>309</v>
      </c>
      <c r="E34" s="82">
        <v>126</v>
      </c>
      <c r="F34" s="79">
        <v>20</v>
      </c>
      <c r="G34" s="126">
        <v>1.1569999999999999E-4</v>
      </c>
      <c r="H34" s="45">
        <f t="shared" si="0"/>
        <v>0.29156399999999999</v>
      </c>
      <c r="I34" s="12"/>
      <c r="J34" s="2"/>
    </row>
    <row r="35" spans="1:10" x14ac:dyDescent="0.25">
      <c r="A35" s="2"/>
      <c r="B35" s="11"/>
      <c r="C35" s="80">
        <v>2023</v>
      </c>
      <c r="D35" s="81" t="s">
        <v>310</v>
      </c>
      <c r="E35" s="82">
        <v>126</v>
      </c>
      <c r="F35" s="79">
        <v>20</v>
      </c>
      <c r="G35" s="126">
        <v>1.1569999999999999E-4</v>
      </c>
      <c r="H35" s="45">
        <f t="shared" si="0"/>
        <v>0.29156399999999999</v>
      </c>
      <c r="I35" s="12"/>
      <c r="J35" s="2"/>
    </row>
    <row r="36" spans="1:10" x14ac:dyDescent="0.25">
      <c r="A36" s="2"/>
      <c r="B36" s="11"/>
      <c r="C36" s="80">
        <v>2023</v>
      </c>
      <c r="D36" s="81" t="s">
        <v>311</v>
      </c>
      <c r="E36" s="82">
        <v>126</v>
      </c>
      <c r="F36" s="79">
        <v>20</v>
      </c>
      <c r="G36" s="126">
        <v>1.1569999999999999E-4</v>
      </c>
      <c r="H36" s="45">
        <f t="shared" si="0"/>
        <v>0.29156399999999999</v>
      </c>
      <c r="I36" s="12"/>
      <c r="J36" s="2"/>
    </row>
    <row r="37" spans="1:10" x14ac:dyDescent="0.25">
      <c r="A37" s="2"/>
      <c r="B37" s="11"/>
      <c r="C37" s="80">
        <v>2023</v>
      </c>
      <c r="D37" s="81" t="s">
        <v>312</v>
      </c>
      <c r="E37" s="82">
        <v>126</v>
      </c>
      <c r="F37" s="79">
        <v>20</v>
      </c>
      <c r="G37" s="126">
        <v>1.1569999999999999E-4</v>
      </c>
      <c r="H37" s="45">
        <f t="shared" si="0"/>
        <v>0.29156399999999999</v>
      </c>
      <c r="I37" s="12"/>
      <c r="J37" s="2"/>
    </row>
    <row r="38" spans="1:10" x14ac:dyDescent="0.25">
      <c r="A38" s="2"/>
      <c r="B38" s="11"/>
      <c r="C38" s="80">
        <v>2023</v>
      </c>
      <c r="D38" s="81" t="s">
        <v>313</v>
      </c>
      <c r="E38" s="82">
        <v>126</v>
      </c>
      <c r="F38" s="79">
        <v>20</v>
      </c>
      <c r="G38" s="126">
        <v>1.1569999999999999E-4</v>
      </c>
      <c r="H38" s="45">
        <f t="shared" si="0"/>
        <v>0.29156399999999999</v>
      </c>
      <c r="I38" s="12"/>
      <c r="J38" s="2"/>
    </row>
    <row r="39" spans="1:10" x14ac:dyDescent="0.25">
      <c r="A39" s="2"/>
      <c r="B39" s="11"/>
      <c r="C39" s="80">
        <v>2023</v>
      </c>
      <c r="D39" s="81" t="s">
        <v>315</v>
      </c>
      <c r="E39" s="82">
        <v>126</v>
      </c>
      <c r="F39" s="79">
        <v>20</v>
      </c>
      <c r="G39" s="126">
        <v>1.1569999999999999E-4</v>
      </c>
      <c r="H39" s="45">
        <f t="shared" si="0"/>
        <v>0.29156399999999999</v>
      </c>
      <c r="I39" s="12"/>
      <c r="J39" s="2"/>
    </row>
    <row r="40" spans="1:10" x14ac:dyDescent="0.25">
      <c r="A40" s="2"/>
      <c r="B40" s="11"/>
      <c r="C40" s="80">
        <v>2023</v>
      </c>
      <c r="D40" s="81" t="s">
        <v>316</v>
      </c>
      <c r="E40" s="82">
        <v>126</v>
      </c>
      <c r="F40" s="79">
        <v>20</v>
      </c>
      <c r="G40" s="126">
        <v>1.1569999999999999E-4</v>
      </c>
      <c r="H40" s="45">
        <f t="shared" si="0"/>
        <v>0.29156399999999999</v>
      </c>
      <c r="I40" s="12"/>
      <c r="J40" s="2"/>
    </row>
    <row r="41" spans="1:10" x14ac:dyDescent="0.25">
      <c r="A41" s="2"/>
      <c r="B41" s="11"/>
      <c r="C41" s="80">
        <v>2023</v>
      </c>
      <c r="D41" s="81" t="s">
        <v>317</v>
      </c>
      <c r="E41" s="82">
        <v>126</v>
      </c>
      <c r="F41" s="79">
        <v>20</v>
      </c>
      <c r="G41" s="126">
        <v>1.1569999999999999E-4</v>
      </c>
      <c r="H41" s="45">
        <f t="shared" si="0"/>
        <v>0.29156399999999999</v>
      </c>
      <c r="I41" s="12"/>
      <c r="J41" s="2"/>
    </row>
    <row r="42" spans="1:10" x14ac:dyDescent="0.25">
      <c r="A42" s="2"/>
      <c r="B42" s="11"/>
      <c r="C42" s="80">
        <v>2023</v>
      </c>
      <c r="D42" s="81" t="s">
        <v>318</v>
      </c>
      <c r="E42" s="82">
        <v>126</v>
      </c>
      <c r="F42" s="79">
        <v>20</v>
      </c>
      <c r="G42" s="126">
        <v>1.1569999999999999E-4</v>
      </c>
      <c r="H42" s="45">
        <f t="shared" si="0"/>
        <v>0.29156399999999999</v>
      </c>
      <c r="I42" s="12"/>
      <c r="J42" s="2"/>
    </row>
    <row r="43" spans="1:10" x14ac:dyDescent="0.25">
      <c r="A43" s="2"/>
      <c r="B43" s="11"/>
      <c r="C43" s="80">
        <v>2024</v>
      </c>
      <c r="D43" s="81" t="s">
        <v>308</v>
      </c>
      <c r="E43" s="82">
        <v>126</v>
      </c>
      <c r="F43" s="79">
        <v>20</v>
      </c>
      <c r="G43" s="126">
        <v>1.1569999999999999E-4</v>
      </c>
      <c r="H43" s="45">
        <f t="shared" si="0"/>
        <v>0.29156399999999999</v>
      </c>
      <c r="I43" s="12"/>
      <c r="J43" s="2"/>
    </row>
    <row r="44" spans="1:10" x14ac:dyDescent="0.25">
      <c r="A44" s="2"/>
      <c r="B44" s="11"/>
      <c r="C44" s="80">
        <v>2024</v>
      </c>
      <c r="D44" s="81" t="s">
        <v>309</v>
      </c>
      <c r="E44" s="82">
        <v>126</v>
      </c>
      <c r="F44" s="79">
        <v>20</v>
      </c>
      <c r="G44" s="126">
        <v>1.1569999999999999E-4</v>
      </c>
      <c r="H44" s="45">
        <f t="shared" si="0"/>
        <v>0.29156399999999999</v>
      </c>
      <c r="I44" s="12"/>
      <c r="J44" s="2"/>
    </row>
    <row r="45" spans="1:10" x14ac:dyDescent="0.25">
      <c r="A45" s="2"/>
      <c r="B45" s="11"/>
      <c r="C45" s="80">
        <v>2024</v>
      </c>
      <c r="D45" s="81" t="s">
        <v>310</v>
      </c>
      <c r="E45" s="82">
        <v>126</v>
      </c>
      <c r="F45" s="79">
        <v>20</v>
      </c>
      <c r="G45" s="126">
        <v>1.1569999999999999E-4</v>
      </c>
      <c r="H45" s="45">
        <f t="shared" si="0"/>
        <v>0.29156399999999999</v>
      </c>
      <c r="I45" s="12"/>
      <c r="J45" s="2"/>
    </row>
    <row r="46" spans="1:10" x14ac:dyDescent="0.25">
      <c r="A46" s="2"/>
      <c r="B46" s="11"/>
      <c r="C46" s="80">
        <v>2024</v>
      </c>
      <c r="D46" s="81" t="s">
        <v>311</v>
      </c>
      <c r="E46" s="82">
        <v>126</v>
      </c>
      <c r="F46" s="79">
        <v>20</v>
      </c>
      <c r="G46" s="126">
        <v>1.1569999999999999E-4</v>
      </c>
      <c r="H46" s="45">
        <f t="shared" si="0"/>
        <v>0.29156399999999999</v>
      </c>
      <c r="I46" s="12"/>
      <c r="J46" s="2"/>
    </row>
    <row r="47" spans="1:10" x14ac:dyDescent="0.25">
      <c r="A47" s="2"/>
      <c r="B47" s="11"/>
      <c r="C47" s="80">
        <v>2024</v>
      </c>
      <c r="D47" s="81" t="s">
        <v>312</v>
      </c>
      <c r="E47" s="82">
        <v>126</v>
      </c>
      <c r="F47" s="79">
        <v>20</v>
      </c>
      <c r="G47" s="126">
        <v>1.1569999999999999E-4</v>
      </c>
      <c r="H47" s="45">
        <f t="shared" si="0"/>
        <v>0.29156399999999999</v>
      </c>
      <c r="I47" s="12"/>
      <c r="J47" s="2"/>
    </row>
    <row r="48" spans="1:10" x14ac:dyDescent="0.25">
      <c r="A48" s="2"/>
      <c r="B48" s="11"/>
      <c r="C48" s="80">
        <v>2024</v>
      </c>
      <c r="D48" s="81" t="s">
        <v>313</v>
      </c>
      <c r="E48" s="82">
        <v>126</v>
      </c>
      <c r="F48" s="79">
        <v>20</v>
      </c>
      <c r="G48" s="126">
        <v>1.1569999999999999E-4</v>
      </c>
      <c r="H48" s="45">
        <f t="shared" si="0"/>
        <v>0.29156399999999999</v>
      </c>
      <c r="I48" s="12"/>
      <c r="J48" s="2"/>
    </row>
    <row r="49" spans="1:10" x14ac:dyDescent="0.25">
      <c r="A49" s="2"/>
      <c r="B49" s="11"/>
      <c r="C49" s="80">
        <v>2024</v>
      </c>
      <c r="D49" s="81" t="s">
        <v>315</v>
      </c>
      <c r="E49" s="82">
        <v>126</v>
      </c>
      <c r="F49" s="79">
        <v>20</v>
      </c>
      <c r="G49" s="126">
        <v>1.1569999999999999E-4</v>
      </c>
      <c r="H49" s="45">
        <f t="shared" si="0"/>
        <v>0.29156399999999999</v>
      </c>
      <c r="I49" s="12"/>
      <c r="J49" s="2"/>
    </row>
    <row r="50" spans="1:10" x14ac:dyDescent="0.25">
      <c r="A50" s="2"/>
      <c r="B50" s="11"/>
      <c r="C50" s="80">
        <v>2024</v>
      </c>
      <c r="D50" s="81" t="s">
        <v>316</v>
      </c>
      <c r="E50" s="82">
        <v>126</v>
      </c>
      <c r="F50" s="79">
        <v>20</v>
      </c>
      <c r="G50" s="126">
        <v>1.1569999999999999E-4</v>
      </c>
      <c r="H50" s="45">
        <f t="shared" si="0"/>
        <v>0.29156399999999999</v>
      </c>
      <c r="I50" s="12"/>
      <c r="J50" s="2"/>
    </row>
    <row r="51" spans="1:10" x14ac:dyDescent="0.25">
      <c r="A51" s="2"/>
      <c r="B51" s="11"/>
      <c r="C51" s="80">
        <v>2024</v>
      </c>
      <c r="D51" s="81" t="s">
        <v>317</v>
      </c>
      <c r="E51" s="82">
        <v>126</v>
      </c>
      <c r="F51" s="79">
        <v>20</v>
      </c>
      <c r="G51" s="126">
        <v>1.1569999999999999E-4</v>
      </c>
      <c r="H51" s="45">
        <f t="shared" si="0"/>
        <v>0.29156399999999999</v>
      </c>
      <c r="I51" s="12"/>
      <c r="J51" s="2"/>
    </row>
    <row r="52" spans="1:10" x14ac:dyDescent="0.25">
      <c r="A52" s="2"/>
      <c r="B52" s="11"/>
      <c r="C52" s="80">
        <v>2024</v>
      </c>
      <c r="D52" s="81" t="s">
        <v>318</v>
      </c>
      <c r="E52" s="82">
        <v>126</v>
      </c>
      <c r="F52" s="79">
        <v>20</v>
      </c>
      <c r="G52" s="126">
        <v>1.1569999999999999E-4</v>
      </c>
      <c r="H52" s="45">
        <f t="shared" si="0"/>
        <v>0.29156399999999999</v>
      </c>
      <c r="I52" s="12"/>
      <c r="J52" s="2"/>
    </row>
    <row r="53" spans="1:10" x14ac:dyDescent="0.25">
      <c r="A53" s="2"/>
      <c r="B53" s="11"/>
      <c r="C53" s="80"/>
      <c r="D53" s="81"/>
      <c r="E53" s="82"/>
      <c r="F53" s="79"/>
      <c r="G53" s="126"/>
      <c r="H53" s="45">
        <f t="shared" si="0"/>
        <v>0</v>
      </c>
      <c r="I53" s="12"/>
      <c r="J53" s="2"/>
    </row>
    <row r="54" spans="1:10" x14ac:dyDescent="0.25">
      <c r="A54" s="2"/>
      <c r="B54" s="11"/>
      <c r="C54" s="80"/>
      <c r="D54" s="81"/>
      <c r="E54" s="82"/>
      <c r="F54" s="79"/>
      <c r="G54" s="126"/>
      <c r="H54" s="45">
        <f t="shared" si="0"/>
        <v>0</v>
      </c>
      <c r="I54" s="12"/>
      <c r="J54" s="2"/>
    </row>
    <row r="55" spans="1:10" x14ac:dyDescent="0.25">
      <c r="A55" s="2"/>
      <c r="B55" s="11"/>
      <c r="C55" s="80"/>
      <c r="D55" s="81"/>
      <c r="E55" s="82"/>
      <c r="F55" s="79"/>
      <c r="G55" s="126"/>
      <c r="H55" s="45">
        <f t="shared" si="0"/>
        <v>0</v>
      </c>
      <c r="I55" s="12"/>
      <c r="J55" s="2"/>
    </row>
    <row r="56" spans="1:10" x14ac:dyDescent="0.25">
      <c r="A56" s="2"/>
      <c r="B56" s="11"/>
      <c r="C56" s="80"/>
      <c r="D56" s="81"/>
      <c r="E56" s="82"/>
      <c r="F56" s="79"/>
      <c r="G56" s="126"/>
      <c r="H56" s="45">
        <f t="shared" si="0"/>
        <v>0</v>
      </c>
      <c r="I56" s="12"/>
      <c r="J56" s="2"/>
    </row>
    <row r="57" spans="1:10" x14ac:dyDescent="0.25">
      <c r="A57" s="2"/>
      <c r="B57" s="11"/>
      <c r="C57" s="80"/>
      <c r="D57" s="81"/>
      <c r="E57" s="82"/>
      <c r="F57" s="79"/>
      <c r="G57" s="126"/>
      <c r="H57" s="45">
        <f t="shared" si="0"/>
        <v>0</v>
      </c>
      <c r="I57" s="12"/>
      <c r="J57" s="2"/>
    </row>
    <row r="58" spans="1:10" x14ac:dyDescent="0.25">
      <c r="A58" s="2"/>
      <c r="B58" s="11"/>
      <c r="C58" s="80"/>
      <c r="D58" s="81"/>
      <c r="E58" s="82"/>
      <c r="F58" s="79"/>
      <c r="G58" s="126"/>
      <c r="H58" s="45">
        <f t="shared" si="0"/>
        <v>0</v>
      </c>
      <c r="I58" s="12"/>
      <c r="J58" s="2"/>
    </row>
    <row r="59" spans="1:10" x14ac:dyDescent="0.25">
      <c r="A59" s="2"/>
      <c r="B59" s="11"/>
      <c r="C59" s="80"/>
      <c r="D59" s="81"/>
      <c r="E59" s="82"/>
      <c r="F59" s="79"/>
      <c r="G59" s="126"/>
      <c r="H59" s="45">
        <f t="shared" si="0"/>
        <v>0</v>
      </c>
      <c r="I59" s="12"/>
      <c r="J59" s="2"/>
    </row>
    <row r="60" spans="1:10" x14ac:dyDescent="0.25">
      <c r="A60" s="2"/>
      <c r="B60" s="11"/>
      <c r="C60" s="80"/>
      <c r="D60" s="81"/>
      <c r="E60" s="82"/>
      <c r="F60" s="79"/>
      <c r="G60" s="126"/>
      <c r="H60" s="45">
        <f t="shared" si="0"/>
        <v>0</v>
      </c>
      <c r="I60" s="12"/>
      <c r="J60" s="2"/>
    </row>
    <row r="61" spans="1:10" x14ac:dyDescent="0.25">
      <c r="A61" s="2"/>
      <c r="B61" s="11"/>
      <c r="C61" s="80"/>
      <c r="D61" s="81"/>
      <c r="E61" s="82"/>
      <c r="F61" s="79"/>
      <c r="G61" s="126"/>
      <c r="H61" s="45">
        <f t="shared" si="0"/>
        <v>0</v>
      </c>
      <c r="I61" s="12"/>
      <c r="J61" s="2"/>
    </row>
    <row r="62" spans="1:10" x14ac:dyDescent="0.25">
      <c r="A62" s="2"/>
      <c r="B62" s="11"/>
      <c r="C62" s="80"/>
      <c r="D62" s="81"/>
      <c r="E62" s="82"/>
      <c r="F62" s="79"/>
      <c r="G62" s="126"/>
      <c r="H62" s="45">
        <f t="shared" si="0"/>
        <v>0</v>
      </c>
      <c r="I62" s="12"/>
      <c r="J62" s="2"/>
    </row>
    <row r="63" spans="1:10" x14ac:dyDescent="0.25">
      <c r="A63" s="2"/>
      <c r="B63" s="11"/>
      <c r="C63" s="80"/>
      <c r="D63" s="81"/>
      <c r="E63" s="82"/>
      <c r="F63" s="79"/>
      <c r="G63" s="126"/>
      <c r="H63" s="45">
        <f t="shared" si="0"/>
        <v>0</v>
      </c>
      <c r="I63" s="12"/>
      <c r="J63" s="2"/>
    </row>
    <row r="64" spans="1:10" x14ac:dyDescent="0.25">
      <c r="A64" s="2"/>
      <c r="B64" s="11"/>
      <c r="C64" s="80"/>
      <c r="D64" s="81"/>
      <c r="E64" s="82"/>
      <c r="F64" s="79"/>
      <c r="G64" s="126"/>
      <c r="H64" s="45">
        <f t="shared" si="0"/>
        <v>0</v>
      </c>
      <c r="I64" s="12"/>
      <c r="J64" s="2"/>
    </row>
    <row r="65" spans="1:10" x14ac:dyDescent="0.25">
      <c r="A65" s="2"/>
      <c r="B65" s="11"/>
      <c r="C65" s="80"/>
      <c r="D65" s="81"/>
      <c r="E65" s="82"/>
      <c r="F65" s="79"/>
      <c r="G65" s="126"/>
      <c r="H65" s="45">
        <f t="shared" si="0"/>
        <v>0</v>
      </c>
      <c r="I65" s="12"/>
      <c r="J65" s="2"/>
    </row>
    <row r="66" spans="1:10" x14ac:dyDescent="0.25">
      <c r="A66" s="2"/>
      <c r="B66" s="11"/>
      <c r="C66" s="80"/>
      <c r="D66" s="81"/>
      <c r="E66" s="82"/>
      <c r="F66" s="79"/>
      <c r="G66" s="126"/>
      <c r="H66" s="45">
        <f t="shared" si="0"/>
        <v>0</v>
      </c>
      <c r="I66" s="12"/>
      <c r="J66" s="2"/>
    </row>
    <row r="67" spans="1:10" x14ac:dyDescent="0.25">
      <c r="A67" s="2"/>
      <c r="B67" s="11"/>
      <c r="C67" s="80"/>
      <c r="D67" s="81"/>
      <c r="E67" s="82"/>
      <c r="F67" s="79"/>
      <c r="G67" s="126"/>
      <c r="H67" s="45">
        <f t="shared" si="0"/>
        <v>0</v>
      </c>
      <c r="I67" s="12"/>
      <c r="J67" s="2"/>
    </row>
    <row r="68" spans="1:10" x14ac:dyDescent="0.25">
      <c r="A68" s="2"/>
      <c r="B68" s="11"/>
      <c r="C68" s="80"/>
      <c r="D68" s="81"/>
      <c r="E68" s="82"/>
      <c r="F68" s="79"/>
      <c r="G68" s="126"/>
      <c r="H68" s="45">
        <f t="shared" si="0"/>
        <v>0</v>
      </c>
      <c r="I68" s="12"/>
      <c r="J68" s="2"/>
    </row>
    <row r="69" spans="1:10" x14ac:dyDescent="0.25">
      <c r="A69" s="2"/>
      <c r="B69" s="11"/>
      <c r="C69" s="80"/>
      <c r="D69" s="81"/>
      <c r="E69" s="82"/>
      <c r="F69" s="79"/>
      <c r="G69" s="126"/>
      <c r="H69" s="45">
        <f t="shared" si="0"/>
        <v>0</v>
      </c>
      <c r="I69" s="12"/>
      <c r="J69" s="2"/>
    </row>
    <row r="70" spans="1:10" x14ac:dyDescent="0.25">
      <c r="A70" s="2"/>
      <c r="B70" s="11"/>
      <c r="C70" s="80"/>
      <c r="D70" s="81"/>
      <c r="E70" s="82"/>
      <c r="F70" s="79"/>
      <c r="G70" s="126"/>
      <c r="H70" s="45">
        <f t="shared" si="0"/>
        <v>0</v>
      </c>
      <c r="I70" s="12"/>
      <c r="J70" s="2"/>
    </row>
    <row r="71" spans="1:10" x14ac:dyDescent="0.25">
      <c r="A71" s="2"/>
      <c r="B71" s="11"/>
      <c r="C71" s="80"/>
      <c r="D71" s="81"/>
      <c r="E71" s="82"/>
      <c r="F71" s="79"/>
      <c r="G71" s="126"/>
      <c r="H71" s="45">
        <f t="shared" si="0"/>
        <v>0</v>
      </c>
      <c r="I71" s="12"/>
      <c r="J71" s="2"/>
    </row>
    <row r="72" spans="1:10" x14ac:dyDescent="0.25">
      <c r="A72" s="2"/>
      <c r="B72" s="11"/>
      <c r="C72" s="80"/>
      <c r="D72" s="81"/>
      <c r="E72" s="82"/>
      <c r="F72" s="79"/>
      <c r="G72" s="126"/>
      <c r="H72" s="45">
        <f t="shared" si="0"/>
        <v>0</v>
      </c>
      <c r="I72" s="12"/>
      <c r="J72" s="2"/>
    </row>
    <row r="73" spans="1:10" x14ac:dyDescent="0.25">
      <c r="A73" s="2"/>
      <c r="B73" s="11"/>
      <c r="C73" s="80"/>
      <c r="D73" s="81"/>
      <c r="E73" s="82"/>
      <c r="F73" s="79"/>
      <c r="G73" s="126"/>
      <c r="H73" s="45">
        <f t="shared" si="0"/>
        <v>0</v>
      </c>
      <c r="I73" s="12"/>
      <c r="J73" s="2"/>
    </row>
    <row r="74" spans="1:10" x14ac:dyDescent="0.25">
      <c r="A74" s="2"/>
      <c r="B74" s="11"/>
      <c r="C74" s="80"/>
      <c r="D74" s="81"/>
      <c r="E74" s="82"/>
      <c r="F74" s="79"/>
      <c r="G74" s="126"/>
      <c r="H74" s="45">
        <f t="shared" si="0"/>
        <v>0</v>
      </c>
      <c r="I74" s="12"/>
      <c r="J74" s="2"/>
    </row>
    <row r="75" spans="1:10" x14ac:dyDescent="0.25">
      <c r="A75" s="2"/>
      <c r="B75" s="11"/>
      <c r="C75" s="80"/>
      <c r="D75" s="81"/>
      <c r="E75" s="82"/>
      <c r="F75" s="79"/>
      <c r="G75" s="126"/>
      <c r="H75" s="45">
        <f t="shared" si="0"/>
        <v>0</v>
      </c>
      <c r="I75" s="12"/>
      <c r="J75" s="2"/>
    </row>
    <row r="76" spans="1:10" x14ac:dyDescent="0.25">
      <c r="A76" s="2"/>
      <c r="B76" s="11"/>
      <c r="C76" s="80"/>
      <c r="D76" s="81"/>
      <c r="E76" s="82"/>
      <c r="F76" s="79"/>
      <c r="G76" s="126"/>
      <c r="H76" s="45">
        <f t="shared" si="0"/>
        <v>0</v>
      </c>
      <c r="I76" s="12"/>
      <c r="J76" s="2"/>
    </row>
    <row r="77" spans="1:10" x14ac:dyDescent="0.25">
      <c r="A77" s="2"/>
      <c r="B77" s="11"/>
      <c r="C77" s="80"/>
      <c r="D77" s="81"/>
      <c r="E77" s="82"/>
      <c r="F77" s="79"/>
      <c r="G77" s="126"/>
      <c r="H77" s="45">
        <f t="shared" si="0"/>
        <v>0</v>
      </c>
      <c r="I77" s="12"/>
      <c r="J77" s="2"/>
    </row>
    <row r="78" spans="1:10" x14ac:dyDescent="0.25">
      <c r="A78" s="2"/>
      <c r="B78" s="11"/>
      <c r="C78" s="80"/>
      <c r="D78" s="81"/>
      <c r="E78" s="82"/>
      <c r="F78" s="79"/>
      <c r="G78" s="126"/>
      <c r="H78" s="45">
        <f t="shared" si="0"/>
        <v>0</v>
      </c>
      <c r="I78" s="12"/>
      <c r="J78" s="2"/>
    </row>
    <row r="79" spans="1:10" x14ac:dyDescent="0.25">
      <c r="A79" s="2"/>
      <c r="B79" s="11"/>
      <c r="C79" s="80"/>
      <c r="D79" s="81"/>
      <c r="E79" s="82"/>
      <c r="F79" s="79"/>
      <c r="G79" s="126"/>
      <c r="H79" s="45">
        <f t="shared" si="0"/>
        <v>0</v>
      </c>
      <c r="I79" s="12"/>
      <c r="J79" s="2"/>
    </row>
    <row r="80" spans="1:10" x14ac:dyDescent="0.25">
      <c r="A80" s="2"/>
      <c r="B80" s="11"/>
      <c r="C80" s="83"/>
      <c r="D80" s="84"/>
      <c r="E80" s="82"/>
      <c r="F80" s="79"/>
      <c r="G80" s="126"/>
      <c r="H80" s="45">
        <f t="shared" si="0"/>
        <v>0</v>
      </c>
      <c r="I80" s="12"/>
      <c r="J80" s="2"/>
    </row>
    <row r="81" spans="1:10" x14ac:dyDescent="0.25">
      <c r="A81" s="2"/>
      <c r="B81" s="11"/>
      <c r="C81" s="83"/>
      <c r="D81" s="84"/>
      <c r="E81" s="82"/>
      <c r="F81" s="79"/>
      <c r="G81" s="126"/>
      <c r="H81" s="45">
        <f t="shared" si="0"/>
        <v>0</v>
      </c>
      <c r="I81" s="12"/>
      <c r="J81" s="2"/>
    </row>
    <row r="82" spans="1:10" x14ac:dyDescent="0.25">
      <c r="A82" s="2"/>
      <c r="B82" s="11"/>
      <c r="C82" s="83"/>
      <c r="D82" s="84"/>
      <c r="E82" s="82"/>
      <c r="F82" s="79"/>
      <c r="G82" s="126"/>
      <c r="H82" s="45">
        <f t="shared" si="0"/>
        <v>0</v>
      </c>
      <c r="I82" s="12"/>
      <c r="J82" s="2"/>
    </row>
    <row r="83" spans="1:10" x14ac:dyDescent="0.25">
      <c r="A83" s="2"/>
      <c r="B83" s="11"/>
      <c r="C83" s="83"/>
      <c r="D83" s="84"/>
      <c r="E83" s="82"/>
      <c r="F83" s="79"/>
      <c r="G83" s="126"/>
      <c r="H83" s="45">
        <f t="shared" si="0"/>
        <v>0</v>
      </c>
      <c r="I83" s="12"/>
      <c r="J83" s="2"/>
    </row>
    <row r="84" spans="1:10" x14ac:dyDescent="0.25">
      <c r="A84" s="2"/>
      <c r="B84" s="11"/>
      <c r="C84" s="83"/>
      <c r="D84" s="84"/>
      <c r="E84" s="82"/>
      <c r="F84" s="79"/>
      <c r="G84" s="126"/>
      <c r="H84" s="45">
        <f t="shared" si="0"/>
        <v>0</v>
      </c>
      <c r="I84" s="12"/>
      <c r="J84" s="2"/>
    </row>
    <row r="85" spans="1:10" x14ac:dyDescent="0.25">
      <c r="A85" s="2"/>
      <c r="B85" s="11"/>
      <c r="C85" s="83"/>
      <c r="D85" s="84"/>
      <c r="E85" s="82"/>
      <c r="F85" s="79"/>
      <c r="G85" s="126"/>
      <c r="H85" s="45">
        <f t="shared" si="0"/>
        <v>0</v>
      </c>
      <c r="I85" s="12"/>
      <c r="J85" s="2"/>
    </row>
    <row r="86" spans="1:10" ht="15.75" thickBot="1" x14ac:dyDescent="0.3">
      <c r="A86" s="2"/>
      <c r="B86" s="11"/>
      <c r="C86" s="86"/>
      <c r="D86" s="87"/>
      <c r="E86" s="89"/>
      <c r="F86" s="89"/>
      <c r="G86" s="127"/>
      <c r="H86" s="45">
        <f t="shared" si="0"/>
        <v>0</v>
      </c>
      <c r="I86" s="12"/>
      <c r="J86" s="2"/>
    </row>
    <row r="87" spans="1:10" x14ac:dyDescent="0.25">
      <c r="A87" s="2"/>
      <c r="B87" s="11"/>
      <c r="C87" s="8"/>
      <c r="D87" s="8"/>
      <c r="E87" s="8"/>
      <c r="F87" s="8"/>
      <c r="G87" s="8"/>
      <c r="H87" s="8"/>
      <c r="I87" s="12"/>
      <c r="J87" s="2"/>
    </row>
    <row r="88" spans="1:10" ht="15.75" thickBot="1" x14ac:dyDescent="0.3">
      <c r="A88" s="2"/>
      <c r="B88" s="13"/>
      <c r="C88" s="24"/>
      <c r="D88" s="24"/>
      <c r="E88" s="24"/>
      <c r="F88" s="24"/>
      <c r="G88" s="24"/>
      <c r="H88" s="24"/>
      <c r="I88" s="16"/>
      <c r="J88" s="2"/>
    </row>
    <row r="89" spans="1:10" x14ac:dyDescent="0.25">
      <c r="A89" s="2"/>
      <c r="B89" s="2"/>
      <c r="C89" s="2"/>
      <c r="D89" s="2"/>
      <c r="E89" s="2"/>
      <c r="F89" s="2"/>
      <c r="G89" s="2"/>
      <c r="H89" s="2"/>
      <c r="I89" s="2"/>
      <c r="J89" s="2"/>
    </row>
    <row r="90" spans="1:10" x14ac:dyDescent="0.25">
      <c r="A90" s="2"/>
      <c r="B90" s="2"/>
      <c r="C90" s="2"/>
      <c r="D90" s="2"/>
      <c r="E90" s="2"/>
      <c r="F90" s="2"/>
      <c r="G90" s="2"/>
      <c r="H90" s="2"/>
      <c r="I90" s="2"/>
      <c r="J90" s="2"/>
    </row>
  </sheetData>
  <mergeCells count="10">
    <mergeCell ref="H22:H24"/>
    <mergeCell ref="C10:H12"/>
    <mergeCell ref="C13:D13"/>
    <mergeCell ref="B5:I7"/>
    <mergeCell ref="D17:E17"/>
    <mergeCell ref="C22:C24"/>
    <mergeCell ref="D22:D24"/>
    <mergeCell ref="E22:E24"/>
    <mergeCell ref="F22:F24"/>
    <mergeCell ref="G22:G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5" r:id="rId3" name="Button 3">
              <controlPr defaultSize="0" print="0" autoFill="0" autoPict="0" macro="[0]!Redirect_leakage_emissions_trans_liq_descriptions">
                <anchor moveWithCells="1" sizeWithCells="1">
                  <from>
                    <xdr:col>6</xdr:col>
                    <xdr:colOff>28575</xdr:colOff>
                    <xdr:row>18</xdr:row>
                    <xdr:rowOff>152400</xdr:rowOff>
                  </from>
                  <to>
                    <xdr:col>7</xdr:col>
                    <xdr:colOff>2247900</xdr:colOff>
                    <xdr:row>20</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36460-AD44-4666-A287-8C00ACB8F020}">
  <sheetPr codeName="Sheet9"/>
  <dimension ref="A1:J90"/>
  <sheetViews>
    <sheetView workbookViewId="0">
      <selection activeCell="C10" sqref="C10:H12"/>
    </sheetView>
  </sheetViews>
  <sheetFormatPr defaultRowHeight="15" x14ac:dyDescent="0.25"/>
  <cols>
    <col min="1" max="3" width="9.140625" style="1"/>
    <col min="4" max="4" width="13.28515625" style="1" customWidth="1"/>
    <col min="5" max="7" width="15.7109375" style="1" customWidth="1"/>
    <col min="8" max="8" width="33.85546875" style="1" bestFit="1" customWidth="1"/>
    <col min="9" max="9" width="9.140625" style="1" customWidth="1"/>
    <col min="10" max="16384" width="9.140625" style="1"/>
  </cols>
  <sheetData>
    <row r="1" spans="1:10" x14ac:dyDescent="0.25">
      <c r="A1" s="2"/>
      <c r="B1" s="2"/>
      <c r="C1" s="2"/>
      <c r="D1" s="2"/>
      <c r="E1" s="2"/>
      <c r="F1" s="2"/>
      <c r="G1" s="2"/>
      <c r="H1" s="2"/>
      <c r="I1" s="2"/>
      <c r="J1" s="2"/>
    </row>
    <row r="2" spans="1:10" x14ac:dyDescent="0.25">
      <c r="A2" s="2"/>
      <c r="B2" s="2"/>
      <c r="C2" s="2"/>
      <c r="D2" s="2"/>
      <c r="E2" s="2"/>
      <c r="F2" s="2"/>
      <c r="G2" s="2"/>
      <c r="H2" s="2"/>
      <c r="I2" s="2"/>
      <c r="J2" s="2"/>
    </row>
    <row r="3" spans="1:10" x14ac:dyDescent="0.25">
      <c r="A3" s="2"/>
      <c r="B3" s="2"/>
      <c r="C3" s="2"/>
      <c r="D3" s="2"/>
      <c r="E3" s="2"/>
      <c r="F3" s="2"/>
      <c r="G3" s="2"/>
      <c r="H3" s="2"/>
      <c r="I3" s="2"/>
      <c r="J3" s="2"/>
    </row>
    <row r="4" spans="1:10" ht="15.75" thickBot="1" x14ac:dyDescent="0.3">
      <c r="A4" s="2"/>
      <c r="B4" s="2"/>
      <c r="C4" s="2"/>
      <c r="D4" s="2"/>
      <c r="E4" s="2"/>
      <c r="F4" s="2"/>
      <c r="G4" s="2"/>
      <c r="H4" s="2"/>
      <c r="I4" s="2"/>
      <c r="J4" s="2"/>
    </row>
    <row r="5" spans="1:10" ht="15" customHeight="1" x14ac:dyDescent="0.25">
      <c r="A5" s="2"/>
      <c r="B5" s="129" t="s">
        <v>260</v>
      </c>
      <c r="C5" s="179"/>
      <c r="D5" s="179"/>
      <c r="E5" s="179"/>
      <c r="F5" s="179"/>
      <c r="G5" s="179"/>
      <c r="H5" s="179"/>
      <c r="I5" s="180"/>
      <c r="J5" s="2"/>
    </row>
    <row r="6" spans="1:10" ht="15" customHeight="1" x14ac:dyDescent="0.25">
      <c r="A6" s="2"/>
      <c r="B6" s="181"/>
      <c r="C6" s="182"/>
      <c r="D6" s="182"/>
      <c r="E6" s="182"/>
      <c r="F6" s="182"/>
      <c r="G6" s="182"/>
      <c r="H6" s="182"/>
      <c r="I6" s="183"/>
      <c r="J6" s="2"/>
    </row>
    <row r="7" spans="1:10" ht="33" customHeight="1" thickBot="1" x14ac:dyDescent="0.3">
      <c r="A7" s="2"/>
      <c r="B7" s="184"/>
      <c r="C7" s="185"/>
      <c r="D7" s="185"/>
      <c r="E7" s="185"/>
      <c r="F7" s="185"/>
      <c r="G7" s="185"/>
      <c r="H7" s="185"/>
      <c r="I7" s="186"/>
      <c r="J7" s="2"/>
    </row>
    <row r="8" spans="1:10" ht="15.75" thickTop="1" x14ac:dyDescent="0.25">
      <c r="A8" s="2"/>
      <c r="B8" s="11"/>
      <c r="C8" s="8"/>
      <c r="D8" s="8"/>
      <c r="E8" s="8"/>
      <c r="F8" s="8"/>
      <c r="G8" s="8"/>
      <c r="H8" s="8"/>
      <c r="I8" s="12"/>
      <c r="J8" s="2"/>
    </row>
    <row r="9" spans="1:10" x14ac:dyDescent="0.25">
      <c r="A9" s="2"/>
      <c r="B9" s="11"/>
      <c r="C9" s="8"/>
      <c r="D9" s="8"/>
      <c r="E9" s="8"/>
      <c r="F9" s="8"/>
      <c r="G9" s="8"/>
      <c r="H9" s="8"/>
      <c r="I9" s="12"/>
      <c r="J9" s="2"/>
    </row>
    <row r="10" spans="1:10" ht="20.25" customHeight="1" x14ac:dyDescent="0.25">
      <c r="A10" s="2"/>
      <c r="B10" s="11"/>
      <c r="C10" s="194" t="s">
        <v>261</v>
      </c>
      <c r="D10" s="194"/>
      <c r="E10" s="194"/>
      <c r="F10" s="194"/>
      <c r="G10" s="194"/>
      <c r="H10" s="194"/>
      <c r="I10" s="12"/>
      <c r="J10" s="2"/>
    </row>
    <row r="11" spans="1:10" x14ac:dyDescent="0.25">
      <c r="A11" s="2"/>
      <c r="B11" s="11"/>
      <c r="C11" s="194"/>
      <c r="D11" s="194"/>
      <c r="E11" s="194"/>
      <c r="F11" s="194"/>
      <c r="G11" s="194"/>
      <c r="H11" s="194"/>
      <c r="I11" s="12"/>
      <c r="J11" s="2"/>
    </row>
    <row r="12" spans="1:10" x14ac:dyDescent="0.25">
      <c r="A12" s="2"/>
      <c r="B12" s="11"/>
      <c r="C12" s="194"/>
      <c r="D12" s="194"/>
      <c r="E12" s="194"/>
      <c r="F12" s="194"/>
      <c r="G12" s="194"/>
      <c r="H12" s="194"/>
      <c r="I12" s="12"/>
      <c r="J12" s="2"/>
    </row>
    <row r="13" spans="1:10" ht="18.75" x14ac:dyDescent="0.25">
      <c r="A13" s="2"/>
      <c r="B13" s="11"/>
      <c r="C13" s="147">
        <v>2022</v>
      </c>
      <c r="D13" s="148"/>
      <c r="E13" s="50"/>
      <c r="F13" s="50"/>
      <c r="G13" s="50"/>
      <c r="H13" s="50"/>
      <c r="I13" s="12"/>
      <c r="J13" s="2"/>
    </row>
    <row r="14" spans="1:10" ht="18.75" x14ac:dyDescent="0.25">
      <c r="A14" s="2"/>
      <c r="B14" s="11"/>
      <c r="C14" s="50"/>
      <c r="D14" s="50"/>
      <c r="E14" s="50"/>
      <c r="F14" s="50"/>
      <c r="G14" s="50"/>
      <c r="H14" s="50"/>
      <c r="I14" s="12"/>
      <c r="J14" s="2"/>
    </row>
    <row r="15" spans="1:10" x14ac:dyDescent="0.25">
      <c r="A15" s="2"/>
      <c r="B15" s="11"/>
      <c r="C15" s="23" t="s">
        <v>62</v>
      </c>
      <c r="D15" s="23"/>
      <c r="E15" s="8"/>
      <c r="F15" s="8"/>
      <c r="G15" s="8"/>
      <c r="H15" s="8"/>
      <c r="I15" s="12"/>
      <c r="J15" s="2"/>
    </row>
    <row r="16" spans="1:10" ht="15.75" thickBot="1" x14ac:dyDescent="0.3">
      <c r="A16" s="2"/>
      <c r="B16" s="11"/>
      <c r="C16" s="8"/>
      <c r="D16" s="8"/>
      <c r="E16" s="8"/>
      <c r="F16" s="8"/>
      <c r="G16" s="8"/>
      <c r="H16" s="8"/>
      <c r="I16" s="12"/>
      <c r="J16" s="2"/>
    </row>
    <row r="17" spans="1:10" ht="19.5" thickTop="1" thickBot="1" x14ac:dyDescent="0.4">
      <c r="A17" s="2"/>
      <c r="B17" s="11"/>
      <c r="C17" s="23"/>
      <c r="D17" s="187" t="s">
        <v>251</v>
      </c>
      <c r="E17" s="188"/>
      <c r="F17" s="31">
        <f>SUMIF(C25:C86,C13,H25:H86)</f>
        <v>0.58312799999999998</v>
      </c>
      <c r="G17" s="8"/>
      <c r="H17" s="8"/>
      <c r="I17" s="12"/>
      <c r="J17" s="2"/>
    </row>
    <row r="18" spans="1:10" ht="15.75" thickTop="1" x14ac:dyDescent="0.25">
      <c r="A18" s="2"/>
      <c r="B18" s="11"/>
      <c r="C18" s="8"/>
      <c r="D18" s="8"/>
      <c r="E18" s="8"/>
      <c r="F18" s="8"/>
      <c r="G18" s="8"/>
      <c r="H18" s="8"/>
      <c r="I18" s="12"/>
      <c r="J18" s="2"/>
    </row>
    <row r="19" spans="1:10" ht="15" customHeight="1" x14ac:dyDescent="0.25">
      <c r="A19" s="2"/>
      <c r="B19" s="11"/>
      <c r="C19" s="23"/>
      <c r="D19" s="23"/>
      <c r="E19" s="8"/>
      <c r="F19" s="23"/>
      <c r="G19" s="23"/>
      <c r="H19" s="8"/>
      <c r="I19" s="12"/>
      <c r="J19" s="2"/>
    </row>
    <row r="20" spans="1:10" x14ac:dyDescent="0.25">
      <c r="A20" s="2"/>
      <c r="B20" s="11"/>
      <c r="C20" s="30"/>
      <c r="D20" s="39" t="s">
        <v>103</v>
      </c>
      <c r="E20" s="8"/>
      <c r="F20" s="8"/>
      <c r="G20" s="8"/>
      <c r="H20" s="8"/>
      <c r="I20" s="12"/>
      <c r="J20" s="2"/>
    </row>
    <row r="21" spans="1:10" ht="15.75" thickBot="1" x14ac:dyDescent="0.3">
      <c r="A21" s="2"/>
      <c r="B21" s="11"/>
      <c r="C21" s="8"/>
      <c r="D21" s="8"/>
      <c r="E21" s="24"/>
      <c r="F21" s="8"/>
      <c r="G21" s="8"/>
      <c r="H21" s="24"/>
      <c r="I21" s="12"/>
      <c r="J21" s="2"/>
    </row>
    <row r="22" spans="1:10" x14ac:dyDescent="0.25">
      <c r="A22" s="2"/>
      <c r="B22" s="11"/>
      <c r="C22" s="159" t="s">
        <v>104</v>
      </c>
      <c r="D22" s="162" t="s">
        <v>266</v>
      </c>
      <c r="E22" s="162" t="s">
        <v>249</v>
      </c>
      <c r="F22" s="166" t="s">
        <v>250</v>
      </c>
      <c r="G22" s="166" t="s">
        <v>256</v>
      </c>
      <c r="H22" s="189" t="s">
        <v>252</v>
      </c>
      <c r="I22" s="12"/>
      <c r="J22" s="2"/>
    </row>
    <row r="23" spans="1:10" x14ac:dyDescent="0.25">
      <c r="A23" s="2"/>
      <c r="B23" s="11"/>
      <c r="C23" s="160"/>
      <c r="D23" s="157"/>
      <c r="E23" s="157"/>
      <c r="F23" s="167"/>
      <c r="G23" s="167"/>
      <c r="H23" s="190"/>
      <c r="I23" s="12"/>
      <c r="J23" s="2"/>
    </row>
    <row r="24" spans="1:10" ht="15.75" thickBot="1" x14ac:dyDescent="0.3">
      <c r="A24" s="2"/>
      <c r="B24" s="11"/>
      <c r="C24" s="161"/>
      <c r="D24" s="158"/>
      <c r="E24" s="158"/>
      <c r="F24" s="168"/>
      <c r="G24" s="168"/>
      <c r="H24" s="191"/>
      <c r="I24" s="12"/>
      <c r="J24" s="2"/>
    </row>
    <row r="25" spans="1:10" x14ac:dyDescent="0.25">
      <c r="A25" s="2"/>
      <c r="B25" s="11"/>
      <c r="C25" s="76">
        <v>2021</v>
      </c>
      <c r="D25" s="77" t="s">
        <v>308</v>
      </c>
      <c r="E25" s="79">
        <v>126</v>
      </c>
      <c r="F25" s="79">
        <v>20</v>
      </c>
      <c r="G25" s="79">
        <v>1.1569999999999999E-4</v>
      </c>
      <c r="H25" s="45">
        <f>E25*F25*G25</f>
        <v>0.29156399999999999</v>
      </c>
      <c r="I25" s="12"/>
      <c r="J25" s="2"/>
    </row>
    <row r="26" spans="1:10" x14ac:dyDescent="0.25">
      <c r="A26" s="2"/>
      <c r="B26" s="11"/>
      <c r="C26" s="80">
        <v>2021</v>
      </c>
      <c r="D26" s="81" t="s">
        <v>309</v>
      </c>
      <c r="E26" s="79">
        <v>126</v>
      </c>
      <c r="F26" s="79">
        <v>20</v>
      </c>
      <c r="G26" s="79">
        <v>1.1569999999999999E-4</v>
      </c>
      <c r="H26" s="45">
        <f t="shared" ref="H26:H86" si="0">E26*F26*G26</f>
        <v>0.29156399999999999</v>
      </c>
      <c r="I26" s="12"/>
      <c r="J26" s="2"/>
    </row>
    <row r="27" spans="1:10" x14ac:dyDescent="0.25">
      <c r="A27" s="2"/>
      <c r="B27" s="11"/>
      <c r="C27" s="80">
        <v>2022</v>
      </c>
      <c r="D27" s="81" t="s">
        <v>308</v>
      </c>
      <c r="E27" s="79">
        <v>126</v>
      </c>
      <c r="F27" s="79">
        <v>20</v>
      </c>
      <c r="G27" s="79">
        <v>1.1569999999999999E-4</v>
      </c>
      <c r="H27" s="45">
        <f t="shared" si="0"/>
        <v>0.29156399999999999</v>
      </c>
      <c r="I27" s="12"/>
      <c r="J27" s="2"/>
    </row>
    <row r="28" spans="1:10" x14ac:dyDescent="0.25">
      <c r="A28" s="2"/>
      <c r="B28" s="11"/>
      <c r="C28" s="80">
        <v>2022</v>
      </c>
      <c r="D28" s="81" t="s">
        <v>309</v>
      </c>
      <c r="E28" s="79">
        <v>126</v>
      </c>
      <c r="F28" s="79">
        <v>20</v>
      </c>
      <c r="G28" s="79">
        <v>1.1569999999999999E-4</v>
      </c>
      <c r="H28" s="45">
        <f t="shared" si="0"/>
        <v>0.29156399999999999</v>
      </c>
      <c r="I28" s="12"/>
      <c r="J28" s="2"/>
    </row>
    <row r="29" spans="1:10" x14ac:dyDescent="0.25">
      <c r="A29" s="2"/>
      <c r="B29" s="11"/>
      <c r="C29" s="80">
        <v>2023</v>
      </c>
      <c r="D29" s="81" t="s">
        <v>308</v>
      </c>
      <c r="E29" s="79">
        <v>126</v>
      </c>
      <c r="F29" s="79">
        <v>20</v>
      </c>
      <c r="G29" s="79">
        <v>1.1569999999999999E-4</v>
      </c>
      <c r="H29" s="45">
        <f t="shared" si="0"/>
        <v>0.29156399999999999</v>
      </c>
      <c r="I29" s="12"/>
      <c r="J29" s="2"/>
    </row>
    <row r="30" spans="1:10" x14ac:dyDescent="0.25">
      <c r="A30" s="2"/>
      <c r="B30" s="11"/>
      <c r="C30" s="80">
        <v>2023</v>
      </c>
      <c r="D30" s="81" t="s">
        <v>309</v>
      </c>
      <c r="E30" s="79">
        <v>126</v>
      </c>
      <c r="F30" s="79">
        <v>20</v>
      </c>
      <c r="G30" s="79">
        <v>1.1569999999999999E-4</v>
      </c>
      <c r="H30" s="45">
        <f t="shared" si="0"/>
        <v>0.29156399999999999</v>
      </c>
      <c r="I30" s="12"/>
      <c r="J30" s="2"/>
    </row>
    <row r="31" spans="1:10" x14ac:dyDescent="0.25">
      <c r="A31" s="2"/>
      <c r="B31" s="11"/>
      <c r="C31" s="80">
        <v>2024</v>
      </c>
      <c r="D31" s="81" t="s">
        <v>308</v>
      </c>
      <c r="E31" s="79">
        <v>126</v>
      </c>
      <c r="F31" s="79">
        <v>20</v>
      </c>
      <c r="G31" s="79">
        <v>1.1569999999999999E-4</v>
      </c>
      <c r="H31" s="45">
        <f t="shared" si="0"/>
        <v>0.29156399999999999</v>
      </c>
      <c r="I31" s="12"/>
      <c r="J31" s="2"/>
    </row>
    <row r="32" spans="1:10" x14ac:dyDescent="0.25">
      <c r="A32" s="2"/>
      <c r="B32" s="11"/>
      <c r="C32" s="80">
        <v>2024</v>
      </c>
      <c r="D32" s="81" t="s">
        <v>309</v>
      </c>
      <c r="E32" s="79">
        <v>126</v>
      </c>
      <c r="F32" s="79">
        <v>20</v>
      </c>
      <c r="G32" s="79">
        <v>1.1569999999999999E-4</v>
      </c>
      <c r="H32" s="45">
        <f t="shared" si="0"/>
        <v>0.29156399999999999</v>
      </c>
      <c r="I32" s="12"/>
      <c r="J32" s="2"/>
    </row>
    <row r="33" spans="1:10" x14ac:dyDescent="0.25">
      <c r="A33" s="2"/>
      <c r="B33" s="11"/>
      <c r="C33" s="80"/>
      <c r="D33" s="81"/>
      <c r="E33" s="82"/>
      <c r="F33" s="79"/>
      <c r="G33" s="79"/>
      <c r="H33" s="45">
        <f t="shared" si="0"/>
        <v>0</v>
      </c>
      <c r="I33" s="12"/>
      <c r="J33" s="2"/>
    </row>
    <row r="34" spans="1:10" x14ac:dyDescent="0.25">
      <c r="A34" s="2"/>
      <c r="B34" s="11"/>
      <c r="C34" s="80"/>
      <c r="D34" s="81"/>
      <c r="E34" s="82"/>
      <c r="F34" s="79"/>
      <c r="G34" s="79"/>
      <c r="H34" s="45">
        <f t="shared" si="0"/>
        <v>0</v>
      </c>
      <c r="I34" s="12"/>
      <c r="J34" s="2"/>
    </row>
    <row r="35" spans="1:10" x14ac:dyDescent="0.25">
      <c r="A35" s="2"/>
      <c r="B35" s="11"/>
      <c r="C35" s="80"/>
      <c r="D35" s="81"/>
      <c r="E35" s="82"/>
      <c r="F35" s="79"/>
      <c r="G35" s="79"/>
      <c r="H35" s="45">
        <f t="shared" si="0"/>
        <v>0</v>
      </c>
      <c r="I35" s="12"/>
      <c r="J35" s="2"/>
    </row>
    <row r="36" spans="1:10" x14ac:dyDescent="0.25">
      <c r="A36" s="2"/>
      <c r="B36" s="11"/>
      <c r="C36" s="80"/>
      <c r="D36" s="81"/>
      <c r="E36" s="82"/>
      <c r="F36" s="79"/>
      <c r="G36" s="79"/>
      <c r="H36" s="45">
        <f t="shared" si="0"/>
        <v>0</v>
      </c>
      <c r="I36" s="12"/>
      <c r="J36" s="2"/>
    </row>
    <row r="37" spans="1:10" x14ac:dyDescent="0.25">
      <c r="A37" s="2"/>
      <c r="B37" s="11"/>
      <c r="C37" s="80"/>
      <c r="D37" s="81"/>
      <c r="E37" s="82"/>
      <c r="F37" s="79"/>
      <c r="G37" s="79"/>
      <c r="H37" s="45">
        <f t="shared" si="0"/>
        <v>0</v>
      </c>
      <c r="I37" s="12"/>
      <c r="J37" s="2"/>
    </row>
    <row r="38" spans="1:10" x14ac:dyDescent="0.25">
      <c r="A38" s="2"/>
      <c r="B38" s="11"/>
      <c r="C38" s="80"/>
      <c r="D38" s="81"/>
      <c r="E38" s="82"/>
      <c r="F38" s="79"/>
      <c r="G38" s="79"/>
      <c r="H38" s="45">
        <f t="shared" si="0"/>
        <v>0</v>
      </c>
      <c r="I38" s="12"/>
      <c r="J38" s="2"/>
    </row>
    <row r="39" spans="1:10" x14ac:dyDescent="0.25">
      <c r="A39" s="2"/>
      <c r="B39" s="11"/>
      <c r="C39" s="80"/>
      <c r="D39" s="81"/>
      <c r="E39" s="82"/>
      <c r="F39" s="79"/>
      <c r="G39" s="79"/>
      <c r="H39" s="45">
        <f t="shared" si="0"/>
        <v>0</v>
      </c>
      <c r="I39" s="12"/>
      <c r="J39" s="2"/>
    </row>
    <row r="40" spans="1:10" x14ac:dyDescent="0.25">
      <c r="A40" s="2"/>
      <c r="B40" s="11"/>
      <c r="C40" s="80"/>
      <c r="D40" s="81"/>
      <c r="E40" s="82"/>
      <c r="F40" s="79"/>
      <c r="G40" s="79"/>
      <c r="H40" s="45">
        <f t="shared" si="0"/>
        <v>0</v>
      </c>
      <c r="I40" s="12"/>
      <c r="J40" s="2"/>
    </row>
    <row r="41" spans="1:10" x14ac:dyDescent="0.25">
      <c r="A41" s="2"/>
      <c r="B41" s="11"/>
      <c r="C41" s="80"/>
      <c r="D41" s="81"/>
      <c r="E41" s="82"/>
      <c r="F41" s="79"/>
      <c r="G41" s="79"/>
      <c r="H41" s="45">
        <f t="shared" si="0"/>
        <v>0</v>
      </c>
      <c r="I41" s="12"/>
      <c r="J41" s="2"/>
    </row>
    <row r="42" spans="1:10" x14ac:dyDescent="0.25">
      <c r="A42" s="2"/>
      <c r="B42" s="11"/>
      <c r="C42" s="80"/>
      <c r="D42" s="81"/>
      <c r="E42" s="82"/>
      <c r="F42" s="79"/>
      <c r="G42" s="79"/>
      <c r="H42" s="45">
        <f t="shared" si="0"/>
        <v>0</v>
      </c>
      <c r="I42" s="12"/>
      <c r="J42" s="2"/>
    </row>
    <row r="43" spans="1:10" x14ac:dyDescent="0.25">
      <c r="A43" s="2"/>
      <c r="B43" s="11"/>
      <c r="C43" s="80"/>
      <c r="D43" s="81"/>
      <c r="E43" s="82"/>
      <c r="F43" s="79"/>
      <c r="G43" s="79"/>
      <c r="H43" s="45">
        <f t="shared" si="0"/>
        <v>0</v>
      </c>
      <c r="I43" s="12"/>
      <c r="J43" s="2"/>
    </row>
    <row r="44" spans="1:10" x14ac:dyDescent="0.25">
      <c r="A44" s="2"/>
      <c r="B44" s="11"/>
      <c r="C44" s="80"/>
      <c r="D44" s="81"/>
      <c r="E44" s="82"/>
      <c r="F44" s="79"/>
      <c r="G44" s="79"/>
      <c r="H44" s="45">
        <f t="shared" si="0"/>
        <v>0</v>
      </c>
      <c r="I44" s="12"/>
      <c r="J44" s="2"/>
    </row>
    <row r="45" spans="1:10" x14ac:dyDescent="0.25">
      <c r="A45" s="2"/>
      <c r="B45" s="11"/>
      <c r="C45" s="80"/>
      <c r="D45" s="81"/>
      <c r="E45" s="82"/>
      <c r="F45" s="79"/>
      <c r="G45" s="79"/>
      <c r="H45" s="45">
        <f t="shared" si="0"/>
        <v>0</v>
      </c>
      <c r="I45" s="12"/>
      <c r="J45" s="2"/>
    </row>
    <row r="46" spans="1:10" x14ac:dyDescent="0.25">
      <c r="A46" s="2"/>
      <c r="B46" s="11"/>
      <c r="C46" s="80"/>
      <c r="D46" s="81"/>
      <c r="E46" s="82"/>
      <c r="F46" s="79"/>
      <c r="G46" s="79"/>
      <c r="H46" s="45">
        <f t="shared" si="0"/>
        <v>0</v>
      </c>
      <c r="I46" s="12"/>
      <c r="J46" s="2"/>
    </row>
    <row r="47" spans="1:10" x14ac:dyDescent="0.25">
      <c r="A47" s="2"/>
      <c r="B47" s="11"/>
      <c r="C47" s="80"/>
      <c r="D47" s="81"/>
      <c r="E47" s="82"/>
      <c r="F47" s="79"/>
      <c r="G47" s="79"/>
      <c r="H47" s="45">
        <f t="shared" si="0"/>
        <v>0</v>
      </c>
      <c r="I47" s="12"/>
      <c r="J47" s="2"/>
    </row>
    <row r="48" spans="1:10" x14ac:dyDescent="0.25">
      <c r="A48" s="2"/>
      <c r="B48" s="11"/>
      <c r="C48" s="80"/>
      <c r="D48" s="81"/>
      <c r="E48" s="82"/>
      <c r="F48" s="79"/>
      <c r="G48" s="79"/>
      <c r="H48" s="45">
        <f t="shared" si="0"/>
        <v>0</v>
      </c>
      <c r="I48" s="12"/>
      <c r="J48" s="2"/>
    </row>
    <row r="49" spans="1:10" x14ac:dyDescent="0.25">
      <c r="A49" s="2"/>
      <c r="B49" s="11"/>
      <c r="C49" s="80"/>
      <c r="D49" s="81"/>
      <c r="E49" s="82"/>
      <c r="F49" s="79"/>
      <c r="G49" s="79"/>
      <c r="H49" s="45">
        <f t="shared" si="0"/>
        <v>0</v>
      </c>
      <c r="I49" s="12"/>
      <c r="J49" s="2"/>
    </row>
    <row r="50" spans="1:10" x14ac:dyDescent="0.25">
      <c r="A50" s="2"/>
      <c r="B50" s="11"/>
      <c r="C50" s="80"/>
      <c r="D50" s="81"/>
      <c r="E50" s="82"/>
      <c r="F50" s="79"/>
      <c r="G50" s="79"/>
      <c r="H50" s="45">
        <f t="shared" si="0"/>
        <v>0</v>
      </c>
      <c r="I50" s="12"/>
      <c r="J50" s="2"/>
    </row>
    <row r="51" spans="1:10" x14ac:dyDescent="0.25">
      <c r="A51" s="2"/>
      <c r="B51" s="11"/>
      <c r="C51" s="80"/>
      <c r="D51" s="81"/>
      <c r="E51" s="82"/>
      <c r="F51" s="79"/>
      <c r="G51" s="79"/>
      <c r="H51" s="45">
        <f t="shared" si="0"/>
        <v>0</v>
      </c>
      <c r="I51" s="12"/>
      <c r="J51" s="2"/>
    </row>
    <row r="52" spans="1:10" x14ac:dyDescent="0.25">
      <c r="A52" s="2"/>
      <c r="B52" s="11"/>
      <c r="C52" s="80"/>
      <c r="D52" s="81"/>
      <c r="E52" s="82"/>
      <c r="F52" s="79"/>
      <c r="G52" s="79"/>
      <c r="H52" s="45">
        <f t="shared" si="0"/>
        <v>0</v>
      </c>
      <c r="I52" s="12"/>
      <c r="J52" s="2"/>
    </row>
    <row r="53" spans="1:10" x14ac:dyDescent="0.25">
      <c r="A53" s="2"/>
      <c r="B53" s="11"/>
      <c r="C53" s="80"/>
      <c r="D53" s="81"/>
      <c r="E53" s="82"/>
      <c r="F53" s="79"/>
      <c r="G53" s="79"/>
      <c r="H53" s="45">
        <f t="shared" si="0"/>
        <v>0</v>
      </c>
      <c r="I53" s="12"/>
      <c r="J53" s="2"/>
    </row>
    <row r="54" spans="1:10" x14ac:dyDescent="0.25">
      <c r="A54" s="2"/>
      <c r="B54" s="11"/>
      <c r="C54" s="80"/>
      <c r="D54" s="81"/>
      <c r="E54" s="82"/>
      <c r="F54" s="79"/>
      <c r="G54" s="79"/>
      <c r="H54" s="45">
        <f t="shared" si="0"/>
        <v>0</v>
      </c>
      <c r="I54" s="12"/>
      <c r="J54" s="2"/>
    </row>
    <row r="55" spans="1:10" x14ac:dyDescent="0.25">
      <c r="A55" s="2"/>
      <c r="B55" s="11"/>
      <c r="C55" s="80"/>
      <c r="D55" s="81"/>
      <c r="E55" s="82"/>
      <c r="F55" s="79"/>
      <c r="G55" s="79"/>
      <c r="H55" s="45">
        <f t="shared" si="0"/>
        <v>0</v>
      </c>
      <c r="I55" s="12"/>
      <c r="J55" s="2"/>
    </row>
    <row r="56" spans="1:10" x14ac:dyDescent="0.25">
      <c r="A56" s="2"/>
      <c r="B56" s="11"/>
      <c r="C56" s="80"/>
      <c r="D56" s="81"/>
      <c r="E56" s="82"/>
      <c r="F56" s="79"/>
      <c r="G56" s="79"/>
      <c r="H56" s="45">
        <f t="shared" si="0"/>
        <v>0</v>
      </c>
      <c r="I56" s="12"/>
      <c r="J56" s="2"/>
    </row>
    <row r="57" spans="1:10" x14ac:dyDescent="0.25">
      <c r="A57" s="2"/>
      <c r="B57" s="11"/>
      <c r="C57" s="80"/>
      <c r="D57" s="81"/>
      <c r="E57" s="82"/>
      <c r="F57" s="79"/>
      <c r="G57" s="79"/>
      <c r="H57" s="45">
        <f t="shared" si="0"/>
        <v>0</v>
      </c>
      <c r="I57" s="12"/>
      <c r="J57" s="2"/>
    </row>
    <row r="58" spans="1:10" x14ac:dyDescent="0.25">
      <c r="A58" s="2"/>
      <c r="B58" s="11"/>
      <c r="C58" s="80"/>
      <c r="D58" s="81"/>
      <c r="E58" s="82"/>
      <c r="F58" s="79"/>
      <c r="G58" s="79"/>
      <c r="H58" s="45">
        <f t="shared" si="0"/>
        <v>0</v>
      </c>
      <c r="I58" s="12"/>
      <c r="J58" s="2"/>
    </row>
    <row r="59" spans="1:10" x14ac:dyDescent="0.25">
      <c r="A59" s="2"/>
      <c r="B59" s="11"/>
      <c r="C59" s="80"/>
      <c r="D59" s="81"/>
      <c r="E59" s="82"/>
      <c r="F59" s="79"/>
      <c r="G59" s="79"/>
      <c r="H59" s="45">
        <f t="shared" si="0"/>
        <v>0</v>
      </c>
      <c r="I59" s="12"/>
      <c r="J59" s="2"/>
    </row>
    <row r="60" spans="1:10" x14ac:dyDescent="0.25">
      <c r="A60" s="2"/>
      <c r="B60" s="11"/>
      <c r="C60" s="80"/>
      <c r="D60" s="81"/>
      <c r="E60" s="82"/>
      <c r="F60" s="79"/>
      <c r="G60" s="79"/>
      <c r="H60" s="45">
        <f t="shared" si="0"/>
        <v>0</v>
      </c>
      <c r="I60" s="12"/>
      <c r="J60" s="2"/>
    </row>
    <row r="61" spans="1:10" x14ac:dyDescent="0.25">
      <c r="A61" s="2"/>
      <c r="B61" s="11"/>
      <c r="C61" s="80"/>
      <c r="D61" s="81"/>
      <c r="E61" s="82"/>
      <c r="F61" s="79"/>
      <c r="G61" s="79"/>
      <c r="H61" s="45">
        <f t="shared" si="0"/>
        <v>0</v>
      </c>
      <c r="I61" s="12"/>
      <c r="J61" s="2"/>
    </row>
    <row r="62" spans="1:10" x14ac:dyDescent="0.25">
      <c r="A62" s="2"/>
      <c r="B62" s="11"/>
      <c r="C62" s="80"/>
      <c r="D62" s="81"/>
      <c r="E62" s="82"/>
      <c r="F62" s="79"/>
      <c r="G62" s="79"/>
      <c r="H62" s="45">
        <f t="shared" si="0"/>
        <v>0</v>
      </c>
      <c r="I62" s="12"/>
      <c r="J62" s="2"/>
    </row>
    <row r="63" spans="1:10" x14ac:dyDescent="0.25">
      <c r="A63" s="2"/>
      <c r="B63" s="11"/>
      <c r="C63" s="80"/>
      <c r="D63" s="81"/>
      <c r="E63" s="82"/>
      <c r="F63" s="79"/>
      <c r="G63" s="79"/>
      <c r="H63" s="45">
        <f t="shared" si="0"/>
        <v>0</v>
      </c>
      <c r="I63" s="12"/>
      <c r="J63" s="2"/>
    </row>
    <row r="64" spans="1:10" x14ac:dyDescent="0.25">
      <c r="A64" s="2"/>
      <c r="B64" s="11"/>
      <c r="C64" s="80"/>
      <c r="D64" s="81"/>
      <c r="E64" s="82"/>
      <c r="F64" s="79"/>
      <c r="G64" s="79"/>
      <c r="H64" s="45">
        <f t="shared" si="0"/>
        <v>0</v>
      </c>
      <c r="I64" s="12"/>
      <c r="J64" s="2"/>
    </row>
    <row r="65" spans="1:10" x14ac:dyDescent="0.25">
      <c r="A65" s="2"/>
      <c r="B65" s="11"/>
      <c r="C65" s="80"/>
      <c r="D65" s="81"/>
      <c r="E65" s="82"/>
      <c r="F65" s="79"/>
      <c r="G65" s="79"/>
      <c r="H65" s="45">
        <f t="shared" si="0"/>
        <v>0</v>
      </c>
      <c r="I65" s="12"/>
      <c r="J65" s="2"/>
    </row>
    <row r="66" spans="1:10" x14ac:dyDescent="0.25">
      <c r="A66" s="2"/>
      <c r="B66" s="11"/>
      <c r="C66" s="80"/>
      <c r="D66" s="81"/>
      <c r="E66" s="82"/>
      <c r="F66" s="79"/>
      <c r="G66" s="79"/>
      <c r="H66" s="45">
        <f t="shared" si="0"/>
        <v>0</v>
      </c>
      <c r="I66" s="12"/>
      <c r="J66" s="2"/>
    </row>
    <row r="67" spans="1:10" x14ac:dyDescent="0.25">
      <c r="A67" s="2"/>
      <c r="B67" s="11"/>
      <c r="C67" s="80"/>
      <c r="D67" s="81"/>
      <c r="E67" s="82"/>
      <c r="F67" s="79"/>
      <c r="G67" s="79"/>
      <c r="H67" s="45">
        <f t="shared" si="0"/>
        <v>0</v>
      </c>
      <c r="I67" s="12"/>
      <c r="J67" s="2"/>
    </row>
    <row r="68" spans="1:10" x14ac:dyDescent="0.25">
      <c r="A68" s="2"/>
      <c r="B68" s="11"/>
      <c r="C68" s="80"/>
      <c r="D68" s="81"/>
      <c r="E68" s="82"/>
      <c r="F68" s="79"/>
      <c r="G68" s="79"/>
      <c r="H68" s="45">
        <f t="shared" si="0"/>
        <v>0</v>
      </c>
      <c r="I68" s="12"/>
      <c r="J68" s="2"/>
    </row>
    <row r="69" spans="1:10" x14ac:dyDescent="0.25">
      <c r="A69" s="2"/>
      <c r="B69" s="11"/>
      <c r="C69" s="80"/>
      <c r="D69" s="81"/>
      <c r="E69" s="82"/>
      <c r="F69" s="79"/>
      <c r="G69" s="79"/>
      <c r="H69" s="45">
        <f t="shared" si="0"/>
        <v>0</v>
      </c>
      <c r="I69" s="12"/>
      <c r="J69" s="2"/>
    </row>
    <row r="70" spans="1:10" x14ac:dyDescent="0.25">
      <c r="A70" s="2"/>
      <c r="B70" s="11"/>
      <c r="C70" s="80"/>
      <c r="D70" s="81"/>
      <c r="E70" s="82"/>
      <c r="F70" s="79"/>
      <c r="G70" s="79"/>
      <c r="H70" s="45">
        <f t="shared" si="0"/>
        <v>0</v>
      </c>
      <c r="I70" s="12"/>
      <c r="J70" s="2"/>
    </row>
    <row r="71" spans="1:10" x14ac:dyDescent="0.25">
      <c r="A71" s="2"/>
      <c r="B71" s="11"/>
      <c r="C71" s="80"/>
      <c r="D71" s="81"/>
      <c r="E71" s="82"/>
      <c r="F71" s="79"/>
      <c r="G71" s="79"/>
      <c r="H71" s="45">
        <f t="shared" si="0"/>
        <v>0</v>
      </c>
      <c r="I71" s="12"/>
      <c r="J71" s="2"/>
    </row>
    <row r="72" spans="1:10" x14ac:dyDescent="0.25">
      <c r="A72" s="2"/>
      <c r="B72" s="11"/>
      <c r="C72" s="80"/>
      <c r="D72" s="81"/>
      <c r="E72" s="82"/>
      <c r="F72" s="79"/>
      <c r="G72" s="79"/>
      <c r="H72" s="45">
        <f t="shared" si="0"/>
        <v>0</v>
      </c>
      <c r="I72" s="12"/>
      <c r="J72" s="2"/>
    </row>
    <row r="73" spans="1:10" x14ac:dyDescent="0.25">
      <c r="A73" s="2"/>
      <c r="B73" s="11"/>
      <c r="C73" s="80"/>
      <c r="D73" s="81"/>
      <c r="E73" s="82"/>
      <c r="F73" s="79"/>
      <c r="G73" s="79"/>
      <c r="H73" s="45">
        <f t="shared" si="0"/>
        <v>0</v>
      </c>
      <c r="I73" s="12"/>
      <c r="J73" s="2"/>
    </row>
    <row r="74" spans="1:10" x14ac:dyDescent="0.25">
      <c r="A74" s="2"/>
      <c r="B74" s="11"/>
      <c r="C74" s="80"/>
      <c r="D74" s="81"/>
      <c r="E74" s="82"/>
      <c r="F74" s="79"/>
      <c r="G74" s="79"/>
      <c r="H74" s="45">
        <f t="shared" si="0"/>
        <v>0</v>
      </c>
      <c r="I74" s="12"/>
      <c r="J74" s="2"/>
    </row>
    <row r="75" spans="1:10" x14ac:dyDescent="0.25">
      <c r="A75" s="2"/>
      <c r="B75" s="11"/>
      <c r="C75" s="80"/>
      <c r="D75" s="81"/>
      <c r="E75" s="82"/>
      <c r="F75" s="79"/>
      <c r="G75" s="79"/>
      <c r="H75" s="45">
        <f t="shared" si="0"/>
        <v>0</v>
      </c>
      <c r="I75" s="12"/>
      <c r="J75" s="2"/>
    </row>
    <row r="76" spans="1:10" x14ac:dyDescent="0.25">
      <c r="A76" s="2"/>
      <c r="B76" s="11"/>
      <c r="C76" s="80"/>
      <c r="D76" s="81"/>
      <c r="E76" s="82"/>
      <c r="F76" s="79"/>
      <c r="G76" s="79"/>
      <c r="H76" s="45">
        <f t="shared" si="0"/>
        <v>0</v>
      </c>
      <c r="I76" s="12"/>
      <c r="J76" s="2"/>
    </row>
    <row r="77" spans="1:10" x14ac:dyDescent="0.25">
      <c r="A77" s="2"/>
      <c r="B77" s="11"/>
      <c r="C77" s="80"/>
      <c r="D77" s="81"/>
      <c r="E77" s="82"/>
      <c r="F77" s="79"/>
      <c r="G77" s="79"/>
      <c r="H77" s="45">
        <f t="shared" si="0"/>
        <v>0</v>
      </c>
      <c r="I77" s="12"/>
      <c r="J77" s="2"/>
    </row>
    <row r="78" spans="1:10" x14ac:dyDescent="0.25">
      <c r="A78" s="2"/>
      <c r="B78" s="11"/>
      <c r="C78" s="80"/>
      <c r="D78" s="81"/>
      <c r="E78" s="82"/>
      <c r="F78" s="79"/>
      <c r="G78" s="79"/>
      <c r="H78" s="45">
        <f t="shared" si="0"/>
        <v>0</v>
      </c>
      <c r="I78" s="12"/>
      <c r="J78" s="2"/>
    </row>
    <row r="79" spans="1:10" x14ac:dyDescent="0.25">
      <c r="A79" s="2"/>
      <c r="B79" s="11"/>
      <c r="C79" s="80"/>
      <c r="D79" s="81"/>
      <c r="E79" s="82"/>
      <c r="F79" s="79"/>
      <c r="G79" s="79"/>
      <c r="H79" s="45">
        <f t="shared" si="0"/>
        <v>0</v>
      </c>
      <c r="I79" s="12"/>
      <c r="J79" s="2"/>
    </row>
    <row r="80" spans="1:10" x14ac:dyDescent="0.25">
      <c r="A80" s="2"/>
      <c r="B80" s="11"/>
      <c r="C80" s="83"/>
      <c r="D80" s="84"/>
      <c r="E80" s="82"/>
      <c r="F80" s="79"/>
      <c r="G80" s="79"/>
      <c r="H80" s="45">
        <f t="shared" si="0"/>
        <v>0</v>
      </c>
      <c r="I80" s="12"/>
      <c r="J80" s="2"/>
    </row>
    <row r="81" spans="1:10" x14ac:dyDescent="0.25">
      <c r="A81" s="2"/>
      <c r="B81" s="11"/>
      <c r="C81" s="83"/>
      <c r="D81" s="84"/>
      <c r="E81" s="82"/>
      <c r="F81" s="79"/>
      <c r="G81" s="79"/>
      <c r="H81" s="45">
        <f t="shared" si="0"/>
        <v>0</v>
      </c>
      <c r="I81" s="12"/>
      <c r="J81" s="2"/>
    </row>
    <row r="82" spans="1:10" x14ac:dyDescent="0.25">
      <c r="A82" s="2"/>
      <c r="B82" s="11"/>
      <c r="C82" s="83"/>
      <c r="D82" s="84"/>
      <c r="E82" s="82"/>
      <c r="F82" s="79"/>
      <c r="G82" s="79"/>
      <c r="H82" s="45">
        <f t="shared" si="0"/>
        <v>0</v>
      </c>
      <c r="I82" s="12"/>
      <c r="J82" s="2"/>
    </row>
    <row r="83" spans="1:10" x14ac:dyDescent="0.25">
      <c r="A83" s="2"/>
      <c r="B83" s="11"/>
      <c r="C83" s="83"/>
      <c r="D83" s="84"/>
      <c r="E83" s="82"/>
      <c r="F83" s="79"/>
      <c r="G83" s="79"/>
      <c r="H83" s="45">
        <f t="shared" si="0"/>
        <v>0</v>
      </c>
      <c r="I83" s="12"/>
      <c r="J83" s="2"/>
    </row>
    <row r="84" spans="1:10" x14ac:dyDescent="0.25">
      <c r="A84" s="2"/>
      <c r="B84" s="11"/>
      <c r="C84" s="83"/>
      <c r="D84" s="84"/>
      <c r="E84" s="82"/>
      <c r="F84" s="79"/>
      <c r="G84" s="79"/>
      <c r="H84" s="45">
        <f t="shared" si="0"/>
        <v>0</v>
      </c>
      <c r="I84" s="12"/>
      <c r="J84" s="2"/>
    </row>
    <row r="85" spans="1:10" x14ac:dyDescent="0.25">
      <c r="A85" s="2"/>
      <c r="B85" s="11"/>
      <c r="C85" s="83"/>
      <c r="D85" s="84"/>
      <c r="E85" s="82"/>
      <c r="F85" s="79"/>
      <c r="G85" s="79"/>
      <c r="H85" s="45">
        <f t="shared" si="0"/>
        <v>0</v>
      </c>
      <c r="I85" s="12"/>
      <c r="J85" s="2"/>
    </row>
    <row r="86" spans="1:10" ht="15.75" thickBot="1" x14ac:dyDescent="0.3">
      <c r="A86" s="2"/>
      <c r="B86" s="11"/>
      <c r="C86" s="86"/>
      <c r="D86" s="87"/>
      <c r="E86" s="89"/>
      <c r="F86" s="89"/>
      <c r="G86" s="89"/>
      <c r="H86" s="45">
        <f t="shared" si="0"/>
        <v>0</v>
      </c>
      <c r="I86" s="12"/>
      <c r="J86" s="2"/>
    </row>
    <row r="87" spans="1:10" x14ac:dyDescent="0.25">
      <c r="A87" s="2"/>
      <c r="B87" s="11"/>
      <c r="C87" s="8"/>
      <c r="D87" s="8"/>
      <c r="E87" s="8"/>
      <c r="F87" s="8"/>
      <c r="G87" s="8"/>
      <c r="H87" s="8"/>
      <c r="I87" s="12"/>
      <c r="J87" s="2"/>
    </row>
    <row r="88" spans="1:10" ht="15.75" thickBot="1" x14ac:dyDescent="0.3">
      <c r="A88" s="2"/>
      <c r="B88" s="13"/>
      <c r="C88" s="24"/>
      <c r="D88" s="24"/>
      <c r="E88" s="24"/>
      <c r="F88" s="24"/>
      <c r="G88" s="24"/>
      <c r="H88" s="24"/>
      <c r="I88" s="16"/>
      <c r="J88" s="2"/>
    </row>
    <row r="89" spans="1:10" x14ac:dyDescent="0.25">
      <c r="A89" s="2"/>
      <c r="B89" s="2"/>
      <c r="C89" s="2"/>
      <c r="D89" s="2"/>
      <c r="E89" s="2"/>
      <c r="F89" s="2"/>
      <c r="G89" s="2"/>
      <c r="H89" s="2"/>
      <c r="I89" s="2"/>
      <c r="J89" s="2"/>
    </row>
    <row r="90" spans="1:10" x14ac:dyDescent="0.25">
      <c r="A90" s="2"/>
      <c r="B90" s="2"/>
      <c r="C90" s="2"/>
      <c r="D90" s="2"/>
      <c r="E90" s="2"/>
      <c r="F90" s="2"/>
      <c r="G90" s="2"/>
      <c r="H90" s="2"/>
      <c r="I90" s="2"/>
      <c r="J90" s="2"/>
    </row>
  </sheetData>
  <mergeCells count="10">
    <mergeCell ref="B5:I7"/>
    <mergeCell ref="D17:E17"/>
    <mergeCell ref="C22:C24"/>
    <mergeCell ref="D22:D24"/>
    <mergeCell ref="E22:E24"/>
    <mergeCell ref="F22:F24"/>
    <mergeCell ref="G22:G24"/>
    <mergeCell ref="H22:H24"/>
    <mergeCell ref="C10:H12"/>
    <mergeCell ref="C13:D13"/>
  </mergeCells>
  <phoneticPr fontId="38"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Redirect_leakage_emissions_trans_CRF_descriptions">
                <anchor moveWithCells="1" sizeWithCells="1">
                  <from>
                    <xdr:col>6</xdr:col>
                    <xdr:colOff>38100</xdr:colOff>
                    <xdr:row>18</xdr:row>
                    <xdr:rowOff>152400</xdr:rowOff>
                  </from>
                  <to>
                    <xdr:col>8</xdr:col>
                    <xdr:colOff>0</xdr:colOff>
                    <xdr:row>20</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7568-44E3-4B19-BC7A-A8C81BACBBE5}">
  <sheetPr codeName="Sheet11"/>
  <dimension ref="A1:J90"/>
  <sheetViews>
    <sheetView workbookViewId="0">
      <selection activeCell="M25" sqref="M25"/>
    </sheetView>
  </sheetViews>
  <sheetFormatPr defaultRowHeight="15" x14ac:dyDescent="0.25"/>
  <cols>
    <col min="1" max="3" width="9.140625" style="1"/>
    <col min="4" max="4" width="13.28515625" style="1" customWidth="1"/>
    <col min="5" max="6" width="29.28515625" style="1" customWidth="1"/>
    <col min="7" max="7" width="15.7109375" style="1" customWidth="1"/>
    <col min="8" max="8" width="47.7109375" style="1" bestFit="1" customWidth="1"/>
    <col min="9" max="9" width="9.140625" style="1" customWidth="1"/>
    <col min="10" max="16384" width="9.140625" style="1"/>
  </cols>
  <sheetData>
    <row r="1" spans="1:10" x14ac:dyDescent="0.25">
      <c r="A1" s="2"/>
      <c r="B1" s="2"/>
      <c r="C1" s="2"/>
      <c r="D1" s="2"/>
      <c r="E1" s="2"/>
      <c r="F1" s="2"/>
      <c r="G1" s="2"/>
      <c r="H1" s="2"/>
      <c r="I1" s="2"/>
      <c r="J1" s="2"/>
    </row>
    <row r="2" spans="1:10" x14ac:dyDescent="0.25">
      <c r="A2" s="2"/>
      <c r="B2" s="2"/>
      <c r="C2" s="2"/>
      <c r="D2" s="2"/>
      <c r="E2" s="2"/>
      <c r="F2" s="2"/>
      <c r="G2" s="2"/>
      <c r="H2" s="2"/>
      <c r="I2" s="2"/>
      <c r="J2" s="2"/>
    </row>
    <row r="3" spans="1:10" x14ac:dyDescent="0.25">
      <c r="A3" s="2"/>
      <c r="B3" s="2"/>
      <c r="C3" s="2"/>
      <c r="D3" s="2"/>
      <c r="E3" s="2"/>
      <c r="F3" s="2"/>
      <c r="G3" s="2"/>
      <c r="H3" s="2"/>
      <c r="I3" s="2"/>
      <c r="J3" s="2"/>
    </row>
    <row r="4" spans="1:10" ht="15.75" thickBot="1" x14ac:dyDescent="0.3">
      <c r="A4" s="2"/>
      <c r="B4" s="2"/>
      <c r="C4" s="2"/>
      <c r="D4" s="2"/>
      <c r="E4" s="2"/>
      <c r="F4" s="2"/>
      <c r="G4" s="2"/>
      <c r="H4" s="2"/>
      <c r="I4" s="2"/>
      <c r="J4" s="2"/>
    </row>
    <row r="5" spans="1:10" ht="15" customHeight="1" x14ac:dyDescent="0.25">
      <c r="A5" s="2"/>
      <c r="B5" s="129" t="s">
        <v>262</v>
      </c>
      <c r="C5" s="179"/>
      <c r="D5" s="179"/>
      <c r="E5" s="179"/>
      <c r="F5" s="179"/>
      <c r="G5" s="179"/>
      <c r="H5" s="179"/>
      <c r="I5" s="180"/>
      <c r="J5" s="2"/>
    </row>
    <row r="6" spans="1:10" ht="15" customHeight="1" x14ac:dyDescent="0.25">
      <c r="A6" s="2"/>
      <c r="B6" s="181"/>
      <c r="C6" s="182"/>
      <c r="D6" s="182"/>
      <c r="E6" s="182"/>
      <c r="F6" s="182"/>
      <c r="G6" s="182"/>
      <c r="H6" s="182"/>
      <c r="I6" s="183"/>
      <c r="J6" s="2"/>
    </row>
    <row r="7" spans="1:10" ht="36" customHeight="1" thickBot="1" x14ac:dyDescent="0.3">
      <c r="A7" s="2"/>
      <c r="B7" s="184"/>
      <c r="C7" s="185"/>
      <c r="D7" s="185"/>
      <c r="E7" s="185"/>
      <c r="F7" s="185"/>
      <c r="G7" s="185"/>
      <c r="H7" s="185"/>
      <c r="I7" s="186"/>
      <c r="J7" s="2"/>
    </row>
    <row r="8" spans="1:10" ht="15.75" thickTop="1" x14ac:dyDescent="0.25">
      <c r="A8" s="2"/>
      <c r="B8" s="11"/>
      <c r="C8" s="8"/>
      <c r="D8" s="8"/>
      <c r="E8" s="8"/>
      <c r="F8" s="8"/>
      <c r="G8" s="8"/>
      <c r="H8" s="8"/>
      <c r="I8" s="12"/>
      <c r="J8" s="2"/>
    </row>
    <row r="9" spans="1:10" x14ac:dyDescent="0.25">
      <c r="A9" s="2"/>
      <c r="B9" s="11"/>
      <c r="C9" s="8"/>
      <c r="D9" s="8"/>
      <c r="E9" s="8"/>
      <c r="F9" s="8"/>
      <c r="G9" s="8"/>
      <c r="H9" s="8"/>
      <c r="I9" s="12"/>
      <c r="J9" s="2"/>
    </row>
    <row r="10" spans="1:10" ht="20.25" customHeight="1" x14ac:dyDescent="0.25">
      <c r="A10" s="2"/>
      <c r="B10" s="11"/>
      <c r="C10" s="194" t="s">
        <v>408</v>
      </c>
      <c r="D10" s="194"/>
      <c r="E10" s="194"/>
      <c r="F10" s="194"/>
      <c r="G10" s="194"/>
      <c r="H10" s="194"/>
      <c r="I10" s="12"/>
      <c r="J10" s="2"/>
    </row>
    <row r="11" spans="1:10" ht="15" customHeight="1" x14ac:dyDescent="0.25">
      <c r="A11" s="2"/>
      <c r="B11" s="11"/>
      <c r="C11" s="194"/>
      <c r="D11" s="194"/>
      <c r="E11" s="194"/>
      <c r="F11" s="194"/>
      <c r="G11" s="194"/>
      <c r="H11" s="194"/>
      <c r="I11" s="12"/>
      <c r="J11" s="2"/>
    </row>
    <row r="12" spans="1:10" ht="15" customHeight="1" x14ac:dyDescent="0.25">
      <c r="A12" s="2"/>
      <c r="B12" s="11"/>
      <c r="C12" s="51"/>
      <c r="D12" s="51"/>
      <c r="E12" s="51"/>
      <c r="F12" s="51"/>
      <c r="G12" s="51"/>
      <c r="H12" s="51"/>
      <c r="I12" s="12"/>
      <c r="J12" s="2"/>
    </row>
    <row r="13" spans="1:10" ht="18.75" x14ac:dyDescent="0.25">
      <c r="A13" s="2"/>
      <c r="B13" s="11"/>
      <c r="C13" s="147">
        <v>2022</v>
      </c>
      <c r="D13" s="148"/>
      <c r="E13" s="50"/>
      <c r="F13" s="50"/>
      <c r="G13" s="50"/>
      <c r="H13" s="50"/>
      <c r="I13" s="12"/>
      <c r="J13" s="2"/>
    </row>
    <row r="14" spans="1:10" ht="18.75" x14ac:dyDescent="0.25">
      <c r="A14" s="2"/>
      <c r="B14" s="11"/>
      <c r="C14" s="50"/>
      <c r="D14" s="50"/>
      <c r="E14" s="50"/>
      <c r="F14" s="50"/>
      <c r="G14" s="50"/>
      <c r="H14" s="50"/>
      <c r="I14" s="12"/>
      <c r="J14" s="2"/>
    </row>
    <row r="15" spans="1:10" x14ac:dyDescent="0.25">
      <c r="A15" s="2"/>
      <c r="B15" s="11"/>
      <c r="C15" s="23" t="s">
        <v>62</v>
      </c>
      <c r="D15" s="23"/>
      <c r="E15" s="8"/>
      <c r="F15" s="8"/>
      <c r="G15" s="8"/>
      <c r="H15" s="8"/>
      <c r="I15" s="12"/>
      <c r="J15" s="2"/>
    </row>
    <row r="16" spans="1:10" ht="15.75" thickBot="1" x14ac:dyDescent="0.3">
      <c r="A16" s="2"/>
      <c r="B16" s="11"/>
      <c r="C16" s="8"/>
      <c r="D16" s="8"/>
      <c r="E16" s="8"/>
      <c r="F16" s="8"/>
      <c r="G16" s="8"/>
      <c r="H16" s="8"/>
      <c r="I16" s="12"/>
      <c r="J16" s="2"/>
    </row>
    <row r="17" spans="1:10" ht="19.5" thickTop="1" thickBot="1" x14ac:dyDescent="0.4">
      <c r="A17" s="2"/>
      <c r="B17" s="11"/>
      <c r="C17" s="23"/>
      <c r="D17" s="187" t="s">
        <v>259</v>
      </c>
      <c r="E17" s="188"/>
      <c r="F17" s="31">
        <f>SUMIF(C25:C86,C13,H25:H86)</f>
        <v>0.28925000000000001</v>
      </c>
      <c r="G17" s="8"/>
      <c r="H17" s="8"/>
      <c r="I17" s="12"/>
      <c r="J17" s="2"/>
    </row>
    <row r="18" spans="1:10" ht="15.75" thickTop="1" x14ac:dyDescent="0.25">
      <c r="A18" s="2"/>
      <c r="B18" s="11"/>
      <c r="C18" s="8"/>
      <c r="D18" s="8"/>
      <c r="E18" s="8"/>
      <c r="F18" s="8"/>
      <c r="G18" s="8"/>
      <c r="H18" s="8"/>
      <c r="I18" s="12"/>
      <c r="J18" s="2"/>
    </row>
    <row r="19" spans="1:10" ht="15" customHeight="1" x14ac:dyDescent="0.25">
      <c r="A19" s="2"/>
      <c r="B19" s="11"/>
      <c r="C19" s="23"/>
      <c r="D19" s="23"/>
      <c r="E19" s="8"/>
      <c r="F19" s="23"/>
      <c r="G19" s="23"/>
      <c r="H19" s="8"/>
      <c r="I19" s="12"/>
      <c r="J19" s="2"/>
    </row>
    <row r="20" spans="1:10" x14ac:dyDescent="0.25">
      <c r="A20" s="2"/>
      <c r="B20" s="11"/>
      <c r="C20" s="30"/>
      <c r="D20" s="39" t="s">
        <v>103</v>
      </c>
      <c r="E20" s="8"/>
      <c r="F20" s="8"/>
      <c r="G20" s="8"/>
      <c r="H20" s="8"/>
      <c r="I20" s="12"/>
      <c r="J20" s="2"/>
    </row>
    <row r="21" spans="1:10" ht="15.75" thickBot="1" x14ac:dyDescent="0.3">
      <c r="A21" s="2"/>
      <c r="B21" s="11"/>
      <c r="C21" s="8"/>
      <c r="D21" s="8"/>
      <c r="E21" s="24"/>
      <c r="F21" s="8"/>
      <c r="G21" s="8"/>
      <c r="H21" s="24"/>
      <c r="I21" s="12"/>
      <c r="J21" s="2"/>
    </row>
    <row r="22" spans="1:10" x14ac:dyDescent="0.25">
      <c r="A22" s="2"/>
      <c r="B22" s="11"/>
      <c r="C22" s="159" t="s">
        <v>104</v>
      </c>
      <c r="D22" s="162" t="s">
        <v>265</v>
      </c>
      <c r="E22" s="162" t="s">
        <v>253</v>
      </c>
      <c r="F22" s="166" t="s">
        <v>254</v>
      </c>
      <c r="G22" s="166" t="s">
        <v>255</v>
      </c>
      <c r="H22" s="189" t="s">
        <v>258</v>
      </c>
      <c r="I22" s="12"/>
      <c r="J22" s="2"/>
    </row>
    <row r="23" spans="1:10" x14ac:dyDescent="0.25">
      <c r="A23" s="2"/>
      <c r="B23" s="11"/>
      <c r="C23" s="160"/>
      <c r="D23" s="157"/>
      <c r="E23" s="157"/>
      <c r="F23" s="167"/>
      <c r="G23" s="167"/>
      <c r="H23" s="190"/>
      <c r="I23" s="12"/>
      <c r="J23" s="2"/>
    </row>
    <row r="24" spans="1:10" ht="15.75" thickBot="1" x14ac:dyDescent="0.3">
      <c r="A24" s="2"/>
      <c r="B24" s="11"/>
      <c r="C24" s="161"/>
      <c r="D24" s="158"/>
      <c r="E24" s="158"/>
      <c r="F24" s="168"/>
      <c r="G24" s="168"/>
      <c r="H24" s="191"/>
      <c r="I24" s="12"/>
      <c r="J24" s="2"/>
    </row>
    <row r="25" spans="1:10" x14ac:dyDescent="0.25">
      <c r="A25" s="2"/>
      <c r="B25" s="11"/>
      <c r="C25" s="76">
        <v>2021</v>
      </c>
      <c r="D25" s="77" t="s">
        <v>308</v>
      </c>
      <c r="E25" s="79">
        <v>100</v>
      </c>
      <c r="F25" s="79">
        <v>20</v>
      </c>
      <c r="G25" s="79">
        <v>1.1569999999999999E-4</v>
      </c>
      <c r="H25" s="45">
        <f>(E25-'Leakage Category F.2'!E137)*F25*G25</f>
        <v>0.23139999999999999</v>
      </c>
      <c r="I25" s="12"/>
      <c r="J25" s="2"/>
    </row>
    <row r="26" spans="1:10" x14ac:dyDescent="0.25">
      <c r="A26" s="2"/>
      <c r="B26" s="11"/>
      <c r="C26" s="80">
        <v>2021</v>
      </c>
      <c r="D26" s="81" t="s">
        <v>309</v>
      </c>
      <c r="E26" s="79">
        <v>100</v>
      </c>
      <c r="F26" s="79">
        <v>10</v>
      </c>
      <c r="G26" s="79">
        <v>1.1569999999999999E-4</v>
      </c>
      <c r="H26" s="45">
        <f t="shared" ref="H26:H86" si="0">E26*F26*G26</f>
        <v>0.1157</v>
      </c>
      <c r="I26" s="12"/>
      <c r="J26" s="2"/>
    </row>
    <row r="27" spans="1:10" x14ac:dyDescent="0.25">
      <c r="A27" s="2"/>
      <c r="B27" s="11"/>
      <c r="C27" s="80">
        <v>2022</v>
      </c>
      <c r="D27" s="81" t="s">
        <v>308</v>
      </c>
      <c r="E27" s="79">
        <v>100</v>
      </c>
      <c r="F27" s="79">
        <v>10</v>
      </c>
      <c r="G27" s="79">
        <v>1.1569999999999999E-4</v>
      </c>
      <c r="H27" s="45">
        <f t="shared" si="0"/>
        <v>0.1157</v>
      </c>
      <c r="I27" s="12"/>
      <c r="J27" s="2"/>
    </row>
    <row r="28" spans="1:10" x14ac:dyDescent="0.25">
      <c r="A28" s="2"/>
      <c r="B28" s="11"/>
      <c r="C28" s="80">
        <v>2022</v>
      </c>
      <c r="D28" s="81" t="s">
        <v>309</v>
      </c>
      <c r="E28" s="79">
        <v>100</v>
      </c>
      <c r="F28" s="79">
        <v>15</v>
      </c>
      <c r="G28" s="79">
        <v>1.1569999999999999E-4</v>
      </c>
      <c r="H28" s="45">
        <f t="shared" si="0"/>
        <v>0.17354999999999998</v>
      </c>
      <c r="I28" s="12"/>
      <c r="J28" s="2"/>
    </row>
    <row r="29" spans="1:10" x14ac:dyDescent="0.25">
      <c r="A29" s="2"/>
      <c r="B29" s="11"/>
      <c r="C29" s="80">
        <v>2023</v>
      </c>
      <c r="D29" s="81" t="s">
        <v>308</v>
      </c>
      <c r="E29" s="79">
        <v>100</v>
      </c>
      <c r="F29" s="79">
        <v>12</v>
      </c>
      <c r="G29" s="79">
        <v>1.1569999999999999E-4</v>
      </c>
      <c r="H29" s="45">
        <f t="shared" si="0"/>
        <v>0.13883999999999999</v>
      </c>
      <c r="I29" s="12"/>
      <c r="J29" s="2"/>
    </row>
    <row r="30" spans="1:10" x14ac:dyDescent="0.25">
      <c r="A30" s="2"/>
      <c r="B30" s="11"/>
      <c r="C30" s="80">
        <v>2023</v>
      </c>
      <c r="D30" s="81" t="s">
        <v>309</v>
      </c>
      <c r="E30" s="79">
        <v>100</v>
      </c>
      <c r="F30" s="79">
        <v>18</v>
      </c>
      <c r="G30" s="79">
        <v>1.1569999999999999E-4</v>
      </c>
      <c r="H30" s="45">
        <f t="shared" si="0"/>
        <v>0.20826</v>
      </c>
      <c r="I30" s="12"/>
      <c r="J30" s="2"/>
    </row>
    <row r="31" spans="1:10" x14ac:dyDescent="0.25">
      <c r="A31" s="2"/>
      <c r="B31" s="11"/>
      <c r="C31" s="80">
        <v>2024</v>
      </c>
      <c r="D31" s="81" t="s">
        <v>308</v>
      </c>
      <c r="E31" s="79">
        <v>100</v>
      </c>
      <c r="F31" s="79">
        <v>17</v>
      </c>
      <c r="G31" s="79">
        <v>1.1569999999999999E-4</v>
      </c>
      <c r="H31" s="45">
        <f t="shared" si="0"/>
        <v>0.19668999999999998</v>
      </c>
      <c r="I31" s="12"/>
      <c r="J31" s="2"/>
    </row>
    <row r="32" spans="1:10" x14ac:dyDescent="0.25">
      <c r="A32" s="2"/>
      <c r="B32" s="11"/>
      <c r="C32" s="80">
        <v>2024</v>
      </c>
      <c r="D32" s="81" t="s">
        <v>309</v>
      </c>
      <c r="E32" s="79">
        <v>100</v>
      </c>
      <c r="F32" s="79">
        <v>10</v>
      </c>
      <c r="G32" s="79">
        <v>1.1569999999999999E-4</v>
      </c>
      <c r="H32" s="45">
        <f t="shared" si="0"/>
        <v>0.1157</v>
      </c>
      <c r="I32" s="12"/>
      <c r="J32" s="2"/>
    </row>
    <row r="33" spans="1:10" x14ac:dyDescent="0.25">
      <c r="A33" s="2"/>
      <c r="B33" s="11"/>
      <c r="C33" s="80"/>
      <c r="D33" s="81"/>
      <c r="E33" s="82"/>
      <c r="F33" s="79"/>
      <c r="G33" s="79"/>
      <c r="H33" s="45">
        <f t="shared" si="0"/>
        <v>0</v>
      </c>
      <c r="I33" s="12"/>
      <c r="J33" s="2"/>
    </row>
    <row r="34" spans="1:10" x14ac:dyDescent="0.25">
      <c r="A34" s="2"/>
      <c r="B34" s="11"/>
      <c r="C34" s="80"/>
      <c r="D34" s="81"/>
      <c r="E34" s="82"/>
      <c r="F34" s="79"/>
      <c r="G34" s="79"/>
      <c r="H34" s="45">
        <f t="shared" si="0"/>
        <v>0</v>
      </c>
      <c r="I34" s="12"/>
      <c r="J34" s="2"/>
    </row>
    <row r="35" spans="1:10" x14ac:dyDescent="0.25">
      <c r="A35" s="2"/>
      <c r="B35" s="11"/>
      <c r="C35" s="80"/>
      <c r="D35" s="81"/>
      <c r="E35" s="82"/>
      <c r="F35" s="79"/>
      <c r="G35" s="79"/>
      <c r="H35" s="45">
        <f t="shared" si="0"/>
        <v>0</v>
      </c>
      <c r="I35" s="12"/>
      <c r="J35" s="2"/>
    </row>
    <row r="36" spans="1:10" x14ac:dyDescent="0.25">
      <c r="A36" s="2"/>
      <c r="B36" s="11"/>
      <c r="C36" s="80"/>
      <c r="D36" s="81"/>
      <c r="E36" s="82"/>
      <c r="F36" s="79"/>
      <c r="G36" s="79"/>
      <c r="H36" s="45">
        <f t="shared" si="0"/>
        <v>0</v>
      </c>
      <c r="I36" s="12"/>
      <c r="J36" s="2"/>
    </row>
    <row r="37" spans="1:10" x14ac:dyDescent="0.25">
      <c r="A37" s="2"/>
      <c r="B37" s="11"/>
      <c r="C37" s="80"/>
      <c r="D37" s="81"/>
      <c r="E37" s="82"/>
      <c r="F37" s="79"/>
      <c r="G37" s="79"/>
      <c r="H37" s="45">
        <f t="shared" si="0"/>
        <v>0</v>
      </c>
      <c r="I37" s="12"/>
      <c r="J37" s="2"/>
    </row>
    <row r="38" spans="1:10" x14ac:dyDescent="0.25">
      <c r="A38" s="2"/>
      <c r="B38" s="11"/>
      <c r="C38" s="80"/>
      <c r="D38" s="81"/>
      <c r="E38" s="82"/>
      <c r="F38" s="79"/>
      <c r="G38" s="79"/>
      <c r="H38" s="45">
        <f t="shared" si="0"/>
        <v>0</v>
      </c>
      <c r="I38" s="12"/>
      <c r="J38" s="2"/>
    </row>
    <row r="39" spans="1:10" x14ac:dyDescent="0.25">
      <c r="A39" s="2"/>
      <c r="B39" s="11"/>
      <c r="C39" s="80"/>
      <c r="D39" s="81"/>
      <c r="E39" s="82"/>
      <c r="F39" s="79"/>
      <c r="G39" s="79"/>
      <c r="H39" s="45">
        <f t="shared" si="0"/>
        <v>0</v>
      </c>
      <c r="I39" s="12"/>
      <c r="J39" s="2"/>
    </row>
    <row r="40" spans="1:10" x14ac:dyDescent="0.25">
      <c r="A40" s="2"/>
      <c r="B40" s="11"/>
      <c r="C40" s="80"/>
      <c r="D40" s="81"/>
      <c r="E40" s="82"/>
      <c r="F40" s="79"/>
      <c r="G40" s="79"/>
      <c r="H40" s="45">
        <f t="shared" si="0"/>
        <v>0</v>
      </c>
      <c r="I40" s="12"/>
      <c r="J40" s="2"/>
    </row>
    <row r="41" spans="1:10" x14ac:dyDescent="0.25">
      <c r="A41" s="2"/>
      <c r="B41" s="11"/>
      <c r="C41" s="80"/>
      <c r="D41" s="81"/>
      <c r="E41" s="82"/>
      <c r="F41" s="79"/>
      <c r="G41" s="79"/>
      <c r="H41" s="45">
        <f t="shared" si="0"/>
        <v>0</v>
      </c>
      <c r="I41" s="12"/>
      <c r="J41" s="2"/>
    </row>
    <row r="42" spans="1:10" x14ac:dyDescent="0.25">
      <c r="A42" s="2"/>
      <c r="B42" s="11"/>
      <c r="C42" s="80"/>
      <c r="D42" s="81"/>
      <c r="E42" s="82"/>
      <c r="F42" s="79"/>
      <c r="G42" s="79"/>
      <c r="H42" s="45">
        <f t="shared" si="0"/>
        <v>0</v>
      </c>
      <c r="I42" s="12"/>
      <c r="J42" s="2"/>
    </row>
    <row r="43" spans="1:10" x14ac:dyDescent="0.25">
      <c r="A43" s="2"/>
      <c r="B43" s="11"/>
      <c r="C43" s="80"/>
      <c r="D43" s="81"/>
      <c r="E43" s="82"/>
      <c r="F43" s="79"/>
      <c r="G43" s="79"/>
      <c r="H43" s="45">
        <f t="shared" si="0"/>
        <v>0</v>
      </c>
      <c r="I43" s="12"/>
      <c r="J43" s="2"/>
    </row>
    <row r="44" spans="1:10" x14ac:dyDescent="0.25">
      <c r="A44" s="2"/>
      <c r="B44" s="11"/>
      <c r="C44" s="80"/>
      <c r="D44" s="81"/>
      <c r="E44" s="82"/>
      <c r="F44" s="79"/>
      <c r="G44" s="79"/>
      <c r="H44" s="45">
        <f t="shared" si="0"/>
        <v>0</v>
      </c>
      <c r="I44" s="12"/>
      <c r="J44" s="2"/>
    </row>
    <row r="45" spans="1:10" x14ac:dyDescent="0.25">
      <c r="A45" s="2"/>
      <c r="B45" s="11"/>
      <c r="C45" s="80"/>
      <c r="D45" s="81"/>
      <c r="E45" s="82"/>
      <c r="F45" s="79"/>
      <c r="G45" s="79"/>
      <c r="H45" s="45">
        <f t="shared" si="0"/>
        <v>0</v>
      </c>
      <c r="I45" s="12"/>
      <c r="J45" s="2"/>
    </row>
    <row r="46" spans="1:10" x14ac:dyDescent="0.25">
      <c r="A46" s="2"/>
      <c r="B46" s="11"/>
      <c r="C46" s="80"/>
      <c r="D46" s="81"/>
      <c r="E46" s="82"/>
      <c r="F46" s="79"/>
      <c r="G46" s="79"/>
      <c r="H46" s="45">
        <f t="shared" si="0"/>
        <v>0</v>
      </c>
      <c r="I46" s="12"/>
      <c r="J46" s="2"/>
    </row>
    <row r="47" spans="1:10" x14ac:dyDescent="0.25">
      <c r="A47" s="2"/>
      <c r="B47" s="11"/>
      <c r="C47" s="80"/>
      <c r="D47" s="81"/>
      <c r="E47" s="82"/>
      <c r="F47" s="79"/>
      <c r="G47" s="79"/>
      <c r="H47" s="45">
        <f t="shared" si="0"/>
        <v>0</v>
      </c>
      <c r="I47" s="12"/>
      <c r="J47" s="2"/>
    </row>
    <row r="48" spans="1:10" x14ac:dyDescent="0.25">
      <c r="A48" s="2"/>
      <c r="B48" s="11"/>
      <c r="C48" s="80"/>
      <c r="D48" s="81"/>
      <c r="E48" s="82"/>
      <c r="F48" s="79"/>
      <c r="G48" s="79"/>
      <c r="H48" s="45">
        <f t="shared" si="0"/>
        <v>0</v>
      </c>
      <c r="I48" s="12"/>
      <c r="J48" s="2"/>
    </row>
    <row r="49" spans="1:10" x14ac:dyDescent="0.25">
      <c r="A49" s="2"/>
      <c r="B49" s="11"/>
      <c r="C49" s="80"/>
      <c r="D49" s="81"/>
      <c r="E49" s="82"/>
      <c r="F49" s="79"/>
      <c r="G49" s="79"/>
      <c r="H49" s="45">
        <f t="shared" si="0"/>
        <v>0</v>
      </c>
      <c r="I49" s="12"/>
      <c r="J49" s="2"/>
    </row>
    <row r="50" spans="1:10" x14ac:dyDescent="0.25">
      <c r="A50" s="2"/>
      <c r="B50" s="11"/>
      <c r="C50" s="80"/>
      <c r="D50" s="81"/>
      <c r="E50" s="82"/>
      <c r="F50" s="79"/>
      <c r="G50" s="79"/>
      <c r="H50" s="45">
        <f t="shared" si="0"/>
        <v>0</v>
      </c>
      <c r="I50" s="12"/>
      <c r="J50" s="2"/>
    </row>
    <row r="51" spans="1:10" x14ac:dyDescent="0.25">
      <c r="A51" s="2"/>
      <c r="B51" s="11"/>
      <c r="C51" s="80"/>
      <c r="D51" s="81"/>
      <c r="E51" s="82"/>
      <c r="F51" s="79"/>
      <c r="G51" s="79"/>
      <c r="H51" s="45">
        <f t="shared" si="0"/>
        <v>0</v>
      </c>
      <c r="I51" s="12"/>
      <c r="J51" s="2"/>
    </row>
    <row r="52" spans="1:10" x14ac:dyDescent="0.25">
      <c r="A52" s="2"/>
      <c r="B52" s="11"/>
      <c r="C52" s="80"/>
      <c r="D52" s="81"/>
      <c r="E52" s="82"/>
      <c r="F52" s="79"/>
      <c r="G52" s="79"/>
      <c r="H52" s="45">
        <f t="shared" si="0"/>
        <v>0</v>
      </c>
      <c r="I52" s="12"/>
      <c r="J52" s="2"/>
    </row>
    <row r="53" spans="1:10" x14ac:dyDescent="0.25">
      <c r="A53" s="2"/>
      <c r="B53" s="11"/>
      <c r="C53" s="80"/>
      <c r="D53" s="81"/>
      <c r="E53" s="82"/>
      <c r="F53" s="79"/>
      <c r="G53" s="79"/>
      <c r="H53" s="45">
        <f t="shared" si="0"/>
        <v>0</v>
      </c>
      <c r="I53" s="12"/>
      <c r="J53" s="2"/>
    </row>
    <row r="54" spans="1:10" x14ac:dyDescent="0.25">
      <c r="A54" s="2"/>
      <c r="B54" s="11"/>
      <c r="C54" s="80"/>
      <c r="D54" s="81"/>
      <c r="E54" s="82"/>
      <c r="F54" s="79"/>
      <c r="G54" s="79"/>
      <c r="H54" s="45">
        <f t="shared" si="0"/>
        <v>0</v>
      </c>
      <c r="I54" s="12"/>
      <c r="J54" s="2"/>
    </row>
    <row r="55" spans="1:10" x14ac:dyDescent="0.25">
      <c r="A55" s="2"/>
      <c r="B55" s="11"/>
      <c r="C55" s="80"/>
      <c r="D55" s="81"/>
      <c r="E55" s="82"/>
      <c r="F55" s="79"/>
      <c r="G55" s="79"/>
      <c r="H55" s="45">
        <f t="shared" si="0"/>
        <v>0</v>
      </c>
      <c r="I55" s="12"/>
      <c r="J55" s="2"/>
    </row>
    <row r="56" spans="1:10" x14ac:dyDescent="0.25">
      <c r="A56" s="2"/>
      <c r="B56" s="11"/>
      <c r="C56" s="80"/>
      <c r="D56" s="81"/>
      <c r="E56" s="82"/>
      <c r="F56" s="79"/>
      <c r="G56" s="79"/>
      <c r="H56" s="45">
        <f t="shared" si="0"/>
        <v>0</v>
      </c>
      <c r="I56" s="12"/>
      <c r="J56" s="2"/>
    </row>
    <row r="57" spans="1:10" x14ac:dyDescent="0.25">
      <c r="A57" s="2"/>
      <c r="B57" s="11"/>
      <c r="C57" s="80"/>
      <c r="D57" s="81"/>
      <c r="E57" s="82"/>
      <c r="F57" s="79"/>
      <c r="G57" s="79"/>
      <c r="H57" s="45">
        <f t="shared" si="0"/>
        <v>0</v>
      </c>
      <c r="I57" s="12"/>
      <c r="J57" s="2"/>
    </row>
    <row r="58" spans="1:10" x14ac:dyDescent="0.25">
      <c r="A58" s="2"/>
      <c r="B58" s="11"/>
      <c r="C58" s="80"/>
      <c r="D58" s="81"/>
      <c r="E58" s="82"/>
      <c r="F58" s="79"/>
      <c r="G58" s="79"/>
      <c r="H58" s="45">
        <f t="shared" si="0"/>
        <v>0</v>
      </c>
      <c r="I58" s="12"/>
      <c r="J58" s="2"/>
    </row>
    <row r="59" spans="1:10" x14ac:dyDescent="0.25">
      <c r="A59" s="2"/>
      <c r="B59" s="11"/>
      <c r="C59" s="80"/>
      <c r="D59" s="81"/>
      <c r="E59" s="82"/>
      <c r="F59" s="79"/>
      <c r="G59" s="79"/>
      <c r="H59" s="45">
        <f t="shared" si="0"/>
        <v>0</v>
      </c>
      <c r="I59" s="12"/>
      <c r="J59" s="2"/>
    </row>
    <row r="60" spans="1:10" x14ac:dyDescent="0.25">
      <c r="A60" s="2"/>
      <c r="B60" s="11"/>
      <c r="C60" s="80"/>
      <c r="D60" s="81"/>
      <c r="E60" s="82"/>
      <c r="F60" s="79"/>
      <c r="G60" s="79"/>
      <c r="H60" s="45">
        <f t="shared" si="0"/>
        <v>0</v>
      </c>
      <c r="I60" s="12"/>
      <c r="J60" s="2"/>
    </row>
    <row r="61" spans="1:10" x14ac:dyDescent="0.25">
      <c r="A61" s="2"/>
      <c r="B61" s="11"/>
      <c r="C61" s="80"/>
      <c r="D61" s="81"/>
      <c r="E61" s="82"/>
      <c r="F61" s="79"/>
      <c r="G61" s="79"/>
      <c r="H61" s="45">
        <f t="shared" si="0"/>
        <v>0</v>
      </c>
      <c r="I61" s="12"/>
      <c r="J61" s="2"/>
    </row>
    <row r="62" spans="1:10" x14ac:dyDescent="0.25">
      <c r="A62" s="2"/>
      <c r="B62" s="11"/>
      <c r="C62" s="80"/>
      <c r="D62" s="81"/>
      <c r="E62" s="82"/>
      <c r="F62" s="79"/>
      <c r="G62" s="79"/>
      <c r="H62" s="45">
        <f t="shared" si="0"/>
        <v>0</v>
      </c>
      <c r="I62" s="12"/>
      <c r="J62" s="2"/>
    </row>
    <row r="63" spans="1:10" x14ac:dyDescent="0.25">
      <c r="A63" s="2"/>
      <c r="B63" s="11"/>
      <c r="C63" s="80"/>
      <c r="D63" s="81"/>
      <c r="E63" s="82"/>
      <c r="F63" s="79"/>
      <c r="G63" s="79"/>
      <c r="H63" s="45">
        <f t="shared" si="0"/>
        <v>0</v>
      </c>
      <c r="I63" s="12"/>
      <c r="J63" s="2"/>
    </row>
    <row r="64" spans="1:10" x14ac:dyDescent="0.25">
      <c r="A64" s="2"/>
      <c r="B64" s="11"/>
      <c r="C64" s="80"/>
      <c r="D64" s="81"/>
      <c r="E64" s="82"/>
      <c r="F64" s="79"/>
      <c r="G64" s="79"/>
      <c r="H64" s="45">
        <f t="shared" si="0"/>
        <v>0</v>
      </c>
      <c r="I64" s="12"/>
      <c r="J64" s="2"/>
    </row>
    <row r="65" spans="1:10" x14ac:dyDescent="0.25">
      <c r="A65" s="2"/>
      <c r="B65" s="11"/>
      <c r="C65" s="80"/>
      <c r="D65" s="81"/>
      <c r="E65" s="82"/>
      <c r="F65" s="79"/>
      <c r="G65" s="79"/>
      <c r="H65" s="45">
        <f t="shared" si="0"/>
        <v>0</v>
      </c>
      <c r="I65" s="12"/>
      <c r="J65" s="2"/>
    </row>
    <row r="66" spans="1:10" x14ac:dyDescent="0.25">
      <c r="A66" s="2"/>
      <c r="B66" s="11"/>
      <c r="C66" s="80"/>
      <c r="D66" s="81"/>
      <c r="E66" s="82"/>
      <c r="F66" s="79"/>
      <c r="G66" s="79"/>
      <c r="H66" s="45">
        <f t="shared" si="0"/>
        <v>0</v>
      </c>
      <c r="I66" s="12"/>
      <c r="J66" s="2"/>
    </row>
    <row r="67" spans="1:10" x14ac:dyDescent="0.25">
      <c r="A67" s="2"/>
      <c r="B67" s="11"/>
      <c r="C67" s="80"/>
      <c r="D67" s="81"/>
      <c r="E67" s="82"/>
      <c r="F67" s="79"/>
      <c r="G67" s="79"/>
      <c r="H67" s="45">
        <f t="shared" si="0"/>
        <v>0</v>
      </c>
      <c r="I67" s="12"/>
      <c r="J67" s="2"/>
    </row>
    <row r="68" spans="1:10" x14ac:dyDescent="0.25">
      <c r="A68" s="2"/>
      <c r="B68" s="11"/>
      <c r="C68" s="80"/>
      <c r="D68" s="81"/>
      <c r="E68" s="82"/>
      <c r="F68" s="79"/>
      <c r="G68" s="79"/>
      <c r="H68" s="45">
        <f t="shared" si="0"/>
        <v>0</v>
      </c>
      <c r="I68" s="12"/>
      <c r="J68" s="2"/>
    </row>
    <row r="69" spans="1:10" x14ac:dyDescent="0.25">
      <c r="A69" s="2"/>
      <c r="B69" s="11"/>
      <c r="C69" s="80"/>
      <c r="D69" s="81"/>
      <c r="E69" s="82"/>
      <c r="F69" s="79"/>
      <c r="G69" s="79"/>
      <c r="H69" s="45">
        <f t="shared" si="0"/>
        <v>0</v>
      </c>
      <c r="I69" s="12"/>
      <c r="J69" s="2"/>
    </row>
    <row r="70" spans="1:10" x14ac:dyDescent="0.25">
      <c r="A70" s="2"/>
      <c r="B70" s="11"/>
      <c r="C70" s="80"/>
      <c r="D70" s="81"/>
      <c r="E70" s="82"/>
      <c r="F70" s="79"/>
      <c r="G70" s="79"/>
      <c r="H70" s="45">
        <f t="shared" si="0"/>
        <v>0</v>
      </c>
      <c r="I70" s="12"/>
      <c r="J70" s="2"/>
    </row>
    <row r="71" spans="1:10" x14ac:dyDescent="0.25">
      <c r="A71" s="2"/>
      <c r="B71" s="11"/>
      <c r="C71" s="80"/>
      <c r="D71" s="81"/>
      <c r="E71" s="82"/>
      <c r="F71" s="79"/>
      <c r="G71" s="79"/>
      <c r="H71" s="45">
        <f t="shared" si="0"/>
        <v>0</v>
      </c>
      <c r="I71" s="12"/>
      <c r="J71" s="2"/>
    </row>
    <row r="72" spans="1:10" x14ac:dyDescent="0.25">
      <c r="A72" s="2"/>
      <c r="B72" s="11"/>
      <c r="C72" s="80"/>
      <c r="D72" s="81"/>
      <c r="E72" s="82"/>
      <c r="F72" s="79"/>
      <c r="G72" s="79"/>
      <c r="H72" s="45">
        <f t="shared" si="0"/>
        <v>0</v>
      </c>
      <c r="I72" s="12"/>
      <c r="J72" s="2"/>
    </row>
    <row r="73" spans="1:10" x14ac:dyDescent="0.25">
      <c r="A73" s="2"/>
      <c r="B73" s="11"/>
      <c r="C73" s="80"/>
      <c r="D73" s="81"/>
      <c r="E73" s="82"/>
      <c r="F73" s="79"/>
      <c r="G73" s="79"/>
      <c r="H73" s="45">
        <f t="shared" si="0"/>
        <v>0</v>
      </c>
      <c r="I73" s="12"/>
      <c r="J73" s="2"/>
    </row>
    <row r="74" spans="1:10" x14ac:dyDescent="0.25">
      <c r="A74" s="2"/>
      <c r="B74" s="11"/>
      <c r="C74" s="80"/>
      <c r="D74" s="81"/>
      <c r="E74" s="82"/>
      <c r="F74" s="79"/>
      <c r="G74" s="79"/>
      <c r="H74" s="45">
        <f t="shared" si="0"/>
        <v>0</v>
      </c>
      <c r="I74" s="12"/>
      <c r="J74" s="2"/>
    </row>
    <row r="75" spans="1:10" x14ac:dyDescent="0.25">
      <c r="A75" s="2"/>
      <c r="B75" s="11"/>
      <c r="C75" s="80"/>
      <c r="D75" s="81"/>
      <c r="E75" s="82"/>
      <c r="F75" s="79"/>
      <c r="G75" s="79"/>
      <c r="H75" s="45">
        <f t="shared" si="0"/>
        <v>0</v>
      </c>
      <c r="I75" s="12"/>
      <c r="J75" s="2"/>
    </row>
    <row r="76" spans="1:10" x14ac:dyDescent="0.25">
      <c r="A76" s="2"/>
      <c r="B76" s="11"/>
      <c r="C76" s="80"/>
      <c r="D76" s="81"/>
      <c r="E76" s="82"/>
      <c r="F76" s="79"/>
      <c r="G76" s="79"/>
      <c r="H76" s="45">
        <f t="shared" si="0"/>
        <v>0</v>
      </c>
      <c r="I76" s="12"/>
      <c r="J76" s="2"/>
    </row>
    <row r="77" spans="1:10" x14ac:dyDescent="0.25">
      <c r="A77" s="2"/>
      <c r="B77" s="11"/>
      <c r="C77" s="80"/>
      <c r="D77" s="81"/>
      <c r="E77" s="82"/>
      <c r="F77" s="79"/>
      <c r="G77" s="79"/>
      <c r="H77" s="45">
        <f t="shared" si="0"/>
        <v>0</v>
      </c>
      <c r="I77" s="12"/>
      <c r="J77" s="2"/>
    </row>
    <row r="78" spans="1:10" x14ac:dyDescent="0.25">
      <c r="A78" s="2"/>
      <c r="B78" s="11"/>
      <c r="C78" s="80"/>
      <c r="D78" s="81"/>
      <c r="E78" s="82"/>
      <c r="F78" s="79"/>
      <c r="G78" s="79"/>
      <c r="H78" s="45">
        <f t="shared" si="0"/>
        <v>0</v>
      </c>
      <c r="I78" s="12"/>
      <c r="J78" s="2"/>
    </row>
    <row r="79" spans="1:10" x14ac:dyDescent="0.25">
      <c r="A79" s="2"/>
      <c r="B79" s="11"/>
      <c r="C79" s="80"/>
      <c r="D79" s="81"/>
      <c r="E79" s="82"/>
      <c r="F79" s="79"/>
      <c r="G79" s="79"/>
      <c r="H79" s="45">
        <f t="shared" si="0"/>
        <v>0</v>
      </c>
      <c r="I79" s="12"/>
      <c r="J79" s="2"/>
    </row>
    <row r="80" spans="1:10" x14ac:dyDescent="0.25">
      <c r="A80" s="2"/>
      <c r="B80" s="11"/>
      <c r="C80" s="83"/>
      <c r="D80" s="84"/>
      <c r="E80" s="82"/>
      <c r="F80" s="79"/>
      <c r="G80" s="79"/>
      <c r="H80" s="45">
        <f t="shared" si="0"/>
        <v>0</v>
      </c>
      <c r="I80" s="12"/>
      <c r="J80" s="2"/>
    </row>
    <row r="81" spans="1:10" x14ac:dyDescent="0.25">
      <c r="A81" s="2"/>
      <c r="B81" s="11"/>
      <c r="C81" s="83"/>
      <c r="D81" s="84"/>
      <c r="E81" s="82"/>
      <c r="F81" s="79"/>
      <c r="G81" s="79"/>
      <c r="H81" s="45">
        <f t="shared" si="0"/>
        <v>0</v>
      </c>
      <c r="I81" s="12"/>
      <c r="J81" s="2"/>
    </row>
    <row r="82" spans="1:10" x14ac:dyDescent="0.25">
      <c r="A82" s="2"/>
      <c r="B82" s="11"/>
      <c r="C82" s="83"/>
      <c r="D82" s="84"/>
      <c r="E82" s="82"/>
      <c r="F82" s="79"/>
      <c r="G82" s="79"/>
      <c r="H82" s="45">
        <f t="shared" si="0"/>
        <v>0</v>
      </c>
      <c r="I82" s="12"/>
      <c r="J82" s="2"/>
    </row>
    <row r="83" spans="1:10" x14ac:dyDescent="0.25">
      <c r="A83" s="2"/>
      <c r="B83" s="11"/>
      <c r="C83" s="83"/>
      <c r="D83" s="84"/>
      <c r="E83" s="82"/>
      <c r="F83" s="79"/>
      <c r="G83" s="79"/>
      <c r="H83" s="45">
        <f t="shared" si="0"/>
        <v>0</v>
      </c>
      <c r="I83" s="12"/>
      <c r="J83" s="2"/>
    </row>
    <row r="84" spans="1:10" x14ac:dyDescent="0.25">
      <c r="A84" s="2"/>
      <c r="B84" s="11"/>
      <c r="C84" s="83"/>
      <c r="D84" s="84"/>
      <c r="E84" s="82"/>
      <c r="F84" s="79"/>
      <c r="G84" s="79"/>
      <c r="H84" s="45">
        <f t="shared" si="0"/>
        <v>0</v>
      </c>
      <c r="I84" s="12"/>
      <c r="J84" s="2"/>
    </row>
    <row r="85" spans="1:10" x14ac:dyDescent="0.25">
      <c r="A85" s="2"/>
      <c r="B85" s="11"/>
      <c r="C85" s="83"/>
      <c r="D85" s="84"/>
      <c r="E85" s="82"/>
      <c r="F85" s="79"/>
      <c r="G85" s="79"/>
      <c r="H85" s="45">
        <f t="shared" si="0"/>
        <v>0</v>
      </c>
      <c r="I85" s="12"/>
      <c r="J85" s="2"/>
    </row>
    <row r="86" spans="1:10" ht="15.75" thickBot="1" x14ac:dyDescent="0.3">
      <c r="A86" s="2"/>
      <c r="B86" s="11"/>
      <c r="C86" s="86"/>
      <c r="D86" s="87"/>
      <c r="E86" s="89"/>
      <c r="F86" s="89"/>
      <c r="G86" s="89"/>
      <c r="H86" s="45">
        <f t="shared" si="0"/>
        <v>0</v>
      </c>
      <c r="I86" s="12"/>
      <c r="J86" s="2"/>
    </row>
    <row r="87" spans="1:10" x14ac:dyDescent="0.25">
      <c r="A87" s="2"/>
      <c r="B87" s="11"/>
      <c r="C87" s="8"/>
      <c r="D87" s="8"/>
      <c r="E87" s="8"/>
      <c r="F87" s="8"/>
      <c r="G87" s="8"/>
      <c r="H87" s="8"/>
      <c r="I87" s="12"/>
      <c r="J87" s="2"/>
    </row>
    <row r="88" spans="1:10" ht="15.75" thickBot="1" x14ac:dyDescent="0.3">
      <c r="A88" s="2"/>
      <c r="B88" s="13"/>
      <c r="C88" s="24"/>
      <c r="D88" s="24"/>
      <c r="E88" s="24"/>
      <c r="F88" s="24"/>
      <c r="G88" s="24"/>
      <c r="H88" s="24"/>
      <c r="I88" s="16"/>
      <c r="J88" s="2"/>
    </row>
    <row r="89" spans="1:10" x14ac:dyDescent="0.25">
      <c r="A89" s="2"/>
      <c r="B89" s="2"/>
      <c r="C89" s="2"/>
      <c r="D89" s="2"/>
      <c r="E89" s="2"/>
      <c r="F89" s="2"/>
      <c r="G89" s="2"/>
      <c r="H89" s="2"/>
      <c r="I89" s="2"/>
      <c r="J89" s="2"/>
    </row>
    <row r="90" spans="1:10" x14ac:dyDescent="0.25">
      <c r="A90" s="2"/>
      <c r="B90" s="2"/>
      <c r="C90" s="2"/>
      <c r="D90" s="2"/>
      <c r="E90" s="2"/>
      <c r="F90" s="2"/>
      <c r="G90" s="2"/>
      <c r="H90" s="2"/>
      <c r="I90" s="2"/>
      <c r="J90" s="2"/>
    </row>
  </sheetData>
  <mergeCells count="10">
    <mergeCell ref="C10:H11"/>
    <mergeCell ref="B5:I7"/>
    <mergeCell ref="C13:D13"/>
    <mergeCell ref="D17:E17"/>
    <mergeCell ref="C22:C24"/>
    <mergeCell ref="D22:D24"/>
    <mergeCell ref="E22:E24"/>
    <mergeCell ref="F22:F24"/>
    <mergeCell ref="G22:G24"/>
    <mergeCell ref="H22:H24"/>
  </mergeCells>
  <phoneticPr fontId="38"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Redirect_leakage_emissions_trans_downstream_descriptions">
                <anchor moveWithCells="1" sizeWithCells="1">
                  <from>
                    <xdr:col>6</xdr:col>
                    <xdr:colOff>952500</xdr:colOff>
                    <xdr:row>18</xdr:row>
                    <xdr:rowOff>133350</xdr:rowOff>
                  </from>
                  <to>
                    <xdr:col>7</xdr:col>
                    <xdr:colOff>3171825</xdr:colOff>
                    <xdr:row>20</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49EEC-D28A-49CA-80BE-92C4D05A11AE}">
  <sheetPr codeName="Sheet14"/>
  <dimension ref="A1:Q56"/>
  <sheetViews>
    <sheetView workbookViewId="0">
      <selection activeCell="E19" sqref="E19"/>
    </sheetView>
  </sheetViews>
  <sheetFormatPr defaultRowHeight="15" x14ac:dyDescent="0.25"/>
  <cols>
    <col min="1" max="16384" width="9.140625" style="1"/>
  </cols>
  <sheetData>
    <row r="1" spans="1:17" x14ac:dyDescent="0.25">
      <c r="A1" s="2"/>
      <c r="B1" s="2"/>
      <c r="C1" s="2"/>
      <c r="D1" s="2"/>
      <c r="E1" s="2"/>
      <c r="F1" s="2"/>
      <c r="G1" s="2"/>
      <c r="H1" s="2"/>
      <c r="I1" s="2"/>
      <c r="J1" s="2"/>
      <c r="K1" s="2"/>
      <c r="L1" s="2"/>
      <c r="M1" s="2"/>
      <c r="N1" s="2"/>
      <c r="O1" s="2"/>
      <c r="P1" s="2"/>
      <c r="Q1" s="2"/>
    </row>
    <row r="2" spans="1:17" x14ac:dyDescent="0.25">
      <c r="A2" s="2"/>
      <c r="B2" s="2"/>
      <c r="C2" s="2"/>
      <c r="D2" s="2"/>
      <c r="E2" s="2"/>
      <c r="F2" s="2"/>
      <c r="G2" s="2"/>
      <c r="H2" s="2"/>
      <c r="I2" s="2"/>
      <c r="J2" s="2"/>
      <c r="K2" s="2"/>
      <c r="L2" s="2"/>
      <c r="M2" s="2"/>
      <c r="N2" s="2"/>
      <c r="O2" s="2"/>
      <c r="P2" s="2"/>
      <c r="Q2" s="2"/>
    </row>
    <row r="3" spans="1:17" x14ac:dyDescent="0.25">
      <c r="A3" s="2"/>
      <c r="B3" s="2"/>
      <c r="C3" s="2"/>
      <c r="D3" s="2"/>
      <c r="E3" s="2"/>
      <c r="F3" s="2"/>
      <c r="G3" s="2"/>
      <c r="H3" s="2"/>
      <c r="I3" s="2"/>
      <c r="J3" s="2"/>
      <c r="K3" s="2"/>
      <c r="L3" s="2"/>
      <c r="M3" s="2"/>
      <c r="N3" s="2"/>
      <c r="O3" s="2"/>
      <c r="P3" s="2"/>
      <c r="Q3" s="2"/>
    </row>
    <row r="4" spans="1:17" ht="15.75" thickBot="1" x14ac:dyDescent="0.3">
      <c r="A4" s="2"/>
      <c r="B4" s="2"/>
      <c r="C4" s="2"/>
      <c r="D4" s="2"/>
      <c r="E4" s="2"/>
      <c r="F4" s="2"/>
      <c r="G4" s="2"/>
      <c r="H4" s="2"/>
      <c r="I4" s="2"/>
      <c r="J4" s="2"/>
      <c r="K4" s="2"/>
      <c r="L4" s="2"/>
      <c r="M4" s="2"/>
      <c r="N4" s="2"/>
      <c r="O4" s="2"/>
      <c r="P4" s="2"/>
      <c r="Q4" s="2"/>
    </row>
    <row r="5" spans="1:17" ht="15" customHeight="1" x14ac:dyDescent="0.25">
      <c r="A5" s="2"/>
      <c r="B5" s="129" t="s">
        <v>319</v>
      </c>
      <c r="C5" s="179"/>
      <c r="D5" s="179"/>
      <c r="E5" s="179"/>
      <c r="F5" s="179"/>
      <c r="G5" s="179"/>
      <c r="H5" s="179"/>
      <c r="I5" s="179"/>
      <c r="J5" s="179"/>
      <c r="K5" s="179"/>
      <c r="L5" s="179"/>
      <c r="M5" s="179"/>
      <c r="N5" s="179"/>
      <c r="O5" s="179"/>
      <c r="P5" s="180"/>
      <c r="Q5" s="2"/>
    </row>
    <row r="6" spans="1:17" ht="15" customHeight="1" x14ac:dyDescent="0.25">
      <c r="A6" s="2"/>
      <c r="B6" s="181"/>
      <c r="C6" s="182"/>
      <c r="D6" s="182"/>
      <c r="E6" s="182"/>
      <c r="F6" s="182"/>
      <c r="G6" s="182"/>
      <c r="H6" s="182"/>
      <c r="I6" s="182"/>
      <c r="J6" s="182"/>
      <c r="K6" s="182"/>
      <c r="L6" s="182"/>
      <c r="M6" s="182"/>
      <c r="N6" s="182"/>
      <c r="O6" s="182"/>
      <c r="P6" s="183"/>
      <c r="Q6" s="2"/>
    </row>
    <row r="7" spans="1:17" ht="15.75" customHeight="1" x14ac:dyDescent="0.25">
      <c r="A7" s="2"/>
      <c r="B7" s="181"/>
      <c r="C7" s="182"/>
      <c r="D7" s="182"/>
      <c r="E7" s="182"/>
      <c r="F7" s="182"/>
      <c r="G7" s="182"/>
      <c r="H7" s="182"/>
      <c r="I7" s="182"/>
      <c r="J7" s="182"/>
      <c r="K7" s="182"/>
      <c r="L7" s="182"/>
      <c r="M7" s="182"/>
      <c r="N7" s="182"/>
      <c r="O7" s="182"/>
      <c r="P7" s="183"/>
      <c r="Q7" s="2"/>
    </row>
    <row r="8" spans="1:17" ht="15.75" customHeight="1" x14ac:dyDescent="0.25">
      <c r="A8" s="2"/>
      <c r="B8" s="181"/>
      <c r="C8" s="182"/>
      <c r="D8" s="182"/>
      <c r="E8" s="182"/>
      <c r="F8" s="182"/>
      <c r="G8" s="182"/>
      <c r="H8" s="182"/>
      <c r="I8" s="182"/>
      <c r="J8" s="182"/>
      <c r="K8" s="182"/>
      <c r="L8" s="182"/>
      <c r="M8" s="182"/>
      <c r="N8" s="182"/>
      <c r="O8" s="182"/>
      <c r="P8" s="183"/>
      <c r="Q8" s="2"/>
    </row>
    <row r="9" spans="1:17" ht="15" customHeight="1" thickBot="1" x14ac:dyDescent="0.3">
      <c r="A9" s="2"/>
      <c r="B9" s="184"/>
      <c r="C9" s="185"/>
      <c r="D9" s="185"/>
      <c r="E9" s="185"/>
      <c r="F9" s="185"/>
      <c r="G9" s="185"/>
      <c r="H9" s="185"/>
      <c r="I9" s="185"/>
      <c r="J9" s="185"/>
      <c r="K9" s="185"/>
      <c r="L9" s="185"/>
      <c r="M9" s="185"/>
      <c r="N9" s="185"/>
      <c r="O9" s="185"/>
      <c r="P9" s="186"/>
      <c r="Q9" s="2"/>
    </row>
    <row r="10" spans="1:17" ht="15.75" thickTop="1" x14ac:dyDescent="0.25">
      <c r="A10" s="2"/>
      <c r="B10" s="11"/>
      <c r="C10" s="8"/>
      <c r="D10" s="8"/>
      <c r="E10" s="8"/>
      <c r="F10" s="8"/>
      <c r="G10" s="8"/>
      <c r="H10" s="8"/>
      <c r="I10" s="8"/>
      <c r="J10" s="8"/>
      <c r="K10" s="8"/>
      <c r="L10" s="8"/>
      <c r="M10" s="8"/>
      <c r="N10" s="8"/>
      <c r="O10" s="8"/>
      <c r="P10" s="12"/>
      <c r="Q10" s="2"/>
    </row>
    <row r="11" spans="1:17" x14ac:dyDescent="0.25">
      <c r="A11" s="2"/>
      <c r="B11" s="11"/>
      <c r="C11" s="8"/>
      <c r="D11" s="8"/>
      <c r="E11" s="8"/>
      <c r="F11" s="8"/>
      <c r="G11" s="8"/>
      <c r="H11" s="8"/>
      <c r="I11" s="8"/>
      <c r="J11" s="8"/>
      <c r="K11" s="8"/>
      <c r="L11" s="8"/>
      <c r="M11" s="8"/>
      <c r="N11" s="8"/>
      <c r="O11" s="8"/>
      <c r="P11" s="12"/>
      <c r="Q11" s="2"/>
    </row>
    <row r="12" spans="1:17" ht="15.75" x14ac:dyDescent="0.25">
      <c r="A12" s="2"/>
      <c r="B12" s="11"/>
      <c r="C12" s="8"/>
      <c r="D12" s="22" t="s">
        <v>49</v>
      </c>
      <c r="E12" s="8"/>
      <c r="F12" s="8"/>
      <c r="G12" s="8"/>
      <c r="H12" s="8"/>
      <c r="I12" s="8"/>
      <c r="J12" s="8"/>
      <c r="K12" s="8"/>
      <c r="L12" s="8"/>
      <c r="M12" s="8"/>
      <c r="N12" s="8"/>
      <c r="O12" s="8"/>
      <c r="P12" s="12"/>
      <c r="Q12" s="2"/>
    </row>
    <row r="13" spans="1:17" x14ac:dyDescent="0.25">
      <c r="A13" s="2"/>
      <c r="B13" s="11"/>
      <c r="C13" s="8"/>
      <c r="D13" s="52" t="s">
        <v>302</v>
      </c>
      <c r="E13" s="8"/>
      <c r="F13" s="8"/>
      <c r="G13" s="8"/>
      <c r="H13" s="8"/>
      <c r="I13" s="8"/>
      <c r="J13" s="8"/>
      <c r="K13" s="8"/>
      <c r="L13" s="8"/>
      <c r="M13" s="8"/>
      <c r="N13" s="8"/>
      <c r="O13" s="8"/>
      <c r="P13" s="12"/>
      <c r="Q13" s="2"/>
    </row>
    <row r="14" spans="1:17" ht="15.75" thickBot="1" x14ac:dyDescent="0.3">
      <c r="A14" s="2"/>
      <c r="B14" s="11"/>
      <c r="C14" s="8"/>
      <c r="D14" s="8"/>
      <c r="E14" s="8"/>
      <c r="F14" s="8"/>
      <c r="G14" s="8"/>
      <c r="H14" s="8"/>
      <c r="I14" s="8"/>
      <c r="J14" s="8"/>
      <c r="K14" s="8"/>
      <c r="L14" s="8"/>
      <c r="M14" s="8"/>
      <c r="N14" s="8"/>
      <c r="O14" s="8"/>
      <c r="P14" s="12"/>
      <c r="Q14" s="2"/>
    </row>
    <row r="15" spans="1:17" ht="19.5" thickTop="1" thickBot="1" x14ac:dyDescent="0.4">
      <c r="A15" s="2"/>
      <c r="B15" s="11"/>
      <c r="C15" s="8"/>
      <c r="D15" s="31" t="s">
        <v>53</v>
      </c>
      <c r="E15" s="31">
        <f>'Baseline-Project Sinks'!E20</f>
        <v>207.82</v>
      </c>
      <c r="F15" s="8" t="s">
        <v>305</v>
      </c>
      <c r="G15" s="8"/>
      <c r="H15" s="8"/>
      <c r="I15" s="8"/>
      <c r="J15" s="8"/>
      <c r="K15" s="8"/>
      <c r="L15" s="8"/>
      <c r="M15" s="8"/>
      <c r="N15" s="8"/>
      <c r="O15" s="8"/>
      <c r="P15" s="12"/>
      <c r="Q15" s="2"/>
    </row>
    <row r="16" spans="1:17" ht="16.5" thickTop="1" thickBot="1" x14ac:dyDescent="0.3">
      <c r="A16" s="2"/>
      <c r="B16" s="11"/>
      <c r="C16" s="8"/>
      <c r="D16" s="8"/>
      <c r="E16" s="8"/>
      <c r="F16" s="8"/>
      <c r="G16" s="8"/>
      <c r="H16" s="8"/>
      <c r="I16" s="8"/>
      <c r="J16" s="8"/>
      <c r="K16" s="8"/>
      <c r="L16" s="8"/>
      <c r="M16" s="8"/>
      <c r="N16" s="8"/>
      <c r="O16" s="8"/>
      <c r="P16" s="12"/>
      <c r="Q16" s="2"/>
    </row>
    <row r="17" spans="1:17" ht="19.5" thickTop="1" thickBot="1" x14ac:dyDescent="0.4">
      <c r="A17" s="2"/>
      <c r="B17" s="11"/>
      <c r="C17" s="8"/>
      <c r="D17" s="31" t="s">
        <v>152</v>
      </c>
      <c r="E17" s="31">
        <f>'Project Emissions'!E58</f>
        <v>0.39602799999999999</v>
      </c>
      <c r="F17" s="8" t="s">
        <v>306</v>
      </c>
      <c r="G17" s="8"/>
      <c r="H17" s="8"/>
      <c r="I17" s="8"/>
      <c r="J17" s="8"/>
      <c r="K17" s="8"/>
      <c r="L17" s="8"/>
      <c r="M17" s="8"/>
      <c r="N17" s="8"/>
      <c r="O17" s="8"/>
      <c r="P17" s="12"/>
      <c r="Q17" s="2"/>
    </row>
    <row r="18" spans="1:17" ht="16.5" thickTop="1" thickBot="1" x14ac:dyDescent="0.3">
      <c r="A18" s="2"/>
      <c r="B18" s="11"/>
      <c r="C18" s="8"/>
      <c r="D18" s="8"/>
      <c r="E18" s="8"/>
      <c r="F18" s="8"/>
      <c r="G18" s="8"/>
      <c r="H18" s="8"/>
      <c r="I18" s="8"/>
      <c r="J18" s="8"/>
      <c r="K18" s="8"/>
      <c r="L18" s="8"/>
      <c r="M18" s="8"/>
      <c r="N18" s="8"/>
      <c r="O18" s="8"/>
      <c r="P18" s="12"/>
      <c r="Q18" s="2"/>
    </row>
    <row r="19" spans="1:17" ht="19.5" thickTop="1" thickBot="1" x14ac:dyDescent="0.4">
      <c r="A19" s="2"/>
      <c r="B19" s="11"/>
      <c r="C19" s="8"/>
      <c r="D19" s="31" t="s">
        <v>186</v>
      </c>
      <c r="E19" s="31">
        <f>Leakage!E51</f>
        <v>5.2715819999999995</v>
      </c>
      <c r="F19" s="8" t="s">
        <v>307</v>
      </c>
      <c r="G19" s="8"/>
      <c r="H19" s="8"/>
      <c r="I19" s="8"/>
      <c r="J19" s="8"/>
      <c r="K19" s="8"/>
      <c r="L19" s="8"/>
      <c r="M19" s="8"/>
      <c r="N19" s="8"/>
      <c r="O19" s="8"/>
      <c r="P19" s="12"/>
      <c r="Q19" s="2"/>
    </row>
    <row r="20" spans="1:17" ht="15.75" thickTop="1" x14ac:dyDescent="0.25">
      <c r="A20" s="2"/>
      <c r="B20" s="11"/>
      <c r="C20" s="8"/>
      <c r="D20" s="8"/>
      <c r="E20" s="8"/>
      <c r="F20" s="8"/>
      <c r="G20" s="8"/>
      <c r="H20" s="8"/>
      <c r="I20" s="8"/>
      <c r="J20" s="8"/>
      <c r="K20" s="8"/>
      <c r="L20" s="8"/>
      <c r="M20" s="8"/>
      <c r="N20" s="8"/>
      <c r="O20" s="8"/>
      <c r="P20" s="12"/>
      <c r="Q20" s="2"/>
    </row>
    <row r="21" spans="1:17" x14ac:dyDescent="0.25">
      <c r="A21" s="2"/>
      <c r="B21" s="11"/>
      <c r="C21" s="8"/>
      <c r="D21" s="23"/>
      <c r="E21" s="8"/>
      <c r="F21" s="8"/>
      <c r="G21" s="8"/>
      <c r="H21" s="8"/>
      <c r="I21" s="8"/>
      <c r="J21" s="8"/>
      <c r="K21" s="8"/>
      <c r="L21" s="8"/>
      <c r="M21" s="8"/>
      <c r="N21" s="8"/>
      <c r="O21" s="8"/>
      <c r="P21" s="12"/>
      <c r="Q21" s="2"/>
    </row>
    <row r="22" spans="1:17" x14ac:dyDescent="0.25">
      <c r="A22" s="2"/>
      <c r="B22" s="11"/>
      <c r="C22" s="8"/>
      <c r="D22" s="23" t="s">
        <v>62</v>
      </c>
      <c r="E22" s="8"/>
      <c r="F22" s="8"/>
      <c r="G22" s="8"/>
      <c r="H22" s="8"/>
      <c r="I22" s="8"/>
      <c r="J22" s="8"/>
      <c r="K22" s="8"/>
      <c r="L22" s="8"/>
      <c r="M22" s="8"/>
      <c r="N22" s="8"/>
      <c r="O22" s="8"/>
      <c r="P22" s="12"/>
      <c r="Q22" s="2"/>
    </row>
    <row r="23" spans="1:17" ht="15.75" thickBot="1" x14ac:dyDescent="0.3">
      <c r="A23" s="2"/>
      <c r="B23" s="11"/>
      <c r="C23" s="8"/>
      <c r="D23" s="8"/>
      <c r="E23" s="8"/>
      <c r="F23" s="8"/>
      <c r="G23" s="8"/>
      <c r="H23" s="8"/>
      <c r="I23" s="8"/>
      <c r="J23" s="8"/>
      <c r="K23" s="8"/>
      <c r="L23" s="8"/>
      <c r="M23" s="8"/>
      <c r="N23" s="8"/>
      <c r="O23" s="8"/>
      <c r="P23" s="12"/>
      <c r="Q23" s="2"/>
    </row>
    <row r="24" spans="1:17" ht="19.5" thickTop="1" thickBot="1" x14ac:dyDescent="0.4">
      <c r="A24" s="2"/>
      <c r="B24" s="11"/>
      <c r="C24" s="8"/>
      <c r="D24" s="31" t="s">
        <v>303</v>
      </c>
      <c r="E24" s="31">
        <f>E15-E17-E19</f>
        <v>202.15239</v>
      </c>
      <c r="F24" s="8" t="s">
        <v>304</v>
      </c>
      <c r="G24" s="8"/>
      <c r="H24" s="8"/>
      <c r="I24" s="8"/>
      <c r="J24" s="8"/>
      <c r="K24" s="8"/>
      <c r="L24" s="8"/>
      <c r="M24" s="8"/>
      <c r="N24" s="8"/>
      <c r="O24" s="8"/>
      <c r="P24" s="12"/>
      <c r="Q24" s="2"/>
    </row>
    <row r="25" spans="1:17" ht="15.75" thickTop="1" x14ac:dyDescent="0.25">
      <c r="A25" s="2"/>
      <c r="B25" s="11"/>
      <c r="C25" s="8"/>
      <c r="D25" s="8"/>
      <c r="E25" s="8"/>
      <c r="F25" s="8"/>
      <c r="G25" s="8"/>
      <c r="H25" s="8"/>
      <c r="I25" s="8"/>
      <c r="J25" s="8"/>
      <c r="K25" s="8"/>
      <c r="L25" s="8"/>
      <c r="M25" s="8"/>
      <c r="N25" s="8"/>
      <c r="O25" s="8"/>
      <c r="P25" s="12"/>
      <c r="Q25" s="2"/>
    </row>
    <row r="26" spans="1:17" x14ac:dyDescent="0.25">
      <c r="A26" s="2"/>
      <c r="B26" s="11"/>
      <c r="C26" s="8"/>
      <c r="D26" s="8"/>
      <c r="E26" s="8"/>
      <c r="F26" s="8"/>
      <c r="G26" s="8"/>
      <c r="H26" s="8"/>
      <c r="I26" s="8"/>
      <c r="J26" s="8"/>
      <c r="K26" s="8"/>
      <c r="L26" s="8"/>
      <c r="M26" s="8"/>
      <c r="N26" s="8"/>
      <c r="O26" s="8"/>
      <c r="P26" s="12"/>
      <c r="Q26" s="2"/>
    </row>
    <row r="27" spans="1:17" ht="15.75" thickBot="1" x14ac:dyDescent="0.3">
      <c r="A27" s="2"/>
      <c r="B27" s="13"/>
      <c r="C27" s="24"/>
      <c r="D27" s="24"/>
      <c r="E27" s="24"/>
      <c r="F27" s="24"/>
      <c r="G27" s="24"/>
      <c r="H27" s="24"/>
      <c r="I27" s="24"/>
      <c r="J27" s="24"/>
      <c r="K27" s="24"/>
      <c r="L27" s="24"/>
      <c r="M27" s="24"/>
      <c r="N27" s="24"/>
      <c r="O27" s="24"/>
      <c r="P27" s="16"/>
      <c r="Q27" s="2"/>
    </row>
    <row r="28" spans="1:17" x14ac:dyDescent="0.25">
      <c r="A28" s="2"/>
      <c r="B28" s="2"/>
      <c r="C28" s="2"/>
      <c r="D28" s="2"/>
      <c r="E28" s="2"/>
      <c r="F28" s="2"/>
      <c r="G28" s="2"/>
      <c r="H28" s="2"/>
      <c r="I28" s="2"/>
      <c r="J28" s="2"/>
      <c r="K28" s="2"/>
      <c r="L28" s="2"/>
      <c r="M28" s="2"/>
      <c r="N28" s="2"/>
      <c r="O28" s="2"/>
      <c r="P28" s="2"/>
      <c r="Q28" s="2"/>
    </row>
    <row r="29" spans="1:17" x14ac:dyDescent="0.25">
      <c r="A29" s="2"/>
      <c r="B29" s="2"/>
      <c r="C29" s="2"/>
      <c r="D29" s="2"/>
      <c r="E29" s="2"/>
      <c r="F29" s="2"/>
      <c r="G29" s="2"/>
      <c r="H29" s="2"/>
      <c r="I29" s="2"/>
      <c r="J29" s="2"/>
      <c r="K29" s="2"/>
      <c r="L29" s="2"/>
      <c r="M29" s="2"/>
      <c r="N29" s="2"/>
      <c r="O29" s="2"/>
      <c r="P29" s="2"/>
      <c r="Q29" s="2"/>
    </row>
    <row r="55" ht="15.75" customHeight="1" x14ac:dyDescent="0.25"/>
    <row r="56" ht="15.75" customHeight="1" x14ac:dyDescent="0.25"/>
  </sheetData>
  <mergeCells count="1">
    <mergeCell ref="B5:P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6" r:id="rId3" name="Button 6">
              <controlPr defaultSize="0" print="0" autoFill="0" autoPict="0" macro="[0]!Redirect_er_to_ps">
                <anchor moveWithCells="1" sizeWithCells="1">
                  <from>
                    <xdr:col>11</xdr:col>
                    <xdr:colOff>323850</xdr:colOff>
                    <xdr:row>12</xdr:row>
                    <xdr:rowOff>161925</xdr:rowOff>
                  </from>
                  <to>
                    <xdr:col>15</xdr:col>
                    <xdr:colOff>200025</xdr:colOff>
                    <xdr:row>14</xdr:row>
                    <xdr:rowOff>209550</xdr:rowOff>
                  </to>
                </anchor>
              </controlPr>
            </control>
          </mc:Choice>
        </mc:AlternateContent>
        <mc:AlternateContent xmlns:mc="http://schemas.openxmlformats.org/markup-compatibility/2006">
          <mc:Choice Requires="x14">
            <control shapeId="20487" r:id="rId4" name="Button 7">
              <controlPr defaultSize="0" print="0" autoFill="0" autoPict="0" macro="[0]!Redirect_er_to_pe">
                <anchor moveWithCells="1" sizeWithCells="1">
                  <from>
                    <xdr:col>11</xdr:col>
                    <xdr:colOff>333375</xdr:colOff>
                    <xdr:row>15</xdr:row>
                    <xdr:rowOff>85725</xdr:rowOff>
                  </from>
                  <to>
                    <xdr:col>15</xdr:col>
                    <xdr:colOff>209550</xdr:colOff>
                    <xdr:row>17</xdr:row>
                    <xdr:rowOff>95250</xdr:rowOff>
                  </to>
                </anchor>
              </controlPr>
            </control>
          </mc:Choice>
        </mc:AlternateContent>
        <mc:AlternateContent xmlns:mc="http://schemas.openxmlformats.org/markup-compatibility/2006">
          <mc:Choice Requires="x14">
            <control shapeId="20488" r:id="rId5" name="Button 8">
              <controlPr defaultSize="0" print="0" autoFill="0" autoPict="0" macro="[0]!Redirect_er_to_le">
                <anchor moveWithCells="1" sizeWithCells="1">
                  <from>
                    <xdr:col>11</xdr:col>
                    <xdr:colOff>333375</xdr:colOff>
                    <xdr:row>18</xdr:row>
                    <xdr:rowOff>28575</xdr:rowOff>
                  </from>
                  <to>
                    <xdr:col>15</xdr:col>
                    <xdr:colOff>209550</xdr:colOff>
                    <xdr:row>20</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10308-2640-4B87-B6E8-5A95A61888D2}">
  <sheetPr codeName="Sheet15"/>
  <dimension ref="A1:H83"/>
  <sheetViews>
    <sheetView workbookViewId="0">
      <pane ySplit="1" topLeftCell="A17" activePane="bottomLeft" state="frozen"/>
      <selection pane="bottomLeft" activeCell="G20" sqref="G20"/>
    </sheetView>
  </sheetViews>
  <sheetFormatPr defaultRowHeight="15" x14ac:dyDescent="0.25"/>
  <cols>
    <col min="1" max="1" width="11.28515625" customWidth="1"/>
    <col min="2" max="2" width="13.28515625" customWidth="1"/>
    <col min="3" max="3" width="11.140625" customWidth="1"/>
    <col min="4" max="4" width="10.28515625" customWidth="1"/>
    <col min="5" max="5" width="26.42578125" customWidth="1"/>
    <col min="6" max="6" width="59" customWidth="1"/>
    <col min="7" max="7" width="26" customWidth="1"/>
    <col min="8" max="8" width="81" customWidth="1"/>
  </cols>
  <sheetData>
    <row r="1" spans="1:8" ht="39.75" customHeight="1" x14ac:dyDescent="0.3">
      <c r="A1" s="105" t="s">
        <v>320</v>
      </c>
      <c r="B1" s="105" t="s">
        <v>321</v>
      </c>
      <c r="C1" s="106" t="s">
        <v>322</v>
      </c>
      <c r="D1" s="105" t="s">
        <v>323</v>
      </c>
      <c r="E1" s="105" t="s">
        <v>324</v>
      </c>
      <c r="F1" s="107" t="s">
        <v>325</v>
      </c>
      <c r="G1" s="107" t="s">
        <v>326</v>
      </c>
      <c r="H1" s="106" t="s">
        <v>327</v>
      </c>
    </row>
    <row r="2" spans="1:8" s="108" customFormat="1" ht="39" customHeight="1" x14ac:dyDescent="0.25">
      <c r="A2" s="195" t="s">
        <v>328</v>
      </c>
      <c r="B2" s="195"/>
      <c r="C2" s="195"/>
      <c r="D2" s="195"/>
      <c r="E2" s="195"/>
      <c r="F2" s="195"/>
      <c r="G2" s="195"/>
      <c r="H2" s="195"/>
    </row>
    <row r="3" spans="1:8" ht="47.25" customHeight="1" x14ac:dyDescent="0.25">
      <c r="A3" s="109" t="s">
        <v>133</v>
      </c>
      <c r="B3" s="110"/>
      <c r="C3" s="109" t="s">
        <v>329</v>
      </c>
      <c r="D3" s="109" t="s">
        <v>330</v>
      </c>
      <c r="E3" s="111" t="s">
        <v>331</v>
      </c>
      <c r="F3" s="112" t="s">
        <v>332</v>
      </c>
      <c r="G3" s="113" t="s">
        <v>271</v>
      </c>
      <c r="H3" s="112" t="s">
        <v>333</v>
      </c>
    </row>
    <row r="4" spans="1:8" ht="47.25" customHeight="1" x14ac:dyDescent="0.25">
      <c r="A4" s="114" t="s">
        <v>133</v>
      </c>
      <c r="B4" s="104"/>
      <c r="C4" s="114" t="s">
        <v>334</v>
      </c>
      <c r="D4" s="114" t="s">
        <v>335</v>
      </c>
      <c r="E4" s="115"/>
      <c r="F4" s="116" t="s">
        <v>336</v>
      </c>
      <c r="G4" s="117" t="s">
        <v>337</v>
      </c>
      <c r="H4" s="116" t="s">
        <v>338</v>
      </c>
    </row>
    <row r="5" spans="1:8" ht="30.75" customHeight="1" x14ac:dyDescent="0.25">
      <c r="A5" s="196" t="s">
        <v>339</v>
      </c>
      <c r="B5" s="196"/>
      <c r="C5" s="196"/>
      <c r="D5" s="196"/>
      <c r="E5" s="196"/>
      <c r="F5" s="196"/>
      <c r="G5" s="196"/>
      <c r="H5" s="196"/>
    </row>
    <row r="6" spans="1:8" ht="37.5" x14ac:dyDescent="0.25">
      <c r="A6" s="109" t="s">
        <v>133</v>
      </c>
      <c r="B6" s="110"/>
      <c r="C6" s="109" t="s">
        <v>329</v>
      </c>
      <c r="D6" s="109" t="s">
        <v>330</v>
      </c>
      <c r="E6" s="111" t="s">
        <v>340</v>
      </c>
      <c r="F6" s="112" t="s">
        <v>341</v>
      </c>
      <c r="G6" s="113" t="s">
        <v>133</v>
      </c>
      <c r="H6" s="112" t="s">
        <v>342</v>
      </c>
    </row>
    <row r="7" spans="1:8" ht="60" x14ac:dyDescent="0.25">
      <c r="A7" s="114" t="s">
        <v>133</v>
      </c>
      <c r="B7" s="104"/>
      <c r="C7" s="114" t="s">
        <v>334</v>
      </c>
      <c r="D7" s="114" t="s">
        <v>335</v>
      </c>
      <c r="E7" s="115"/>
      <c r="F7" s="116" t="s">
        <v>336</v>
      </c>
      <c r="G7" s="116" t="s">
        <v>343</v>
      </c>
      <c r="H7" s="116" t="s">
        <v>338</v>
      </c>
    </row>
    <row r="8" spans="1:8" ht="60" x14ac:dyDescent="0.25">
      <c r="A8" s="109" t="s">
        <v>133</v>
      </c>
      <c r="B8" s="110"/>
      <c r="C8" s="109" t="s">
        <v>329</v>
      </c>
      <c r="D8" s="109" t="s">
        <v>330</v>
      </c>
      <c r="E8" s="111" t="s">
        <v>344</v>
      </c>
      <c r="F8" s="112" t="s">
        <v>345</v>
      </c>
      <c r="G8" s="113" t="s">
        <v>271</v>
      </c>
      <c r="H8" s="118" t="s">
        <v>346</v>
      </c>
    </row>
    <row r="9" spans="1:8" ht="75" x14ac:dyDescent="0.25">
      <c r="A9" s="114" t="s">
        <v>133</v>
      </c>
      <c r="B9" s="104"/>
      <c r="C9" s="114" t="s">
        <v>334</v>
      </c>
      <c r="D9" s="114" t="s">
        <v>335</v>
      </c>
      <c r="E9" s="115"/>
      <c r="F9" s="116" t="s">
        <v>336</v>
      </c>
      <c r="G9" s="116" t="s">
        <v>347</v>
      </c>
      <c r="H9" s="116" t="s">
        <v>338</v>
      </c>
    </row>
    <row r="10" spans="1:8" ht="37.5" x14ac:dyDescent="0.25">
      <c r="A10" s="109" t="s">
        <v>133</v>
      </c>
      <c r="B10" s="110"/>
      <c r="C10" s="109" t="s">
        <v>329</v>
      </c>
      <c r="D10" s="109" t="s">
        <v>330</v>
      </c>
      <c r="E10" s="111" t="s">
        <v>348</v>
      </c>
      <c r="F10" s="112" t="s">
        <v>349</v>
      </c>
      <c r="G10" s="119" t="s">
        <v>271</v>
      </c>
      <c r="H10" s="118" t="s">
        <v>350</v>
      </c>
    </row>
    <row r="11" spans="1:8" ht="30" x14ac:dyDescent="0.25">
      <c r="A11" s="114" t="s">
        <v>133</v>
      </c>
      <c r="B11" s="104"/>
      <c r="C11" s="114" t="s">
        <v>334</v>
      </c>
      <c r="D11" s="114" t="s">
        <v>335</v>
      </c>
      <c r="E11" s="115"/>
      <c r="F11" s="116" t="s">
        <v>336</v>
      </c>
      <c r="G11" s="116" t="s">
        <v>337</v>
      </c>
      <c r="H11" s="116" t="s">
        <v>351</v>
      </c>
    </row>
    <row r="12" spans="1:8" ht="45" x14ac:dyDescent="0.25">
      <c r="A12" s="109" t="s">
        <v>133</v>
      </c>
      <c r="B12" s="110"/>
      <c r="C12" s="109" t="s">
        <v>329</v>
      </c>
      <c r="D12" s="109" t="s">
        <v>330</v>
      </c>
      <c r="E12" s="111" t="s">
        <v>352</v>
      </c>
      <c r="F12" s="112" t="s">
        <v>353</v>
      </c>
      <c r="G12" s="119" t="s">
        <v>133</v>
      </c>
      <c r="H12" s="112" t="s">
        <v>354</v>
      </c>
    </row>
    <row r="13" spans="1:8" ht="60" x14ac:dyDescent="0.25">
      <c r="A13" s="114" t="s">
        <v>133</v>
      </c>
      <c r="B13" s="104"/>
      <c r="C13" s="114" t="s">
        <v>334</v>
      </c>
      <c r="D13" s="114" t="s">
        <v>335</v>
      </c>
      <c r="E13" s="115"/>
      <c r="F13" s="116" t="s">
        <v>336</v>
      </c>
      <c r="G13" s="116" t="s">
        <v>355</v>
      </c>
      <c r="H13" s="116" t="s">
        <v>338</v>
      </c>
    </row>
    <row r="14" spans="1:8" ht="37.5" x14ac:dyDescent="0.25">
      <c r="A14" s="109" t="s">
        <v>133</v>
      </c>
      <c r="B14" s="110"/>
      <c r="C14" s="109" t="s">
        <v>329</v>
      </c>
      <c r="D14" s="109" t="s">
        <v>330</v>
      </c>
      <c r="E14" s="111" t="s">
        <v>356</v>
      </c>
      <c r="F14" s="112" t="s">
        <v>357</v>
      </c>
      <c r="G14" s="119" t="s">
        <v>133</v>
      </c>
      <c r="H14" s="112" t="s">
        <v>358</v>
      </c>
    </row>
    <row r="15" spans="1:8" ht="75" x14ac:dyDescent="0.25">
      <c r="A15" s="114" t="s">
        <v>133</v>
      </c>
      <c r="B15" s="104"/>
      <c r="C15" s="114" t="s">
        <v>334</v>
      </c>
      <c r="D15" s="114" t="s">
        <v>335</v>
      </c>
      <c r="E15" s="115"/>
      <c r="F15" s="116" t="s">
        <v>336</v>
      </c>
      <c r="G15" s="116" t="s">
        <v>359</v>
      </c>
      <c r="H15" s="116" t="s">
        <v>338</v>
      </c>
    </row>
    <row r="16" spans="1:8" ht="37.5" x14ac:dyDescent="0.25">
      <c r="A16" s="109" t="s">
        <v>133</v>
      </c>
      <c r="B16" s="110"/>
      <c r="C16" s="109" t="s">
        <v>329</v>
      </c>
      <c r="D16" s="109" t="s">
        <v>330</v>
      </c>
      <c r="E16" s="111" t="s">
        <v>360</v>
      </c>
      <c r="F16" s="112" t="s">
        <v>361</v>
      </c>
      <c r="G16" s="112" t="s">
        <v>133</v>
      </c>
      <c r="H16" s="112" t="s">
        <v>362</v>
      </c>
    </row>
    <row r="17" spans="1:8" ht="99" customHeight="1" x14ac:dyDescent="0.25">
      <c r="A17" s="109" t="s">
        <v>133</v>
      </c>
      <c r="B17" s="110"/>
      <c r="C17" s="109" t="s">
        <v>334</v>
      </c>
      <c r="D17" s="109" t="s">
        <v>330</v>
      </c>
      <c r="E17" s="120" t="s">
        <v>363</v>
      </c>
      <c r="F17" s="112" t="s">
        <v>364</v>
      </c>
      <c r="G17" s="112" t="s">
        <v>133</v>
      </c>
      <c r="H17" s="112" t="s">
        <v>365</v>
      </c>
    </row>
    <row r="18" spans="1:8" ht="18.75" x14ac:dyDescent="0.25">
      <c r="A18" s="114" t="s">
        <v>133</v>
      </c>
      <c r="B18" s="104"/>
      <c r="C18" s="114" t="s">
        <v>334</v>
      </c>
      <c r="D18" s="114" t="s">
        <v>335</v>
      </c>
      <c r="E18" s="115"/>
      <c r="F18" s="116" t="s">
        <v>336</v>
      </c>
      <c r="G18" s="117" t="s">
        <v>337</v>
      </c>
      <c r="H18" s="116" t="s">
        <v>338</v>
      </c>
    </row>
    <row r="19" spans="1:8" ht="45" x14ac:dyDescent="0.25">
      <c r="A19" s="109" t="s">
        <v>133</v>
      </c>
      <c r="B19" s="110"/>
      <c r="C19" s="109" t="s">
        <v>329</v>
      </c>
      <c r="D19" s="109" t="s">
        <v>330</v>
      </c>
      <c r="E19" s="120" t="s">
        <v>366</v>
      </c>
      <c r="F19" s="112" t="s">
        <v>367</v>
      </c>
      <c r="G19" s="119" t="s">
        <v>133</v>
      </c>
      <c r="H19" s="112" t="s">
        <v>368</v>
      </c>
    </row>
    <row r="20" spans="1:8" ht="18.75" x14ac:dyDescent="0.25">
      <c r="A20" s="114" t="s">
        <v>133</v>
      </c>
      <c r="B20" s="104"/>
      <c r="C20" s="114" t="s">
        <v>334</v>
      </c>
      <c r="D20" s="114" t="s">
        <v>335</v>
      </c>
      <c r="E20" s="115"/>
      <c r="F20" s="116" t="s">
        <v>336</v>
      </c>
      <c r="G20" s="117" t="s">
        <v>337</v>
      </c>
      <c r="H20" s="116" t="s">
        <v>338</v>
      </c>
    </row>
    <row r="21" spans="1:8" ht="70.5" customHeight="1" x14ac:dyDescent="0.25">
      <c r="A21" s="109" t="s">
        <v>133</v>
      </c>
      <c r="B21" s="110"/>
      <c r="C21" s="109" t="s">
        <v>329</v>
      </c>
      <c r="D21" s="109" t="s">
        <v>330</v>
      </c>
      <c r="E21" s="111" t="s">
        <v>369</v>
      </c>
      <c r="F21" s="112" t="s">
        <v>361</v>
      </c>
      <c r="G21" s="112" t="s">
        <v>133</v>
      </c>
      <c r="H21" s="112" t="s">
        <v>370</v>
      </c>
    </row>
    <row r="22" spans="1:8" ht="18.75" x14ac:dyDescent="0.25">
      <c r="A22" s="114" t="s">
        <v>133</v>
      </c>
      <c r="B22" s="104"/>
      <c r="C22" s="114" t="s">
        <v>334</v>
      </c>
      <c r="D22" s="114" t="s">
        <v>335</v>
      </c>
      <c r="E22" s="115"/>
      <c r="F22" s="116" t="s">
        <v>336</v>
      </c>
      <c r="G22" s="117" t="s">
        <v>337</v>
      </c>
      <c r="H22" s="116" t="s">
        <v>338</v>
      </c>
    </row>
    <row r="23" spans="1:8" ht="47.25" customHeight="1" x14ac:dyDescent="0.25">
      <c r="A23" s="109" t="s">
        <v>133</v>
      </c>
      <c r="B23" s="110"/>
      <c r="C23" s="109" t="s">
        <v>329</v>
      </c>
      <c r="D23" s="109" t="s">
        <v>330</v>
      </c>
      <c r="E23" s="111" t="s">
        <v>371</v>
      </c>
      <c r="F23" s="112" t="s">
        <v>372</v>
      </c>
      <c r="G23" s="119" t="s">
        <v>133</v>
      </c>
      <c r="H23" s="112" t="s">
        <v>373</v>
      </c>
    </row>
    <row r="24" spans="1:8" ht="18.75" x14ac:dyDescent="0.25">
      <c r="A24" s="114" t="s">
        <v>133</v>
      </c>
      <c r="B24" s="104"/>
      <c r="C24" s="114" t="s">
        <v>334</v>
      </c>
      <c r="D24" s="114" t="s">
        <v>335</v>
      </c>
      <c r="E24" s="115"/>
      <c r="F24" s="116" t="s">
        <v>336</v>
      </c>
      <c r="G24" s="117" t="s">
        <v>337</v>
      </c>
      <c r="H24" s="116" t="s">
        <v>338</v>
      </c>
    </row>
    <row r="25" spans="1:8" ht="47.25" customHeight="1" x14ac:dyDescent="0.25">
      <c r="A25" s="109" t="s">
        <v>133</v>
      </c>
      <c r="B25" s="110"/>
      <c r="C25" s="109" t="s">
        <v>329</v>
      </c>
      <c r="D25" s="109" t="s">
        <v>330</v>
      </c>
      <c r="E25" s="111" t="s">
        <v>374</v>
      </c>
      <c r="F25" s="112" t="s">
        <v>375</v>
      </c>
      <c r="G25" s="119" t="s">
        <v>271</v>
      </c>
      <c r="H25" s="112" t="s">
        <v>376</v>
      </c>
    </row>
    <row r="26" spans="1:8" ht="18.75" x14ac:dyDescent="0.25">
      <c r="A26" s="114" t="s">
        <v>133</v>
      </c>
      <c r="B26" s="104"/>
      <c r="C26" s="114" t="s">
        <v>334</v>
      </c>
      <c r="D26" s="114" t="s">
        <v>335</v>
      </c>
      <c r="E26" s="115"/>
      <c r="F26" s="116" t="s">
        <v>336</v>
      </c>
      <c r="G26" s="117" t="s">
        <v>337</v>
      </c>
      <c r="H26" s="116" t="s">
        <v>338</v>
      </c>
    </row>
    <row r="27" spans="1:8" ht="33" customHeight="1" x14ac:dyDescent="0.25">
      <c r="A27" s="196" t="s">
        <v>377</v>
      </c>
      <c r="B27" s="196"/>
      <c r="C27" s="196"/>
      <c r="D27" s="196"/>
      <c r="E27" s="196"/>
      <c r="F27" s="196"/>
      <c r="G27" s="196"/>
      <c r="H27" s="196"/>
    </row>
    <row r="28" spans="1:8" ht="74.25" customHeight="1" x14ac:dyDescent="0.25">
      <c r="A28" s="104"/>
      <c r="B28" s="104"/>
      <c r="C28" s="121"/>
      <c r="D28" s="104"/>
      <c r="E28" s="122"/>
      <c r="F28" s="116"/>
      <c r="G28" s="108"/>
    </row>
    <row r="62" spans="1:8" ht="92.25" customHeight="1" x14ac:dyDescent="0.25"/>
    <row r="63" spans="1:8" ht="33" customHeight="1" x14ac:dyDescent="0.25">
      <c r="A63" s="196" t="s">
        <v>378</v>
      </c>
      <c r="B63" s="196"/>
      <c r="C63" s="196"/>
      <c r="D63" s="196"/>
      <c r="E63" s="196"/>
      <c r="F63" s="196"/>
      <c r="G63" s="196"/>
      <c r="H63" s="196"/>
    </row>
    <row r="64" spans="1:8" ht="37.5" x14ac:dyDescent="0.25">
      <c r="A64" s="109" t="s">
        <v>133</v>
      </c>
      <c r="B64" s="110"/>
      <c r="C64" s="109" t="s">
        <v>329</v>
      </c>
      <c r="D64" s="109" t="s">
        <v>330</v>
      </c>
      <c r="E64" s="111" t="s">
        <v>340</v>
      </c>
      <c r="F64" s="112" t="s">
        <v>341</v>
      </c>
      <c r="G64" s="113" t="s">
        <v>133</v>
      </c>
      <c r="H64" s="112" t="s">
        <v>379</v>
      </c>
    </row>
    <row r="65" spans="1:8" ht="60" x14ac:dyDescent="0.25">
      <c r="A65" s="114" t="s">
        <v>133</v>
      </c>
      <c r="B65" s="104"/>
      <c r="C65" s="114" t="s">
        <v>334</v>
      </c>
      <c r="D65" s="114" t="s">
        <v>335</v>
      </c>
      <c r="E65" s="115"/>
      <c r="F65" s="116" t="s">
        <v>336</v>
      </c>
      <c r="G65" s="116" t="s">
        <v>343</v>
      </c>
      <c r="H65" s="116" t="s">
        <v>338</v>
      </c>
    </row>
    <row r="66" spans="1:8" ht="60" x14ac:dyDescent="0.25">
      <c r="A66" s="109" t="s">
        <v>133</v>
      </c>
      <c r="B66" s="110"/>
      <c r="C66" s="109" t="s">
        <v>329</v>
      </c>
      <c r="D66" s="109" t="s">
        <v>330</v>
      </c>
      <c r="E66" s="111" t="s">
        <v>344</v>
      </c>
      <c r="F66" s="112" t="s">
        <v>345</v>
      </c>
      <c r="G66" s="113" t="s">
        <v>271</v>
      </c>
      <c r="H66" s="118" t="s">
        <v>346</v>
      </c>
    </row>
    <row r="67" spans="1:8" ht="75" x14ac:dyDescent="0.25">
      <c r="A67" s="114" t="s">
        <v>133</v>
      </c>
      <c r="B67" s="104"/>
      <c r="C67" s="114" t="s">
        <v>334</v>
      </c>
      <c r="D67" s="114" t="s">
        <v>335</v>
      </c>
      <c r="E67" s="115"/>
      <c r="F67" s="116" t="s">
        <v>336</v>
      </c>
      <c r="G67" s="116" t="s">
        <v>347</v>
      </c>
      <c r="H67" s="116" t="s">
        <v>338</v>
      </c>
    </row>
    <row r="68" spans="1:8" ht="37.5" x14ac:dyDescent="0.25">
      <c r="A68" s="109" t="s">
        <v>133</v>
      </c>
      <c r="B68" s="110"/>
      <c r="C68" s="109" t="s">
        <v>329</v>
      </c>
      <c r="D68" s="109" t="s">
        <v>330</v>
      </c>
      <c r="E68" s="111" t="s">
        <v>348</v>
      </c>
      <c r="F68" s="112" t="s">
        <v>349</v>
      </c>
      <c r="G68" s="119" t="s">
        <v>271</v>
      </c>
      <c r="H68" s="118" t="s">
        <v>350</v>
      </c>
    </row>
    <row r="69" spans="1:8" ht="30" x14ac:dyDescent="0.25">
      <c r="A69" s="114" t="s">
        <v>133</v>
      </c>
      <c r="B69" s="104"/>
      <c r="C69" s="114" t="s">
        <v>334</v>
      </c>
      <c r="D69" s="114" t="s">
        <v>335</v>
      </c>
      <c r="E69" s="115"/>
      <c r="F69" s="116" t="s">
        <v>336</v>
      </c>
      <c r="G69" s="116" t="s">
        <v>337</v>
      </c>
      <c r="H69" s="116" t="s">
        <v>351</v>
      </c>
    </row>
    <row r="70" spans="1:8" ht="45" x14ac:dyDescent="0.25">
      <c r="A70" s="109" t="s">
        <v>133</v>
      </c>
      <c r="B70" s="110"/>
      <c r="C70" s="109" t="s">
        <v>329</v>
      </c>
      <c r="D70" s="109" t="s">
        <v>330</v>
      </c>
      <c r="E70" s="111" t="s">
        <v>352</v>
      </c>
      <c r="F70" s="112" t="s">
        <v>353</v>
      </c>
      <c r="G70" s="119" t="s">
        <v>133</v>
      </c>
      <c r="H70" s="112" t="s">
        <v>354</v>
      </c>
    </row>
    <row r="71" spans="1:8" ht="60" x14ac:dyDescent="0.25">
      <c r="A71" s="114" t="s">
        <v>133</v>
      </c>
      <c r="B71" s="104"/>
      <c r="C71" s="114" t="s">
        <v>334</v>
      </c>
      <c r="D71" s="114" t="s">
        <v>335</v>
      </c>
      <c r="E71" s="115"/>
      <c r="F71" s="116" t="s">
        <v>336</v>
      </c>
      <c r="G71" s="116" t="s">
        <v>355</v>
      </c>
      <c r="H71" s="116" t="s">
        <v>338</v>
      </c>
    </row>
    <row r="72" spans="1:8" ht="37.5" x14ac:dyDescent="0.25">
      <c r="A72" s="109" t="s">
        <v>133</v>
      </c>
      <c r="B72" s="110"/>
      <c r="C72" s="109" t="s">
        <v>329</v>
      </c>
      <c r="D72" s="109" t="s">
        <v>330</v>
      </c>
      <c r="E72" s="111" t="s">
        <v>356</v>
      </c>
      <c r="F72" s="112" t="s">
        <v>357</v>
      </c>
      <c r="G72" s="119" t="s">
        <v>133</v>
      </c>
      <c r="H72" s="112" t="s">
        <v>380</v>
      </c>
    </row>
    <row r="73" spans="1:8" ht="75" x14ac:dyDescent="0.25">
      <c r="A73" s="114" t="s">
        <v>133</v>
      </c>
      <c r="B73" s="104"/>
      <c r="C73" s="114" t="s">
        <v>334</v>
      </c>
      <c r="D73" s="114" t="s">
        <v>335</v>
      </c>
      <c r="E73" s="115"/>
      <c r="F73" s="116" t="s">
        <v>336</v>
      </c>
      <c r="G73" s="116" t="s">
        <v>359</v>
      </c>
      <c r="H73" s="116" t="s">
        <v>338</v>
      </c>
    </row>
    <row r="74" spans="1:8" ht="37.5" x14ac:dyDescent="0.25">
      <c r="A74" s="109" t="s">
        <v>133</v>
      </c>
      <c r="B74" s="110"/>
      <c r="C74" s="109" t="s">
        <v>329</v>
      </c>
      <c r="D74" s="109" t="s">
        <v>330</v>
      </c>
      <c r="E74" s="111" t="s">
        <v>360</v>
      </c>
      <c r="F74" s="112" t="s">
        <v>361</v>
      </c>
      <c r="G74" s="112" t="s">
        <v>133</v>
      </c>
      <c r="H74" s="112" t="s">
        <v>381</v>
      </c>
    </row>
    <row r="75" spans="1:8" ht="99" customHeight="1" x14ac:dyDescent="0.25">
      <c r="A75" s="109" t="s">
        <v>133</v>
      </c>
      <c r="B75" s="110"/>
      <c r="C75" s="109" t="s">
        <v>329</v>
      </c>
      <c r="D75" s="109" t="s">
        <v>330</v>
      </c>
      <c r="E75" s="120" t="s">
        <v>382</v>
      </c>
      <c r="F75" s="112" t="s">
        <v>364</v>
      </c>
      <c r="G75" s="112" t="s">
        <v>133</v>
      </c>
      <c r="H75" s="112" t="s">
        <v>383</v>
      </c>
    </row>
    <row r="76" spans="1:8" ht="18.75" x14ac:dyDescent="0.25">
      <c r="A76" s="114" t="s">
        <v>133</v>
      </c>
      <c r="B76" s="104"/>
      <c r="C76" s="114" t="s">
        <v>334</v>
      </c>
      <c r="D76" s="114" t="s">
        <v>335</v>
      </c>
      <c r="E76" s="115"/>
      <c r="F76" s="116" t="s">
        <v>336</v>
      </c>
      <c r="G76" s="117" t="s">
        <v>337</v>
      </c>
      <c r="H76" s="116" t="s">
        <v>338</v>
      </c>
    </row>
    <row r="77" spans="1:8" ht="45" x14ac:dyDescent="0.25">
      <c r="A77" s="109" t="s">
        <v>133</v>
      </c>
      <c r="B77" s="110"/>
      <c r="C77" s="109" t="s">
        <v>329</v>
      </c>
      <c r="D77" s="109" t="s">
        <v>330</v>
      </c>
      <c r="E77" s="120" t="s">
        <v>384</v>
      </c>
      <c r="F77" s="112" t="s">
        <v>367</v>
      </c>
      <c r="G77" s="119" t="s">
        <v>133</v>
      </c>
      <c r="H77" s="112" t="s">
        <v>385</v>
      </c>
    </row>
    <row r="78" spans="1:8" ht="18.75" x14ac:dyDescent="0.25">
      <c r="A78" s="114" t="s">
        <v>133</v>
      </c>
      <c r="B78" s="104"/>
      <c r="C78" s="114" t="s">
        <v>334</v>
      </c>
      <c r="D78" s="114" t="s">
        <v>335</v>
      </c>
      <c r="E78" s="115"/>
      <c r="F78" s="116" t="s">
        <v>336</v>
      </c>
      <c r="G78" s="117" t="s">
        <v>337</v>
      </c>
      <c r="H78" s="116" t="s">
        <v>338</v>
      </c>
    </row>
    <row r="79" spans="1:8" ht="70.5" customHeight="1" x14ac:dyDescent="0.25">
      <c r="A79" s="109" t="s">
        <v>133</v>
      </c>
      <c r="B79" s="110"/>
      <c r="C79" s="109" t="s">
        <v>329</v>
      </c>
      <c r="D79" s="109" t="s">
        <v>330</v>
      </c>
      <c r="E79" s="111" t="s">
        <v>369</v>
      </c>
      <c r="F79" s="112" t="s">
        <v>361</v>
      </c>
      <c r="G79" s="112" t="s">
        <v>133</v>
      </c>
      <c r="H79" s="112" t="s">
        <v>386</v>
      </c>
    </row>
    <row r="80" spans="1:8" ht="18.75" x14ac:dyDescent="0.25">
      <c r="A80" s="114" t="s">
        <v>133</v>
      </c>
      <c r="B80" s="104"/>
      <c r="C80" s="114" t="s">
        <v>334</v>
      </c>
      <c r="D80" s="114" t="s">
        <v>335</v>
      </c>
      <c r="E80" s="115"/>
      <c r="F80" s="116" t="s">
        <v>336</v>
      </c>
      <c r="G80" s="117" t="s">
        <v>337</v>
      </c>
      <c r="H80" s="116" t="s">
        <v>338</v>
      </c>
    </row>
    <row r="81" spans="1:8" ht="47.25" customHeight="1" x14ac:dyDescent="0.25">
      <c r="A81" s="109" t="s">
        <v>133</v>
      </c>
      <c r="B81" s="110"/>
      <c r="C81" s="109" t="s">
        <v>329</v>
      </c>
      <c r="D81" s="109" t="s">
        <v>330</v>
      </c>
      <c r="E81" s="111" t="s">
        <v>387</v>
      </c>
      <c r="F81" s="112" t="s">
        <v>372</v>
      </c>
      <c r="G81" s="119" t="s">
        <v>133</v>
      </c>
      <c r="H81" s="112" t="s">
        <v>388</v>
      </c>
    </row>
    <row r="82" spans="1:8" ht="18.75" x14ac:dyDescent="0.25">
      <c r="A82" s="114" t="s">
        <v>133</v>
      </c>
      <c r="B82" s="104"/>
      <c r="C82" s="114" t="s">
        <v>334</v>
      </c>
      <c r="D82" s="114" t="s">
        <v>335</v>
      </c>
      <c r="E82" s="115"/>
      <c r="F82" s="116" t="s">
        <v>336</v>
      </c>
      <c r="G82" s="117" t="s">
        <v>337</v>
      </c>
      <c r="H82" s="116" t="s">
        <v>338</v>
      </c>
    </row>
    <row r="83" spans="1:8" ht="33" customHeight="1" x14ac:dyDescent="0.25">
      <c r="A83" s="196" t="s">
        <v>389</v>
      </c>
      <c r="B83" s="196"/>
      <c r="C83" s="196"/>
      <c r="D83" s="196"/>
      <c r="E83" s="196"/>
      <c r="F83" s="196"/>
      <c r="G83" s="196"/>
      <c r="H83" s="196"/>
    </row>
  </sheetData>
  <mergeCells count="5">
    <mergeCell ref="A2:H2"/>
    <mergeCell ref="A5:H5"/>
    <mergeCell ref="A27:H27"/>
    <mergeCell ref="A63:H63"/>
    <mergeCell ref="A83:H83"/>
  </mergeCells>
  <pageMargins left="0.7" right="0.7" top="0.75" bottom="0.75" header="0.3" footer="0.3"/>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65777255-547c-4997-b980-b8ec387fc921"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A2A71156DC7A845931FA815841BBBE9" ma:contentTypeVersion="15" ma:contentTypeDescription="Create a new document." ma:contentTypeScope="" ma:versionID="0f4f8b5f02ac6d64bfe0ebd168bafcec">
  <xsd:schema xmlns:xsd="http://www.w3.org/2001/XMLSchema" xmlns:xs="http://www.w3.org/2001/XMLSchema" xmlns:p="http://schemas.microsoft.com/office/2006/metadata/properties" xmlns:ns3="65777255-547c-4997-b980-b8ec387fc921" xmlns:ns4="544e15c9-ee33-4574-8cbe-20a29a71700b" targetNamespace="http://schemas.microsoft.com/office/2006/metadata/properties" ma:root="true" ma:fieldsID="e34de14d899fd8ff699b4d47bacbffa1" ns3:_="" ns4:_="">
    <xsd:import namespace="65777255-547c-4997-b980-b8ec387fc921"/>
    <xsd:import namespace="544e15c9-ee33-4574-8cbe-20a29a71700b"/>
    <xsd:element name="properties">
      <xsd:complexType>
        <xsd:sequence>
          <xsd:element name="documentManagement">
            <xsd:complexType>
              <xsd:all>
                <xsd:element ref="ns3:MediaServiceMetadata" minOccurs="0"/>
                <xsd:element ref="ns3:MediaServiceFastMetadata" minOccurs="0"/>
                <xsd:element ref="ns3:_activity"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ObjectDetectorVersions" minOccurs="0"/>
                <xsd:element ref="ns3:MediaServiceDateTaken" minOccurs="0"/>
                <xsd:element ref="ns3:MediaServiceSystemTags" minOccurs="0"/>
                <xsd:element ref="ns3:MediaLengthInSecond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777255-547c-4997-b980-b8ec387fc92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SystemTags" ma:index="20" nillable="true" ma:displayName="MediaServiceSystemTags" ma:hidden="true" ma:internalName="MediaServiceSystemTags" ma:readOnly="true">
      <xsd:simpleType>
        <xsd:restriction base="dms:Note"/>
      </xsd:simpleType>
    </xsd:element>
    <xsd:element name="MediaLengthInSeconds" ma:index="21" nillable="true" ma:displayName="MediaLengthInSeconds" ma:hidden="true" ma:internalName="MediaLengthInSeconds" ma:readOnly="true">
      <xsd:simpleType>
        <xsd:restriction base="dms:Unknown"/>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44e15c9-ee33-4574-8cbe-20a29a71700b"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SharingHintHash" ma:index="13"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7292A0-B1E0-4603-85A7-19826C6675BF}">
  <ds:schemaRefs>
    <ds:schemaRef ds:uri="http://www.w3.org/XML/1998/namespace"/>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http://purl.org/dc/terms/"/>
    <ds:schemaRef ds:uri="65777255-547c-4997-b980-b8ec387fc921"/>
    <ds:schemaRef ds:uri="http://purl.org/dc/dcmitype/"/>
    <ds:schemaRef ds:uri="544e15c9-ee33-4574-8cbe-20a29a71700b"/>
    <ds:schemaRef ds:uri="http://schemas.microsoft.com/office/2006/metadata/properties"/>
  </ds:schemaRefs>
</ds:datastoreItem>
</file>

<file path=customXml/itemProps2.xml><?xml version="1.0" encoding="utf-8"?>
<ds:datastoreItem xmlns:ds="http://schemas.openxmlformats.org/officeDocument/2006/customXml" ds:itemID="{E78483D8-196A-400E-B980-149A3D5F01EF}">
  <ds:schemaRefs>
    <ds:schemaRef ds:uri="http://schemas.microsoft.com/sharepoint/v3/contenttype/forms"/>
  </ds:schemaRefs>
</ds:datastoreItem>
</file>

<file path=customXml/itemProps3.xml><?xml version="1.0" encoding="utf-8"?>
<ds:datastoreItem xmlns:ds="http://schemas.openxmlformats.org/officeDocument/2006/customXml" ds:itemID="{10636FF9-CA20-4F25-AE54-C8025217B16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5777255-547c-4997-b980-b8ec387fc921"/>
    <ds:schemaRef ds:uri="544e15c9-ee33-4574-8cbe-20a29a7170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Instructions</vt:lpstr>
      <vt:lpstr>Project Details</vt:lpstr>
      <vt:lpstr>Baseline-Project Sinks</vt:lpstr>
      <vt:lpstr>Ex-ante Project Sinks</vt:lpstr>
      <vt:lpstr>Ex-Post Direct Project Sinks</vt:lpstr>
      <vt:lpstr>Ex-Post Indirect Project Sinks</vt:lpstr>
      <vt:lpstr>Project Emissions</vt:lpstr>
      <vt:lpstr>PE from Fuel Consumption</vt:lpstr>
      <vt:lpstr>Leakage</vt:lpstr>
      <vt:lpstr>LE from Fuel Consumption</vt:lpstr>
      <vt:lpstr>Leakage Category E</vt:lpstr>
      <vt:lpstr>Leakage Category F.1</vt:lpstr>
      <vt:lpstr>Leakage Category F.2</vt:lpstr>
      <vt:lpstr>Emission Reductions</vt:lpstr>
      <vt:lpstr>Tool 02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Jailine Molina</dc:creator>
  <cp:keywords/>
  <dc:description/>
  <cp:lastModifiedBy>Jailine Molina</cp:lastModifiedBy>
  <cp:revision/>
  <dcterms:created xsi:type="dcterms:W3CDTF">2024-01-04T18:05:41Z</dcterms:created>
  <dcterms:modified xsi:type="dcterms:W3CDTF">2024-01-31T21:38:05Z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0x0101005A2A71156DC7A845931FA815841BBBE9</vt:lpwstr>
  </property>
</Properties>
</file>