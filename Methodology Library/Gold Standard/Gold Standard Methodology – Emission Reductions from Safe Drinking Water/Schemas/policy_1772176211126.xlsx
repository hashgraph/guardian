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 MERSDW Project Form" state="visible" r:id="rId4"/>
    <sheet sheetId="2" name="GS MERSDW Project Design Docum" state="visible" r:id="rId5"/>
    <sheet sheetId="3" name="GS MERSDW VVB Onboarding Schem" state="visible" r:id="rId6"/>
    <sheet sheetId="4" name="GS MERSDW Validation Report" state="visible" r:id="rId7"/>
    <sheet sheetId="5" name="GS MERSDW Project Developer On" state="visible" r:id="rId8"/>
    <sheet sheetId="6" name="GS MERSDW Verification Report" state="visible" r:id="rId9"/>
    <sheet sheetId="7" name="GS MERSDW Monitoring Report" state="visible" r:id="rId10"/>
    <sheet sheetId="8" name="Project Crediting Period" state="visible" r:id="rId11"/>
    <sheet sheetId="9" name="Baseline Scenario - Sources" state="visible" r:id="rId12"/>
    <sheet sheetId="10" name="Treatment Technology Sub-type" state="visible" r:id="rId13"/>
    <sheet sheetId="11" name="Basic Details" state="visible" r:id="rId14"/>
    <sheet sheetId="12" name="Fraction of non-renewable biom" state="visible" r:id="rId15"/>
    <sheet sheetId="13" name="Basic Information" state="visible" r:id="rId16"/>
    <sheet sheetId="14" name="Methodologies and Standardized" state="visible" r:id="rId17"/>
    <sheet sheetId="15" name="Project Details" state="visible" r:id="rId18"/>
    <sheet sheetId="16" name="Water Source Type Details" state="visible" r:id="rId19"/>
    <sheet sheetId="17" name="Baseline Assessment Validation" state="visible" r:id="rId20"/>
    <sheet sheetId="18" name="Baseline Treatment Method - It" state="visible" r:id="rId21"/>
    <sheet sheetId="19" name="Additional Information" state="visible" r:id="rId22"/>
    <sheet sheetId="20" name="Monitoring Plan Validation" state="visible" r:id="rId23"/>
    <sheet sheetId="21" name="Project Boundary and Additiona" state="visible" r:id="rId24"/>
    <sheet sheetId="22" name="Project Related Information" state="visible" r:id="rId25"/>
    <sheet sheetId="23" name="Project Resource" state="visible" r:id="rId26"/>
    <sheet sheetId="24" name="Country" state="visible" r:id="rId27"/>
    <sheet sheetId="25" name="Verified Emissions" state="visible" r:id="rId28"/>
    <sheet sheetId="26" name="Monitoring Plan Summary" state="visible" r:id="rId29"/>
    <sheet sheetId="27" name="Additionality Validation" state="visible" r:id="rId30"/>
    <sheet sheetId="28" name="Baseline Water Sources" state="visible" r:id="rId31"/>
    <sheet sheetId="29" name="Upload Supporting Compliance D" state="visible" r:id="rId32"/>
    <sheet sheetId="30" name="Yes or no with comments" state="visible" r:id="rId33"/>
    <sheet sheetId="31" name="Sustainable Development Goals" state="visible" r:id="rId34"/>
    <sheet sheetId="32" name="Maintenance Plan for CWTCWS" state="visible" r:id="rId35"/>
    <sheet sheetId="33" name="Sustainable Development Goa 2" state="visible" r:id="rId36"/>
    <sheet sheetId="34" name="Water Treatment Technology" state="visible" r:id="rId37"/>
    <sheet sheetId="35" name="Estimated Net Emission Reducti" state="visible" r:id="rId38"/>
    <sheet sheetId="36" name="Monitoring Parameter - Item" state="visible" r:id="rId39"/>
    <sheet sheetId="37" name="Host Country Regulatory Framew" state="visible" r:id="rId40"/>
    <sheet sheetId="38" name="Baseline Treatment Method - Wr" state="visible" r:id="rId41"/>
    <sheet sheetId="39" name="Data and Parameters to Be Moni" state="visible" r:id="rId42"/>
    <sheet sheetId="40" name="Data and parameters fixed ex a" state="visible" r:id="rId43"/>
    <sheet sheetId="41" name="Project Scenario - Sources" state="visible" r:id="rId44"/>
    <sheet sheetId="42" name="Treatment Technology Sub-ty 2" state="visible" r:id="rId45"/>
    <sheet sheetId="43" name="Replacement Strategy Details" state="visible" r:id="rId46"/>
    <sheet sheetId="44" name="Certification Statement" state="visible" r:id="rId47"/>
    <sheet sheetId="45" name="Project Crediting Period 2" state="visible" r:id="rId48"/>
    <sheet sheetId="46" name="Ex Ante Estimation of SDG Impa" state="visible" r:id="rId49"/>
    <sheet sheetId="47" name="Sustainable Development Goa 3" state="visible" r:id="rId50"/>
    <sheet sheetId="48" name="Project Developer Details" state="visible" r:id="rId51"/>
    <sheet sheetId="49" name="Means of Verification" state="visible" r:id="rId52"/>
    <sheet sheetId="50" name="Contribution of the Project to" state="visible" r:id="rId53"/>
    <sheet sheetId="51" name="Project Crediting Period Detai" state="visible" r:id="rId54"/>
    <sheet sheetId="52" name="Baseline Water Sources - Wrapp" state="visible" r:id="rId55"/>
    <sheet sheetId="53" name="If the Project Installation is" state="visible" r:id="rId56"/>
    <sheet sheetId="54" name="Project Boundary Validation" state="visible" r:id="rId57"/>
    <sheet sheetId="55" name="Entity Information" state="visible" r:id="rId58"/>
    <sheet sheetId="56" name="Monitoring Verification" state="visible" r:id="rId59"/>
    <sheet sheetId="57" name="Source" state="visible" r:id="rId60"/>
    <sheet sheetId="58" name="Methodologies and Standardi 2" state="visible" r:id="rId61"/>
    <sheet sheetId="59" name="Technology Eligibility Validat" state="visible" r:id="rId62"/>
    <sheet sheetId="60" name="Contact Person Details" state="visible" r:id="rId63"/>
    <sheet sheetId="61" name="GHG Details" state="visible" r:id="rId64"/>
    <sheet sheetId="62" name="Baseline fuels usage - Wrapper" state="visible" r:id="rId65"/>
    <sheet sheetId="63" name="Technology-Specific Details" state="visible" r:id="rId66"/>
    <sheet sheetId="64" name="Baseline fuels usage - Item" state="visible" r:id="rId67"/>
    <sheet sheetId="65" name="Project Location Details" state="visible" r:id="rId68"/>
    <sheet sheetId="66" name="Baseline Emission" state="visible" r:id="rId69"/>
    <sheet sheetId="67" name="Project Details - Project Name" state="visible" r:id="rId70"/>
    <sheet sheetId="68" name="Monitoring report Basic Inform" state="visible" r:id="rId71"/>
    <sheet sheetId="69" name="Project Developer Details 2" state="visible" r:id="rId72"/>
    <sheet sheetId="70" name="Treatment Technology Sub-ty 3" state="visible" r:id="rId73"/>
    <sheet sheetId="71" name="Treatment Technology Sub-ty 4" state="visible" r:id="rId74"/>
    <sheet sheetId="72" name="If the Project Installation 2" state="visible" r:id="rId75"/>
    <sheet sheetId="73" name="Water Treatment Technology 2" state="visible" r:id="rId76"/>
    <sheet sheetId="74" name="Country 2" state="visible" r:id="rId77"/>
    <sheet sheetId="75" name="Project Location Details 2" state="visible" r:id="rId78"/>
    <sheet sheetId="76" name="Project Participants" state="visible" r:id="rId79"/>
    <sheet sheetId="77" name="Implementation of Project Acti" state="visible" r:id="rId80"/>
    <sheet sheetId="78" name="Description of Monitoring Syst" state="visible" r:id="rId81"/>
    <sheet sheetId="79" name="Description of Monitoring S 2" state="visible" r:id="rId82"/>
    <sheet sheetId="80" name="Description of Monitoring S 3" state="visible" r:id="rId83"/>
    <sheet sheetId="81" name="Description of Monitoring S 4" state="visible" r:id="rId84"/>
    <sheet sheetId="82" name="Description of Monitoring S 5" state="visible" r:id="rId85"/>
    <sheet sheetId="83" name="Description of Monitoring S 6" state="visible" r:id="rId86"/>
    <sheet sheetId="84" name="SDG Co-Benefits" state="visible" r:id="rId87"/>
    <sheet sheetId="85" name="Calculation of Emission Reduct" state="visible" r:id="rId88"/>
    <sheet sheetId="86" name="Project Water Supply Premises" state="visible" r:id="rId89"/>
    <sheet sheetId="87" name="Premises Water Usage Details -" state="visible" r:id="rId90"/>
    <sheet sheetId="88" name="Quantity of water" state="visible" r:id="rId91"/>
    <sheet sheetId="89" name="Emission by fuel" state="visible" r:id="rId92"/>
    <sheet sheetId="90" name="Emission by Electricity" state="visible" r:id="rId93"/>
    <sheet sheetId="91" name="Project Emission" state="visible" r:id="rId94"/>
    <sheet sheetId="92" name="Leakage Emission" state="visible" r:id="rId95"/>
    <sheet sheetId="93" name="Location Based Details" state="visible" r:id="rId96"/>
    <sheet sheetId="94" name="Stove Details Unit Schema" state="visible" r:id="rId97"/>
    <sheet sheetId="95" name="Scope (enum)" state="visible" r:id="rId98"/>
    <sheet sheetId="96" name="Accreditation Scope (enum)" state="visible" r:id="rId99"/>
    <sheet sheetId="97" name="Type of crediting perio (enum)" state="visible" r:id="rId100"/>
    <sheet sheetId="98" name="Treatment Technology Su (enum)" state="visible" r:id="rId101"/>
    <sheet sheetId="99" name="Project Status (enum)" state="visible" r:id="rId102"/>
    <sheet sheetId="100" name="Project Scale (enum)" state="visible" r:id="rId103"/>
    <sheet sheetId="101" name="Country 3 (enum)" state="visible" r:id="rId104"/>
    <sheet sheetId="102" name="Yes or No (enum)" state="visible" r:id="rId105"/>
    <sheet sheetId="103" name="Select the relevant SDG (enum)" state="visible" r:id="rId106"/>
    <sheet sheetId="104" name="Treatment Technology Ca (enum)" state="visible" r:id="rId107"/>
    <sheet sheetId="105" name="Relevant SDG (enum)" state="visible" r:id="rId108"/>
    <sheet sheetId="106" name="Treatment Technology 2 (enum)" state="visible" r:id="rId109"/>
    <sheet sheetId="107" name="Means of Verificatio 2 (enum)" state="visible" r:id="rId110"/>
    <sheet sheetId="108" name="Select the SDG (enum)" state="visible" r:id="rId111"/>
    <sheet sheetId="109" name="Type of crediting Pe 2 (enum)" state="visible" r:id="rId112"/>
    <sheet sheetId="110" name="Entity Type (enum)" state="visible" r:id="rId113"/>
    <sheet sheetId="111" name="Treatment Technology 3 (enum)" state="visible" r:id="rId114"/>
    <sheet sheetId="112" name="UrbanRural Classificati (enum)" state="visible" r:id="rId115"/>
    <sheet sheetId="113" name="Treatment Technology 4 (enum)" state="visible" r:id="rId116"/>
    <sheet sheetId="114" name="Treatment Technology 5 (enum)" state="visible" r:id="rId117"/>
    <sheet sheetId="115" name="Treatment Technology 6 (enum)" state="visible" r:id="rId118"/>
    <sheet sheetId="116" name="Country 4 (enum)" state="visible" r:id="rId119"/>
    <sheet sheetId="117" name="UrbanRural Classific 2 (enum)" state="visible" r:id="rId120"/>
    <sheet sheetId="118" name="Treatment Technology 7 (enum)" state="visible" r:id="rId121"/>
    <sheet sheetId="119" name="SDG Items (enum)" state="visible" r:id="rId122"/>
    <sheet sheetId="120" name="Treatment Technology 8 (enum)" state="visible" r:id="rId123"/>
  </sheets>
  <calcPr calcId="171027"/>
</workbook>
</file>

<file path=xl/sharedStrings.xml><?xml version="1.0" encoding="utf-8"?>
<sst xmlns="http://schemas.openxmlformats.org/spreadsheetml/2006/main" count="16299" uniqueCount="1552">
  <si>
    <t>GS MERSDW Project Form</t>
  </si>
  <si>
    <t>Description</t>
  </si>
  <si>
    <t>Power Source Details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</si>
  <si>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</si>
  <si>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</si>
  <si>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</si>
  <si>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</si>
  <si>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</si>
  <si>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</si>
  <si>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</si>
  <si>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</si>
  <si>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</si>
  <si>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</si>
  <si>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</si>
  <si>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</si>
  <si>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</si>
  <si>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Project Location Details</t>
  </si>
  <si>
    <t/>
  </si>
  <si>
    <t>{"country":{"country":"Afghanistan"},"state_region_province":"example","city_village":"example","postal_code":"example","urban_rural_classification":"Rural","project_location":{"type":"Point","coordinates":[0,0]},"gps_latitude":"11","gps_longitude":"11"}</t>
  </si>
  <si>
    <t>project_location</t>
  </si>
  <si>
    <t>Country</t>
  </si>
  <si>
    <t>No</t>
  </si>
  <si>
    <t>country</t>
  </si>
  <si>
    <t>Enum</t>
  </si>
  <si>
    <t>Country 3 (enum)</t>
  </si>
  <si>
    <t>Sri Lanka</t>
  </si>
  <si>
    <t>Pattern</t>
  </si>
  <si>
    <t>^[A-Za-z0-9](?:[A-Za-z0-9 -]{0,98}[A-Za-z0-9])$</t>
  </si>
  <si>
    <t>State, Region/Province</t>
  </si>
  <si>
    <t>80a8056104c1c8ff641eb50ceda1d710</t>
  </si>
  <si>
    <t>state_region_province</t>
  </si>
  <si>
    <t>^[A-Za-z0-9 ]{2,50}$</t>
  </si>
  <si>
    <t>City/Village</t>
  </si>
  <si>
    <t>c7528832c86e478559824b49b17eeac9</t>
  </si>
  <si>
    <t>city_village</t>
  </si>
  <si>
    <t>^[A-Za-z0-9 ]{3,10}$</t>
  </si>
  <si>
    <t>Postal Code</t>
  </si>
  <si>
    <t>feb9b8c7e5c0655c8344110e86b34845</t>
  </si>
  <si>
    <t>postal_code</t>
  </si>
  <si>
    <t>UrbanRural Classificati (enum)</t>
  </si>
  <si>
    <t>Urban/Rural Classification</t>
  </si>
  <si>
    <t>Urban</t>
  </si>
  <si>
    <t>urban_rural_classification</t>
  </si>
  <si>
    <t>GeoJSON</t>
  </si>
  <si>
    <t>Project Location</t>
  </si>
  <si>
    <t>^[-+]?([0-8]?\d(\.\d+)?|90(\.0+)?)$</t>
  </si>
  <si>
    <t>GPS Latitude</t>
  </si>
  <si>
    <t>8d586b0f2d3fb440436ba5319d52a5c1</t>
  </si>
  <si>
    <t>gps_latitude</t>
  </si>
  <si>
    <t>^[-+]?(1[0-7]\d(\.\d+)?|[0-9]?\d(\.\d+)?|180(\.0+)?)$</t>
  </si>
  <si>
    <t>GPS Longitude</t>
  </si>
  <si>
    <t>a054d949a9d7f529535f340c006400d3</t>
  </si>
  <si>
    <t>gps_longitude</t>
  </si>
  <si>
    <t>Project Developer Details</t>
  </si>
  <si>
    <t>{"pd_entity_name":"example","pd_email_address":"example@example.example","contact_full_name":"example example","email_address":"example@example.example","phone_primary":"+11111111","phone_secondary":"+11111111","physical_address":"example","website":"example.example.example","years_of_experience":1}</t>
  </si>
  <si>
    <t>project_developer_details</t>
  </si>
  <si>
    <t>String</t>
  </si>
  <si>
    <t>Entity Name</t>
  </si>
  <si>
    <t>example</t>
  </si>
  <si>
    <t>pd_entity_name</t>
  </si>
  <si>
    <t>Email</t>
  </si>
  <si>
    <t>Email Address</t>
  </si>
  <si>
    <t>example@email.com</t>
  </si>
  <si>
    <t>pd_email_address</t>
  </si>
  <si>
    <t>Contact Person Full Name</t>
  </si>
  <si>
    <t>contact_full_name</t>
  </si>
  <si>
    <t>^\+?[0-9]\d{7,14}$</t>
  </si>
  <si>
    <t>Phone Number (Primary)</t>
  </si>
  <si>
    <t>16918f26b40bab942db1bdf19734d177</t>
  </si>
  <si>
    <t>phone_primary</t>
  </si>
  <si>
    <t>Phone Number (Secondary)</t>
  </si>
  <si>
    <t>1f7db09cffcd3ea9be55e694ab970d43</t>
  </si>
  <si>
    <t>phone_secondary</t>
  </si>
  <si>
    <t>Physical Address</t>
  </si>
  <si>
    <t>physical_address</t>
  </si>
  <si>
    <t>^(https?:\/\/)?(www\.)?[A-Za-z0-9.-]+\.[A-Za-z]{2,}([\/?#][^\s]*)?$</t>
  </si>
  <si>
    <t>Website</t>
  </si>
  <si>
    <t>d08d74784e86db9de5f98f905d9ed048</t>
  </si>
  <si>
    <t>website</t>
  </si>
  <si>
    <t>Number</t>
  </si>
  <si>
    <t>Years of Experience</t>
  </si>
  <si>
    <t>years_of_experience</t>
  </si>
  <si>
    <t>Project Details</t>
  </si>
  <si>
    <t>{"project_name":"example","intended_start_date":"2026-01-16","intended_completion_date":"2026-01-16","project_status":"New","project_status_description":"example","project_scale":"Small","project_scale_justification":"example","sdg_contribution":[{"sdg_goal":"1. No Poverty","expected_impact":"example"}],"funding_sources":"example"}</t>
  </si>
  <si>
    <t>project_details</t>
  </si>
  <si>
    <t>^[A-Za-z0-9][A-Za-z0-9 _-]{1,99}$</t>
  </si>
  <si>
    <t>Project Name</t>
  </si>
  <si>
    <t>c8b2d342e43c333895026c47100e8b4a</t>
  </si>
  <si>
    <t>project_name</t>
  </si>
  <si>
    <t>Date</t>
  </si>
  <si>
    <t>Intended Project Start Date</t>
  </si>
  <si>
    <t>2000-01-01</t>
  </si>
  <si>
    <t>intended_start_date</t>
  </si>
  <si>
    <t>Intended Project Completion Date</t>
  </si>
  <si>
    <t>intended_completion_date</t>
  </si>
  <si>
    <t>Project Status (enum)</t>
  </si>
  <si>
    <t>Project Status</t>
  </si>
  <si>
    <t>New</t>
  </si>
  <si>
    <t>project_status</t>
  </si>
  <si>
    <t>^[A-Za-z0-9 ,.!?()_\-/&amp;]{5,1000}$</t>
  </si>
  <si>
    <t>Project Status Description</t>
  </si>
  <si>
    <t>9ef7312f5da9d29c0f1cf1d04e07d8fe</t>
  </si>
  <si>
    <t>project_status_description</t>
  </si>
  <si>
    <t>Project Scale (enum)</t>
  </si>
  <si>
    <t>Project Scale</t>
  </si>
  <si>
    <t>Micro</t>
  </si>
  <si>
    <t>project_scale</t>
  </si>
  <si>
    <t>Project Scale Justification</t>
  </si>
  <si>
    <t>project_scale_justification</t>
  </si>
  <si>
    <t>Contribution of the Project to</t>
  </si>
  <si>
    <t>Contribution of the Project to SDG</t>
  </si>
  <si>
    <t>sdg_contribution</t>
  </si>
  <si>
    <t>Select the SDG (enum)</t>
  </si>
  <si>
    <t>Select the SDG</t>
  </si>
  <si>
    <t>1. No Poverty</t>
  </si>
  <si>
    <t>sdg_goal</t>
  </si>
  <si>
    <t>Expected Impact</t>
  </si>
  <si>
    <t>expected_impact</t>
  </si>
  <si>
    <t>Funding Sources of Project</t>
  </si>
  <si>
    <t>funding_sources</t>
  </si>
  <si>
    <t>Water Treatment Technology</t>
  </si>
  <si>
    <t>water_treatment_technology</t>
  </si>
  <si>
    <t>Treatment Technology Ca (enum)</t>
  </si>
  <si>
    <t>Treatment Technology Category</t>
  </si>
  <si>
    <t>CWT, CWS</t>
  </si>
  <si>
    <t>treatment_technology_category</t>
  </si>
  <si>
    <t>Treatment Technology Sub-type</t>
  </si>
  <si>
    <t>hwt_treatment_subtype</t>
  </si>
  <si>
    <t>Treatment Technology Su (enum)</t>
  </si>
  <si>
    <t>Ceramic Water Filters</t>
  </si>
  <si>
    <t>treatment_subtype_hwt_iwt</t>
  </si>
  <si>
    <t>Treatment Technology Sub-type (Other)</t>
  </si>
  <si>
    <t>treatment_technology_sub-type_other</t>
  </si>
  <si>
    <t>Manufacturer Name</t>
  </si>
  <si>
    <t>hwt_manufacturer_name</t>
  </si>
  <si>
    <t>Model / Product Name</t>
  </si>
  <si>
    <t>hwt_model_product_name</t>
  </si>
  <si>
    <t>WHO Performance Classification</t>
  </si>
  <si>
    <t>hwt_who_performance_classification</t>
  </si>
  <si>
    <t>Expected Technical Life</t>
  </si>
  <si>
    <t>hwt_expected_technical_life</t>
  </si>
  <si>
    <t>Filter life</t>
  </si>
  <si>
    <t>hwt_filter_life</t>
  </si>
  <si>
    <t>Treatment Capacity</t>
  </si>
  <si>
    <t>hwt_treatment_capacity</t>
  </si>
  <si>
    <t>Number of Households Equipped</t>
  </si>
  <si>
    <t>hwt_number_of_households_equipped</t>
  </si>
  <si>
    <t>Household Size</t>
  </si>
  <si>
    <t>hwt_household_size</t>
  </si>
  <si>
    <t>Required dosage (If chlorine tablets)</t>
  </si>
  <si>
    <t>hwt_required_dosage</t>
  </si>
  <si>
    <t>Treatment Technology Sub-ty 2</t>
  </si>
  <si>
    <t>cwt_treatment_subtype</t>
  </si>
  <si>
    <t>Treatment Technology 2 (enum)</t>
  </si>
  <si>
    <t>Borehole with Distribution</t>
  </si>
  <si>
    <t>treatment_subtype_cwt_cws</t>
  </si>
  <si>
    <t>cwt_manufacturer_name</t>
  </si>
  <si>
    <t>Product Name (If Applicable)</t>
  </si>
  <si>
    <t>cwt_product_name</t>
  </si>
  <si>
    <t>Daily Maximum Output (L/day)</t>
  </si>
  <si>
    <t>cwt_daily_maximum_output</t>
  </si>
  <si>
    <t>Number of Eligible Households</t>
  </si>
  <si>
    <t>cwt_number_of_eligible_households</t>
  </si>
  <si>
    <t>Average Distance to Water Point (m)</t>
  </si>
  <si>
    <t>cwt_average_distance_to_water_point</t>
  </si>
  <si>
    <t>cwt_who_performance_classification</t>
  </si>
  <si>
    <t>cwt_expected_technical_life</t>
  </si>
  <si>
    <t>Pump Type</t>
  </si>
  <si>
    <t>cwt_pump_type</t>
  </si>
  <si>
    <t>Boolean</t>
  </si>
  <si>
    <t>Backup Engine Installed?</t>
  </si>
  <si>
    <t>cwt_backup_engine_installed</t>
  </si>
  <si>
    <t>cwt_power_source_details</t>
  </si>
  <si>
    <t>Maintenance &amp; Repair Plan</t>
  </si>
  <si>
    <t>cwt_maintenance_and_repair_plan</t>
  </si>
  <si>
    <t>File</t>
  </si>
  <si>
    <t>Initial Water Quality Report</t>
  </si>
  <si>
    <t>ipfs://9a48fd5b3d8a384011e918cf6b819ab5</t>
  </si>
  <si>
    <t>cwt_initial_water_quality_report</t>
  </si>
  <si>
    <t>If the Project Installation is</t>
  </si>
  <si>
    <t>Project Rehabilitation</t>
  </si>
  <si>
    <t>project_rehabilitation</t>
  </si>
  <si>
    <t>Is the Project Installation a Rehabilitation?</t>
  </si>
  <si>
    <t>is_rehabilitation</t>
  </si>
  <si>
    <t>Original installation date</t>
  </si>
  <si>
    <t>original_installation_date</t>
  </si>
  <si>
    <t>^[A-Za-z0-9 ,.!?()_\-/&amp;@#+%$'*":;=\\[\]{}|]*$</t>
  </si>
  <si>
    <t>Rehabilitation details (parts replaced, specifications)</t>
  </si>
  <si>
    <t>dd97417457c13d95187107e4277f268f</t>
  </si>
  <si>
    <t>rehabilitation_details</t>
  </si>
  <si>
    <t>Rehabilitation date</t>
  </si>
  <si>
    <t>rehabilitation_date</t>
  </si>
  <si>
    <t>Maintenance and Repair Plan (PDF Only)</t>
  </si>
  <si>
    <t>ipfs://7f17183854fdf56bc53d6ea6aaf0fe52</t>
  </si>
  <si>
    <t>maintenance_repair_plan</t>
  </si>
  <si>
    <t>Evidence of non-operational period (minimum 3 months) (PDF Only)</t>
  </si>
  <si>
    <t>ipfs://daaf1a0d388f5d8262729bfb0d49766b</t>
  </si>
  <si>
    <t>non_operational_evidence</t>
  </si>
  <si>
    <t>Description of Proposed Technology</t>
  </si>
  <si>
    <t>proposed_technology_description</t>
  </si>
  <si>
    <t>Upload Supporting Compliance D</t>
  </si>
  <si>
    <t>Upload Supporting Compliance Documents</t>
  </si>
  <si>
    <t>{"performance_test_documents":"ipfs://&lt;example&gt;","certification_document":"ipfs://&lt;example&gt;","replacement_policy_document":"ipfs://&lt;example&gt;"}</t>
  </si>
  <si>
    <t>field0</t>
  </si>
  <si>
    <t>Performance Test Documents (PDF Only)</t>
  </si>
  <si>
    <t>ipfs://20ce26c5c71e77ade811f1e87c194597</t>
  </si>
  <si>
    <t>performance_test_documents</t>
  </si>
  <si>
    <t>Certification Document Upload (PDF Only)</t>
  </si>
  <si>
    <t>ipfs://74c15018e00cedbc489dcb0ab213d6bc</t>
  </si>
  <si>
    <t>certification_document</t>
  </si>
  <si>
    <t>Replacement Policy Description (PDF Only)</t>
  </si>
  <si>
    <t>ipfs://03f6f583ce332b66aa778eb33eae77af</t>
  </si>
  <si>
    <t>replacement_policy_document</t>
  </si>
  <si>
    <t>Project ID (auto-generated by the system — no user input required)</t>
  </si>
  <si>
    <t>projectId</t>
  </si>
  <si>
    <t>GS MERSDW Project Design Document</t>
  </si>
  <si>
    <t>Project ID</t>
  </si>
  <si>
    <t>Basic Information</t>
  </si>
  <si>
    <t>{"field0":"example","field1":"2026-01-20"}</t>
  </si>
  <si>
    <t>basic_information</t>
  </si>
  <si>
    <t>Version number of the PDD</t>
  </si>
  <si>
    <t>Completion date of PDD version</t>
  </si>
  <si>
    <t>field1</t>
  </si>
  <si>
    <t>{"project_name":"example","intended_start_date":"2026-01-20","intended_completion_date":"2026-01-20","project_status":"New","project_status_description":"example","project_scale":"Small","project_scale_justification":"example","sdg_contribution":[{"sdg_goal":"1. No Poverty","expected_impact":"example"}],"funding_sources":"example"}</t>
  </si>
  <si>
    <t>8ce5d07db76add87418b659bea8667a8</t>
  </si>
  <si>
    <t>3ada2b7221e6691f87c9b2ab230ab5ad</t>
  </si>
  <si>
    <t>{"country":{"country":"Afghanistan"},"state_region_province":"example","city_village":"example","postal_code":"example","urban_rural_classification":"Urban","project_location":{"type":"Point","coordinates":[0,0]},"gps_latitude":"0","gps_longitude":"0"}</t>
  </si>
  <si>
    <t>project_location_details</t>
  </si>
  <si>
    <t>db9c7ae02821b0f4f44d73626af441e8</t>
  </si>
  <si>
    <t>c7cc8d8f86d5c67ab52e496fa0540e27</t>
  </si>
  <si>
    <t>a4f01acef4e9a7783e151a07bed0ff03</t>
  </si>
  <si>
    <t>9ac8e31aa98236841eb38c3a4905d4a0</t>
  </si>
  <si>
    <t>7eafa2fba57d9a8f03be4d296d505ab0</t>
  </si>
  <si>
    <t>{"pd_entity_name":"example","pd_email_address":"example@example.example","contact_full_name":"example example","phone_primary":"+11111111","phone_secondary":"+11111111","physical_address":"example","website":"example.example","years_of_experience":1}</t>
  </si>
  <si>
    <t>8e226f05d14940e950af13fbd607fa63</t>
  </si>
  <si>
    <t>6a633aa93fad5078a4be95b9ed65acf2</t>
  </si>
  <si>
    <t>53f4995d8e64036d10ca41b2636e1b4e</t>
  </si>
  <si>
    <t>{"field0":{"treatment_technology_category":"CWT, CWS","proposed_technology_description":"example","cwt_treatment_subtype":{"treatment_subtype_cwt_cws":"Borehole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}}</t>
  </si>
  <si>
    <t>ipfs://8ec118219dbd427d86cb09dffd1744ec</t>
  </si>
  <si>
    <t>d34016c36443c1ce70faee30e9944094</t>
  </si>
  <si>
    <t>ipfs://32337030446eb6270fbd3451460d4d0d</t>
  </si>
  <si>
    <t>ipfs://27dfaf77eca9413bb994723e318c2e0a</t>
  </si>
  <si>
    <t>Replacement Strategy Details</t>
  </si>
  <si>
    <t>Replacement Strategy</t>
  </si>
  <si>
    <t>{"replacement_strategy":"example","replacement_trigger":"example","replacement_technology":"example","replacement_attachment":"ipfs://&lt;example&gt;"}</t>
  </si>
  <si>
    <t>replacement_strategy</t>
  </si>
  <si>
    <t>Replacement strategy used when technical life is less than the crediting period</t>
  </si>
  <si>
    <t>Units replaced every 3 years</t>
  </si>
  <si>
    <t>Condition or event that triggers the replacement</t>
  </si>
  <si>
    <t>Filter clogging or drop-in flow rate</t>
  </si>
  <si>
    <t>replacement_trigger</t>
  </si>
  <si>
    <t>Technology or component used for replacement</t>
  </si>
  <si>
    <t>Filter cartridge type B</t>
  </si>
  <si>
    <t>replacement_technology</t>
  </si>
  <si>
    <t>Attachment upload (PDF only, maximum file size 20 MB)</t>
  </si>
  <si>
    <t>ipfs://&lt;uploaded_file_hash&gt;</t>
  </si>
  <si>
    <t>replacement_attachment</t>
  </si>
  <si>
    <t>Methodologies and Standardized</t>
  </si>
  <si>
    <t>Methodologies and Standardized Baselines</t>
  </si>
  <si>
    <t>{"survey_evidence":"ipfs://&lt;example&gt;","data_source_reference":"ipfs://&lt;example&gt;","baseline_water_sources":{"baseline_water_source":[{"location":{"type":"FeatureCollection","features":[{"type":"Feature","properties":{},"geometry":{"type":"Point","coordinates":[0,0]}}]},"percentage_improved_water_resources":"1","percentage_unimproved_water_resources":"1","water_source_type_details":[{"water_source_type":"example","percentage_water_source_type":"1"}]}],"water_quality_baseline_test_results":"ipfs://&lt;example&gt;"},"baseline_treatment_method":{"location":{"type":"FeatureCollection","features":[{"type":"Feature","properties":{},"geometry":{"type":"Point","coordinates":[0,0]}}]},"baseline_treatment_method":[{"treatment_method":"example","percentage":"1"}]},"baseline_fuels_usage":[{"location":{"type":"FeatureCollection","features":[{"type":"Feature","properties":{},"geometry":{"type":"Point","coordinates":[0,0]}}]},"baseline_fuels_usage":[{"fuel_type":"example","percentage":"1"}]}],"fraction_non_renewable_biomass_assessment":{"location":{"type":"FeatureCollection","features":[{"type":"Feature","properties":{},"geometry":{"type":"Point","coordinates":[0,0]}}]},"fnrb":1,"other_related_documents":[]}}</t>
  </si>
  <si>
    <t>methodologies_and_standardized_baselines</t>
  </si>
  <si>
    <t>Survey Evidence</t>
  </si>
  <si>
    <t>ipfs://&lt;example&gt;</t>
  </si>
  <si>
    <t>survey_evidence</t>
  </si>
  <si>
    <t>Data Source Reference</t>
  </si>
  <si>
    <t>data_source_reference</t>
  </si>
  <si>
    <t>Baseline Water Sources - Wrapp</t>
  </si>
  <si>
    <t>Baseline Water Sources</t>
  </si>
  <si>
    <t>baseline_water_sources</t>
  </si>
  <si>
    <t>Baseline Water Source</t>
  </si>
  <si>
    <t>baseline_water_source</t>
  </si>
  <si>
    <t>Location</t>
  </si>
  <si>
    <t>location</t>
  </si>
  <si>
    <t>^(100|[0-9]{1,2})(\\.[0-9]+)?$</t>
  </si>
  <si>
    <t>Percentage Of Improved Water Resources (%)</t>
  </si>
  <si>
    <t>bbe0cf81424087b648279270cf6682b5</t>
  </si>
  <si>
    <t>percentage_improved_water_resources</t>
  </si>
  <si>
    <t>Percentage Of Unimproved Water Resources (%)</t>
  </si>
  <si>
    <t>d493e8530796e35b798086a1a31bea2b</t>
  </si>
  <si>
    <t>percentage_unimproved_water_resources</t>
  </si>
  <si>
    <t>Water Source Type Details</t>
  </si>
  <si>
    <t>water_source_type_details</t>
  </si>
  <si>
    <t>Water Source Type</t>
  </si>
  <si>
    <t>water_source_type</t>
  </si>
  <si>
    <t>^(100|[0-9]{1,2})(\.[0-9]+)?$</t>
  </si>
  <si>
    <t>Percentage Of Water Source Type</t>
  </si>
  <si>
    <t>c610e8b0e7e380e3ee3f043dc691965b</t>
  </si>
  <si>
    <t>percentage_water_source_type</t>
  </si>
  <si>
    <t>Water Quality Baseline Test Results</t>
  </si>
  <si>
    <t>ipfs://3ff46128b347244b5b728d997b767d5c</t>
  </si>
  <si>
    <t>water_quality_baseline_test_results</t>
  </si>
  <si>
    <t>Baseline Treatment Method - Wr</t>
  </si>
  <si>
    <t>Baseline Treatment Method</t>
  </si>
  <si>
    <t>baseline_treatment_method</t>
  </si>
  <si>
    <t>Baseline Treatment Method - It</t>
  </si>
  <si>
    <t>Treatment Method</t>
  </si>
  <si>
    <t>treatment_method</t>
  </si>
  <si>
    <t>Percentage</t>
  </si>
  <si>
    <t>6d90a0cd68f351d328a49cb7e6adda35</t>
  </si>
  <si>
    <t>percentage</t>
  </si>
  <si>
    <t>Baseline fuels usage - Wrapper</t>
  </si>
  <si>
    <t>Baseline Fuels Usage</t>
  </si>
  <si>
    <t>baseline_fuels_usage</t>
  </si>
  <si>
    <t>Baseline fuels usage - Item</t>
  </si>
  <si>
    <t>Fuel Type</t>
  </si>
  <si>
    <t>fuel_type</t>
  </si>
  <si>
    <t>de2ff9b3555bd0c10c82b06028928ad7</t>
  </si>
  <si>
    <t>Fraction of non-renewable biom</t>
  </si>
  <si>
    <t>Fraction of Non-Renewable Biomass Assessment</t>
  </si>
  <si>
    <t>fraction_non_renewable_biomass_assessment</t>
  </si>
  <si>
    <t>Fnrb</t>
  </si>
  <si>
    <t>fnrb</t>
  </si>
  <si>
    <t>Other Related Documents</t>
  </si>
  <si>
    <t>ipfs://db1e5b1c66bb34605890d21ac1785a95</t>
  </si>
  <si>
    <t>other_related_documents</t>
  </si>
  <si>
    <t>Sustainable Development Goa 2</t>
  </si>
  <si>
    <t>Sustainable Development Goals (SDG) outcomes</t>
  </si>
  <si>
    <t>{"sdg_13_outcomes":{"proposed_monitoring_approach":"example","data_parameters_sdg":{"data_parameter":"example","unit":"example","description":"example","source_of_data":"example","values_applied":"example","choice_of_data_or_measurement_methods_and_procedures":"example","purpose_of_data":"example","additional_comment":"example"},"ex_ante_estimation_sdg_impact":[{"year":"2050","baseline_estimate":1,"project_estimate":1,"net_benefit":1}]},"sdg_outcomes":[]}</t>
  </si>
  <si>
    <t>sdg</t>
  </si>
  <si>
    <t>Sustainable Development Goa 3</t>
  </si>
  <si>
    <t>Overview of SDG-13 outcomes.</t>
  </si>
  <si>
    <t>sdg_13_outcomes</t>
  </si>
  <si>
    <t>Proposed approach to monitor SDG-13.</t>
  </si>
  <si>
    <t>proposed_monitoring_approach</t>
  </si>
  <si>
    <t>Data and parameters fixed ex a</t>
  </si>
  <si>
    <t>Fixed data and parameters for SDG-13.</t>
  </si>
  <si>
    <t>data_parameters_sdg</t>
  </si>
  <si>
    <t>Data/Parameter</t>
  </si>
  <si>
    <t>data_parameter</t>
  </si>
  <si>
    <t>Unit</t>
  </si>
  <si>
    <t>unit</t>
  </si>
  <si>
    <t>description</t>
  </si>
  <si>
    <t>Source of Data</t>
  </si>
  <si>
    <t>source_of_data</t>
  </si>
  <si>
    <t>Value(s) Applied</t>
  </si>
  <si>
    <t>values_applied</t>
  </si>
  <si>
    <t>Choice of Data or Measurement Methods and Procedures</t>
  </si>
  <si>
    <t>choice_of_data_or_measurement_methods_and_procedures</t>
  </si>
  <si>
    <t>Purpose of Data</t>
  </si>
  <si>
    <t>purpose_of_data</t>
  </si>
  <si>
    <t>Additional Comment</t>
  </si>
  <si>
    <t>additional_comment</t>
  </si>
  <si>
    <t>Ex Ante Estimation of SDG Impa</t>
  </si>
  <si>
    <t>Ex Ante Estimation of SDG Impact</t>
  </si>
  <si>
    <t>ex_ante_estimation_sdg_impact</t>
  </si>
  <si>
    <t>^(20)\d{2}$</t>
  </si>
  <si>
    <t>Year of Estimation</t>
  </si>
  <si>
    <t>2085e7d8e2b1a2712fd575c1d9f2f307</t>
  </si>
  <si>
    <t>year</t>
  </si>
  <si>
    <t>Baseline Estimate</t>
  </si>
  <si>
    <t>baseline_estimate</t>
  </si>
  <si>
    <t>Project Estimate</t>
  </si>
  <si>
    <t>project_estimate</t>
  </si>
  <si>
    <t>Net Benefit</t>
  </si>
  <si>
    <t>net_benefit</t>
  </si>
  <si>
    <t>Sustainable Development Goals</t>
  </si>
  <si>
    <t>Sustainable Development Goals (SDG) Outcomes</t>
  </si>
  <si>
    <t>sdg_outcomes</t>
  </si>
  <si>
    <t>Select the relevant SDG (enum)</t>
  </si>
  <si>
    <t>Select the relevant SDG.</t>
  </si>
  <si>
    <t>Proposed approach to monitor the SDG.</t>
  </si>
  <si>
    <t>Fixed data and parameters for monitoring.</t>
  </si>
  <si>
    <t>e32482f1f8e33b8e606e352687b1dc9e</t>
  </si>
  <si>
    <t>Project Crediting Period Detai</t>
  </si>
  <si>
    <t>Project Crediting Period Details</t>
  </si>
  <si>
    <t>{"intended_start_date":"2026-01-20","project_crediting_period":{"from":"2026-02-17","to":"2028-08-09"},"duration_of_crediting_period":null,"type_of_crediting_period":"Fixed"}</t>
  </si>
  <si>
    <t>project_crediting_period_details</t>
  </si>
  <si>
    <t>Intended Start Date</t>
  </si>
  <si>
    <t>Project Crediting Period 2</t>
  </si>
  <si>
    <t xml:space="preserve">Project Crediting Period </t>
  </si>
  <si>
    <t>project_crediting_period</t>
  </si>
  <si>
    <t>From</t>
  </si>
  <si>
    <t>from</t>
  </si>
  <si>
    <t>To</t>
  </si>
  <si>
    <t>to</t>
  </si>
  <si>
    <t>Hidden</t>
  </si>
  <si>
    <t xml:space="preserve">Duration of crediting Period </t>
  </si>
  <si>
    <t>duration_of_crediting_period</t>
  </si>
  <si>
    <t>Type of crediting Pe 2 (enum)</t>
  </si>
  <si>
    <t xml:space="preserve">Type of crediting Period </t>
  </si>
  <si>
    <t>Fixed</t>
  </si>
  <si>
    <t>type_of_crediting_period</t>
  </si>
  <si>
    <t>Project Boundary and Additiona</t>
  </si>
  <si>
    <t>Project Boundary and Additionality</t>
  </si>
  <si>
    <t>{"number_of_households_served":1,"number_of_institutions_served":1,"backup_fossil_fuel_engines":true,"grid_connection":true,"boundary_description":"example","baseline_scenario":[1],"project_scenario":[1],"field0":{"baseline_sources":[{"source_name":"1","associated_ghgs":[{"ghg_name":"1","is_included":true,"justification":"1"}]}]},"field1":{"project_sources":[{"source_name":"example","associated_ghgs":[{"ghg_name":"example","is_included":true,"justification":"example"}]}]},"demonstration_of_additionality":"example","supporting_documentation":"ipfs://&lt;example&gt;"}</t>
  </si>
  <si>
    <t>project_boundary_and_additionality</t>
  </si>
  <si>
    <t>Integer</t>
  </si>
  <si>
    <t>No. of Households Served</t>
  </si>
  <si>
    <t>number_of_households_served</t>
  </si>
  <si>
    <t>No. of Institutions Served</t>
  </si>
  <si>
    <t>number_of_institutions_served</t>
  </si>
  <si>
    <t>Backup fossil fuel engines?</t>
  </si>
  <si>
    <t>backup_fossil_fuel_engines</t>
  </si>
  <si>
    <t>Grid Connection</t>
  </si>
  <si>
    <t>grid_connection</t>
  </si>
  <si>
    <t>Boundary Description</t>
  </si>
  <si>
    <t>boundary_description</t>
  </si>
  <si>
    <t>Baseline Scenario</t>
  </si>
  <si>
    <t>baseline_scenario</t>
  </si>
  <si>
    <t>Project Scenario</t>
  </si>
  <si>
    <t>project_scenario</t>
  </si>
  <si>
    <t>Baseline Scenario - Sources</t>
  </si>
  <si>
    <t>Source</t>
  </si>
  <si>
    <t>baseline_sources</t>
  </si>
  <si>
    <t>source_name</t>
  </si>
  <si>
    <t>GHG Details</t>
  </si>
  <si>
    <t>GHG</t>
  </si>
  <si>
    <t>associated_ghgs</t>
  </si>
  <si>
    <t>Green House Gas</t>
  </si>
  <si>
    <t>ghg_name</t>
  </si>
  <si>
    <t>Included?</t>
  </si>
  <si>
    <t>is_included</t>
  </si>
  <si>
    <t>Justification/ Explanation</t>
  </si>
  <si>
    <t>justification</t>
  </si>
  <si>
    <t>Project Scenario - Sources</t>
  </si>
  <si>
    <t>project_sources</t>
  </si>
  <si>
    <t>Demonstration of Additionality</t>
  </si>
  <si>
    <t>demonstration_of_additionality</t>
  </si>
  <si>
    <t>Supporting Documentation</t>
  </si>
  <si>
    <t>ipfs://0b0989a69f271149f2089c196665f203</t>
  </si>
  <si>
    <t>supporting_documentation</t>
  </si>
  <si>
    <t>Host Country Regulatory Framew</t>
  </si>
  <si>
    <t>Host Country Regulatory Framework</t>
  </si>
  <si>
    <t>{"national_regulations_summary":"example","sub_national_regulations":"example","local_regulations":"example","tariff_requirements":"example","compliance_statement":"example","attachment_upload":null}</t>
  </si>
  <si>
    <t>host_country_regulatory_framework</t>
  </si>
  <si>
    <t>National Regulations Summary</t>
  </si>
  <si>
    <t>national_regulations_summary</t>
  </si>
  <si>
    <t>Sub-national Regulations</t>
  </si>
  <si>
    <t>sub_national_regulations</t>
  </si>
  <si>
    <t>Local Regulations</t>
  </si>
  <si>
    <t>local_regulations</t>
  </si>
  <si>
    <t>Tariff Requirements</t>
  </si>
  <si>
    <t>tariff_requirements</t>
  </si>
  <si>
    <t>Compliance Statement</t>
  </si>
  <si>
    <t>compliance_statement</t>
  </si>
  <si>
    <t>Attachment Upload (PDF, max 20 MB)</t>
  </si>
  <si>
    <t>ipfs://82ed7e9022d394a6eeba7ae8cf53c53f</t>
  </si>
  <si>
    <t>attachment_upload</t>
  </si>
  <si>
    <t>Monitoring Plan Summary</t>
  </si>
  <si>
    <t>{"data_parameters_to_monitor":[{"relevant_sdg":"1. No Poverty","monitoring_parameter":[{"monitoring_parameter":"example","unit":"example","description":"example","source_of_data":"example","measurement_methods":"example","monitoring_frequency":"example","qa_qc_procedures":"example","purpose_of_data":"example","additional_comment":"example"}],"sampling_plan":"ipfs://&lt;example&gt;","supporting_files":"ipfs://&lt;example&gt;","technology_specific_fields":{"treatment_technology_category":"CWT, CWS","field2":{"maintenance_plan_description":"example","responsible_party":"example","logging_system":"example","downtime_recording_method":"example","maintenance_attachment_pdf":"ipfs://&lt;example&gt;"}}}]}</t>
  </si>
  <si>
    <t>monitoring_plan_summary</t>
  </si>
  <si>
    <t>Data and Parameters to Be Moni</t>
  </si>
  <si>
    <t>Data and Parameters to Be Monitored</t>
  </si>
  <si>
    <t>data_parameters_to_monitor</t>
  </si>
  <si>
    <t>Relevant SDG (enum)</t>
  </si>
  <si>
    <t>Relevant SDG</t>
  </si>
  <si>
    <t>relevant_sdg</t>
  </si>
  <si>
    <t>Monitoring Parameter - Item</t>
  </si>
  <si>
    <t>Monitoring Parameter</t>
  </si>
  <si>
    <t>monitoring_parameter</t>
  </si>
  <si>
    <t>Measurement Methods and Procedures to Be Applied</t>
  </si>
  <si>
    <t>measurement_methods</t>
  </si>
  <si>
    <t>Frequency of Monitoring</t>
  </si>
  <si>
    <t>monitoring_frequency</t>
  </si>
  <si>
    <t>QA/QC Procedures to Be Applied</t>
  </si>
  <si>
    <t>qa_qc_procedures</t>
  </si>
  <si>
    <t>Sampling Plan</t>
  </si>
  <si>
    <t>ipfs://7c042dac0dbc0b19123d393ae0d3e842</t>
  </si>
  <si>
    <t>sampling_plan</t>
  </si>
  <si>
    <t>Supporting Files</t>
  </si>
  <si>
    <t>ipfs://349e5f8114747ad20bdc291a2c78c3b3</t>
  </si>
  <si>
    <t>supporting_files</t>
  </si>
  <si>
    <t>Technology-Specific Details</t>
  </si>
  <si>
    <t>Technology-Specific Fields</t>
  </si>
  <si>
    <t>technology_specific_fields</t>
  </si>
  <si>
    <t>Treatment Technology 3 (enum)</t>
  </si>
  <si>
    <t>Help Text</t>
  </si>
  <si>
    <t>{"color":"#000000","size":"18px"}</t>
  </si>
  <si>
    <t>No additional details required.</t>
  </si>
  <si>
    <t>Maintenance Plan for CWTCWS</t>
  </si>
  <si>
    <t>Maintenance Plan</t>
  </si>
  <si>
    <t>field2</t>
  </si>
  <si>
    <t>Maintenance Plan Description</t>
  </si>
  <si>
    <t>maintenance_plan_description</t>
  </si>
  <si>
    <t>Responsible Party</t>
  </si>
  <si>
    <t>responsible_party</t>
  </si>
  <si>
    <t>Logging System</t>
  </si>
  <si>
    <t>logging_system</t>
  </si>
  <si>
    <t>Downtime Recording Method</t>
  </si>
  <si>
    <t>downtime_recording_method</t>
  </si>
  <si>
    <t>Attachment Upload (PDF only, &lt; 20 MB)</t>
  </si>
  <si>
    <t>ipfs://a2c75eee67743c43e05144bc39ffa2c7</t>
  </si>
  <si>
    <t>maintenance_attachment_pdf</t>
  </si>
  <si>
    <t>{"treatment_technology_category":"CWT, CWS","field1":null,"field2":{"maintenance_plan_description":"example","responsible_party":"example","logging_system":"example","downtime_recording_method":"example","maintenance_attachment_pdf":"ipfs://&lt;example&gt;"}}</t>
  </si>
  <si>
    <t>ipfs://0e56ff8a2bc1389fe2915553c971ff57</t>
  </si>
  <si>
    <t>GS MERSDW VVB Onboarding Schema</t>
  </si>
  <si>
    <t>Validation and Verification Body (VVB) Onboarding</t>
  </si>
  <si>
    <t>^[A-Za-z0-9 .,\-]{1,150}$</t>
  </si>
  <si>
    <t>example vvb</t>
  </si>
  <si>
    <t>entity_name</t>
  </si>
  <si>
    <t>Country of Registration</t>
  </si>
  <si>
    <t>{"country":"Afghanistan"}</t>
  </si>
  <si>
    <t>country_of_registration</t>
  </si>
  <si>
    <t>Scope (enum)</t>
  </si>
  <si>
    <t>Scope</t>
  </si>
  <si>
    <t>Community Services Activities</t>
  </si>
  <si>
    <t>scope</t>
  </si>
  <si>
    <t>Accreditation Scope (enum)</t>
  </si>
  <si>
    <t>Accreditation Scope</t>
  </si>
  <si>
    <t>Energy industries</t>
  </si>
  <si>
    <t>accreditation_scope</t>
  </si>
  <si>
    <t>^.{1,200}$</t>
  </si>
  <si>
    <t>Registered Address</t>
  </si>
  <si>
    <t>registered_address</t>
  </si>
  <si>
    <t>Official Email Address</t>
  </si>
  <si>
    <t>example@example.example</t>
  </si>
  <si>
    <t>official_email_address</t>
  </si>
  <si>
    <t>^[A-Za-z ]{3,100}$</t>
  </si>
  <si>
    <t>Authorized Contact Person Name</t>
  </si>
  <si>
    <t>authorized_contact_person_name</t>
  </si>
  <si>
    <t>Authorized Contact Person Role</t>
  </si>
  <si>
    <t>authorized_contact_person_role</t>
  </si>
  <si>
    <t>^\+?[1-9]\d{7,14}$</t>
  </si>
  <si>
    <t>Authorized Contact Phone Number</t>
  </si>
  <si>
    <t>+11111111</t>
  </si>
  <si>
    <t>authorized_contact_phone_number</t>
  </si>
  <si>
    <t>ISO 14065 Accreditation Certificate</t>
  </si>
  <si>
    <t>iso_14065_accreditation_certificate</t>
  </si>
  <si>
    <t>Scope of Accreditation Document</t>
  </si>
  <si>
    <t>scope_of_accreditation_document</t>
  </si>
  <si>
    <t>Official Gold Standard Approval / Recognition Letter</t>
  </si>
  <si>
    <t>official_gold_standard_approval_letter</t>
  </si>
  <si>
    <t>Authorization Letter for Signatory</t>
  </si>
  <si>
    <t>authorization_letter_for_signatory</t>
  </si>
  <si>
    <t>Evidence of GS-Approved VVB Listing</t>
  </si>
  <si>
    <t>evidence_of_gs_approved_vvb_listing</t>
  </si>
  <si>
    <t>Conflict of Interest Declaration</t>
  </si>
  <si>
    <t>conflict_of_interest_declaration</t>
  </si>
  <si>
    <t>GS MERSDW Validation Report</t>
  </si>
  <si>
    <t>{"project_name":"example","intended_start_date":"2026-02-01","intended_completion_date":"2026-02-28","project_status":"New","project_status_description":"example","project_scale":"Small","project_scale_justification":"example","sdg_contribution":[{"sdg_goal":"1. No Poverty","expected_impact":"example"}],"funding_sources":"example"}</t>
  </si>
  <si>
    <t>10e15690c65955a33ef011f2896d2401</t>
  </si>
  <si>
    <t>97c2055d9e99464550de79deea936228</t>
  </si>
  <si>
    <t>{"country":{"country":"Afghanistan"},"state_region_province":"example","city_village":"example","postal_code":"example","urban_rural_classification":"Urban","project_location":{"type":"FeatureCollection","features":[{"type":"Feature","properties":{},"geometry":{"type":"Point","coordinates":[0,0]}}]},"gps_latitude":"1","gps_longitude":"1"}</t>
  </si>
  <si>
    <t>45f90ef926880e8cc33dcc4187f6f0d9</t>
  </si>
  <si>
    <t>1da5e169473dd6ade93cbbfe47c12e2c</t>
  </si>
  <si>
    <t>e5a69ab461bc0d756bacd255247216cc</t>
  </si>
  <si>
    <t>0211fe7a709391a04b98f6910cbaf098</t>
  </si>
  <si>
    <t>9065c1225af59a3f33a89b0eebfb8cce</t>
  </si>
  <si>
    <t>{"pd_entity_name":"example","pd_email_address":"example@xeptagon.com","contact_full_name":"example","phone_primary":"011111111","phone_secondary":"011111111","physical_address":"example","website":"www.example.example","years_of_experience":1}</t>
  </si>
  <si>
    <t>project_developer</t>
  </si>
  <si>
    <t>2c60164c4ba93faf161957069d2d25b1</t>
  </si>
  <si>
    <t>072bda6538ef02000785c6a7a379525c</t>
  </si>
  <si>
    <t>34c73d2c6f0cef3218a63417df05d1d7</t>
  </si>
  <si>
    <t>Project Resource</t>
  </si>
  <si>
    <t>Validation Team, Technical Reviewer</t>
  </si>
  <si>
    <t>{"role":"example","type_of_resource":"example","first_name":"example","last_name":"example","responsibilities":"example"}</t>
  </si>
  <si>
    <t>validation_team</t>
  </si>
  <si>
    <t>Role</t>
  </si>
  <si>
    <t>Team Leader</t>
  </si>
  <si>
    <t>role</t>
  </si>
  <si>
    <t>Type of Resource</t>
  </si>
  <si>
    <t>Internal Reviewer</t>
  </si>
  <si>
    <t>type_of_resource</t>
  </si>
  <si>
    <t>First Name</t>
  </si>
  <si>
    <t>Lebron</t>
  </si>
  <si>
    <t>first_name</t>
  </si>
  <si>
    <t>Last Name</t>
  </si>
  <si>
    <t>Jain</t>
  </si>
  <si>
    <t>last_name</t>
  </si>
  <si>
    <t>Responsibilities</t>
  </si>
  <si>
    <t>Review Baseline Calculation</t>
  </si>
  <si>
    <t>responsibilities</t>
  </si>
  <si>
    <t>{"field0":{"treatment_technology_category":"CWT, CWS","proposed_technology_description":"example","cwt_treatment_subtype":{"treatment_subtype_cwt_cws":"Borehole with Distribution"},"cwt_manufacturer_name":"1","cwt_product_name":"1","cwt_daily_maximum_output":"1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-02-01","rehabilitation_details":"example","rehabilitation_date":"2026-02-01","maintenance_repair_plan":"ipfs://&lt;example&gt;","non_operational_evidence":"ipfs://&lt;example&gt;"}}}</t>
  </si>
  <si>
    <t>ipfs://d963c33ffa4257894cd4095b9084d3c3</t>
  </si>
  <si>
    <t>cd8719dd99b1fc7d59adc1810f8ce5e1</t>
  </si>
  <si>
    <t>ipfs://15c26e952dbf8217fe357482ffa990b0</t>
  </si>
  <si>
    <t>ipfs://7d4fe50a926e60c1b1ca53b6b2c2331a</t>
  </si>
  <si>
    <t>Technology Eligibility Validat</t>
  </si>
  <si>
    <t>Technology Eligibility Validation</t>
  </si>
  <si>
    <t>{"technology_type_verified":{"status":"Yes","comments":null},"classification_correct":{"status":"Yes","comments":null},"evidence_reviewed":{"status":"Yes","comments":null},"manufacturing_certification_validated":{"status":"Yes","comments":null},"water_quality_complaints_verified":{"status":"Yes","comments":null},"device_lifespan_and_replacement_cycle_validated":{"status":"Yes","comments":null},"backup_engine_present":{"status":"Yes","comments":null},"hours_of_operation_verified":{"status":"Yes","comments":null},"backup_fossil_fuel_less_than_10_percent_requirement_met":{"status":"Yes","comments":null},"non_operational_three_months_confirmed":{"status":"Yes","comments":null},"lack_of_maintenance_plan_verified":{"status":"Yes","comments":null},"rehabilitation_evidence_reviewed":{"status":"Yes","comments":null}}</t>
  </si>
  <si>
    <t>tech_eligibility_validation</t>
  </si>
  <si>
    <t>Yes or no with comments</t>
  </si>
  <si>
    <t>Technology Type Verified</t>
  </si>
  <si>
    <t>technology_type_verified</t>
  </si>
  <si>
    <t>Yes or No (enum)</t>
  </si>
  <si>
    <t>Yes or No</t>
  </si>
  <si>
    <t>status</t>
  </si>
  <si>
    <t>Comments</t>
  </si>
  <si>
    <t>comments</t>
  </si>
  <si>
    <t>Classification Correct</t>
  </si>
  <si>
    <t>classification_correct</t>
  </si>
  <si>
    <t>Evidence Reviewed</t>
  </si>
  <si>
    <t>evidence_reviewed</t>
  </si>
  <si>
    <t>Manufacturing Certification Validated</t>
  </si>
  <si>
    <t>manufacturing_certification_validated</t>
  </si>
  <si>
    <t>Water Quality Complaints Verified (Microbial/Chemical)</t>
  </si>
  <si>
    <t>water_quality_complaints_verified</t>
  </si>
  <si>
    <t>Device Lifespan and Replacement Cycle Validated</t>
  </si>
  <si>
    <t>device_lifespan_and_replacement_cycle_validated</t>
  </si>
  <si>
    <t>Backup Engine Present</t>
  </si>
  <si>
    <t>backup_engine_present</t>
  </si>
  <si>
    <t>Hours of Operation Verified</t>
  </si>
  <si>
    <t>hours_of_operation_verified</t>
  </si>
  <si>
    <t>Backup Fossil-Fuel &lt; 10% Requirement Met</t>
  </si>
  <si>
    <t>backup_fossil_fuel_less_than_10_percent_requirement_met</t>
  </si>
  <si>
    <t>Non-Operational ≥ 3 Months Confirmed</t>
  </si>
  <si>
    <t>non_operational_three_months_confirmed</t>
  </si>
  <si>
    <t>Lack of Maintenance Plan Verified</t>
  </si>
  <si>
    <t>lack_of_maintenance_plan_verified</t>
  </si>
  <si>
    <t>Rehabilitation Evidence Reviewed</t>
  </si>
  <si>
    <t>rehabilitation_evidence_reviewed</t>
  </si>
  <si>
    <t>Methodologies and Standardi 2</t>
  </si>
  <si>
    <t>Methodologies and Standardized Baseline</t>
  </si>
  <si>
    <t>{"calculation_of_baseline_emission_factor":"example","annual_emission_reduction_calculation":"example"}</t>
  </si>
  <si>
    <t>methodology_baseline</t>
  </si>
  <si>
    <t>Calculation of Baseline Emission Factor</t>
  </si>
  <si>
    <t>calculation_of_baseline_emission_factor</t>
  </si>
  <si>
    <t>Annual Emission Reduction Calculation</t>
  </si>
  <si>
    <t>annual_emission_reduction_calculation</t>
  </si>
  <si>
    <t>Baseline Emission</t>
  </si>
  <si>
    <t>{"project_emission":"example","leakage_emission":"example"}</t>
  </si>
  <si>
    <t>baseline_emissions</t>
  </si>
  <si>
    <t>Project Emission</t>
  </si>
  <si>
    <t>project_emission</t>
  </si>
  <si>
    <t>Leakage Emission</t>
  </si>
  <si>
    <t>leakage_emission</t>
  </si>
  <si>
    <t>Estimated Net Emission Reducti</t>
  </si>
  <si>
    <t>Estimated net emission reduction</t>
  </si>
  <si>
    <t>{"year":"2021","estimated_baseline_emissions":1,"estimated_project_emissions":1,"estimated_leakage_emissions":1,"estimated_ghg_emission_reduction":1}</t>
  </si>
  <si>
    <t>net_emission_reduction</t>
  </si>
  <si>
    <t>Year</t>
  </si>
  <si>
    <t>Estimated Baseline Emissions or Removals</t>
  </si>
  <si>
    <t>estimated_baseline_emissions</t>
  </si>
  <si>
    <t>Estimated Project Emissions or Removals</t>
  </si>
  <si>
    <t>estimated_project_emissions</t>
  </si>
  <si>
    <t>Estimated Leakage Emissions</t>
  </si>
  <si>
    <t>estimated_leakage_emissions</t>
  </si>
  <si>
    <t>Estimated GHG Emission Reduction or Removals (auto-generated by the system — no user input required)</t>
  </si>
  <si>
    <t>estimated_ghg_emission_reduction</t>
  </si>
  <si>
    <t>Project Crediting Period</t>
  </si>
  <si>
    <t>Start Date, Crediting Period Type and Duration</t>
  </si>
  <si>
    <t>{"start_date_of_project_activity":"2026-02-01","project_crediting_period":"2026-02-01","type_of_crediting_period":"Fixed","duration_of_crediting_period":"example"}</t>
  </si>
  <si>
    <t>crediting_period</t>
  </si>
  <si>
    <t>Start date of project activity</t>
  </si>
  <si>
    <t>start_date_of_project_activity</t>
  </si>
  <si>
    <t>Type of crediting perio (enum)</t>
  </si>
  <si>
    <t>Type of crediting period</t>
  </si>
  <si>
    <t>Duration of crediting period</t>
  </si>
  <si>
    <t>Baseline Assessment Validation</t>
  </si>
  <si>
    <t>{"improved_classification_verified":{"status":"Yes","comments":null},"stove_type_distribution_verified":{"status":"Yes","comments":null},"fuel_shares_verified":{"status":"Yes","comments":null},"baseline_safe_water_access_verified":{"status":"Yes","comments":null},"baseline_water_quality_evidence_verified":{"status":"Yes","comments":null},"boiling_practice_validated":{"status":"Yes","comments":null},"suppressed_demand_small_scale_eligibility":{"status":"Yes","comments":null},"suppressed_demand_justification_acceptable":{"status":"Yes","comments":null}}</t>
  </si>
  <si>
    <t>baseline_validation</t>
  </si>
  <si>
    <t>Improved/Unimproved Classification Verified</t>
  </si>
  <si>
    <t>improved_classification_verified</t>
  </si>
  <si>
    <t>Stove Type Distribution Verified</t>
  </si>
  <si>
    <t>stove_type_distribution_verified</t>
  </si>
  <si>
    <t>Fuel Shares Verified</t>
  </si>
  <si>
    <t>fuel_shares_verified</t>
  </si>
  <si>
    <t>Baseline Safe Water Access Verified</t>
  </si>
  <si>
    <t>baseline_safe_water_access_verified</t>
  </si>
  <si>
    <t>Baseline Water Quality Evidence Verified</t>
  </si>
  <si>
    <t>baseline_water_quality_evidence_verified</t>
  </si>
  <si>
    <t>Boiling Practice Validated</t>
  </si>
  <si>
    <t>boiling_practice_validated</t>
  </si>
  <si>
    <t>Suppressed Demand Small Scale Eligibility</t>
  </si>
  <si>
    <t>suppressed_demand_small_scale_eligibility</t>
  </si>
  <si>
    <t>Suppressed Demand Justification Acceptable</t>
  </si>
  <si>
    <t>suppressed_demand_justification_acceptable</t>
  </si>
  <si>
    <t>Project Boundary Validation</t>
  </si>
  <si>
    <t>{"gps_coordinates_verified":{"status":"Yes","comments":null},"boundary_alignment_verified":{"status":"Yes","comments":null},"number_of_premises_verified":{"status":"Yes","comments":null},"cwt_cws_distance_requirement_met":{"status":"Yes","comments":null}}</t>
  </si>
  <si>
    <t>boundary_validation</t>
  </si>
  <si>
    <t>GPS Coordinates Verified</t>
  </si>
  <si>
    <t>gps_coordinates_verified</t>
  </si>
  <si>
    <t>Boundary Aligns with Project Description</t>
  </si>
  <si>
    <t>boundary_alignment_verified</t>
  </si>
  <si>
    <t>Number of Premises Verified</t>
  </si>
  <si>
    <t>number_of_premises_verified</t>
  </si>
  <si>
    <t>CWT/CWS ≤ 1 km Requirement Met</t>
  </si>
  <si>
    <t>cwt_cws_distance_requirement_met</t>
  </si>
  <si>
    <t>Additionality Validation</t>
  </si>
  <si>
    <t>{"additionality_tool_used":{"status":"Yes","comments":null},"barriers_justified":{"status":"Yes","comments":null},"financials_reviewed":{"status":"Yes","comments":null},"carbon_finance_necessary":{"status":"Yes","comments":null},"final_additionality_conclusion_pass":{"status":"Yes","comments":null}}</t>
  </si>
  <si>
    <t>additionality_validation</t>
  </si>
  <si>
    <t>Additionality Tool Used</t>
  </si>
  <si>
    <t>additionality_tool_used</t>
  </si>
  <si>
    <t>Barriers Justified</t>
  </si>
  <si>
    <t>barriers_justified</t>
  </si>
  <si>
    <t>Financials Reviewed (If applicable)</t>
  </si>
  <si>
    <t>financials_reviewed</t>
  </si>
  <si>
    <t>Carbon Finance Demonstrated as Necessary</t>
  </si>
  <si>
    <t>carbon_finance_necessary</t>
  </si>
  <si>
    <t>Is the Final Additional Conclusion Pass?</t>
  </si>
  <si>
    <t>final_additionality_conclusion_pass</t>
  </si>
  <si>
    <t>Monitoring Plan Validation</t>
  </si>
  <si>
    <t>{"sampling_frame_valid":{"status":"Yes","comments":null},"sample_size_compliant":{"status":"Yes","comments":null},"confidence_90_10_achieved":{"status":"Yes","comments":null},"accredited_lab_verified":{"status":"Yes","comments":null},"water_quality_method_compliant":{"status":"Yes","comments":null},"water_quality_monitoring_frequency_validated":{"status":"Yes","comments":null},"volume_measurement_devices_validated":{"status":"Yes","comments":null},"calibration_methods_reviewed":{"status":"Yes","comments":null},"usage_monitoring_survey_design_validated":{"status":"Yes","comments":null},"usage_monitoring_criteria_correct":{"status":"Yes","comments":null},"leakage_monitoring_survey_validated":{"status":"Yes","comments":null},"leakage_boiling_safe_water_fraction_correct":{"status":"Yes","comments":null},"biomass_non_renewability_source_validated":{"status":"Yes","comments":null}}</t>
  </si>
  <si>
    <t>monitoring_plan_validation</t>
  </si>
  <si>
    <t>Sampling Frame Validity</t>
  </si>
  <si>
    <t>sampling_frame_valid</t>
  </si>
  <si>
    <t>Sample Size Compliant (≥30)</t>
  </si>
  <si>
    <t>sample_size_compliant</t>
  </si>
  <si>
    <t>90/10 Confidence Achieved</t>
  </si>
  <si>
    <t>confidence_90_10_achieved</t>
  </si>
  <si>
    <t>Accredited Lab Verified of Water Quality</t>
  </si>
  <si>
    <t>accredited_lab_verified</t>
  </si>
  <si>
    <t>Water Quality Method Compliance Verified</t>
  </si>
  <si>
    <t>water_quality_method_compliant</t>
  </si>
  <si>
    <t>Water Quality Monitoring Frequency Validated</t>
  </si>
  <si>
    <t>water_quality_monitoring_frequency_validated</t>
  </si>
  <si>
    <t>Volume Measurement Devices Validated (Method 1 / Method 2)</t>
  </si>
  <si>
    <t>volume_measurement_devices_validated</t>
  </si>
  <si>
    <t>Calibration Methods Reviewed (Method 1 / Method 2)</t>
  </si>
  <si>
    <t>calibration_methods_reviewed</t>
  </si>
  <si>
    <t>Usage Monitoring Survey Design Validated (HWT/IWT)</t>
  </si>
  <si>
    <t>usage_monitoring_survey_design_validated</t>
  </si>
  <si>
    <t>Usage Monitoring Criteria Correct (HWT/IWT)</t>
  </si>
  <si>
    <t>usage_monitoring_criteria_correct</t>
  </si>
  <si>
    <t>Leakage Monitoring Survey Validated</t>
  </si>
  <si>
    <t>leakage_monitoring_survey_validated</t>
  </si>
  <si>
    <t>Leakage Monitoring Boiling Safe Water Fraction Correct</t>
  </si>
  <si>
    <t>leakage_boiling_safe_water_fraction_correct</t>
  </si>
  <si>
    <t>Biomass Non-Renewability Source Validated</t>
  </si>
  <si>
    <t>biomass_non_renewability_source_validated</t>
  </si>
  <si>
    <t>GS MERSDW Project Developer Onboarding Schema</t>
  </si>
  <si>
    <t>Entity Information</t>
  </si>
  <si>
    <t>{"entity_name":"example pd","entity_type":"Private Company","entity_address":"example ","website":"www.example.example"}</t>
  </si>
  <si>
    <t>entityInformation</t>
  </si>
  <si>
    <t>4065bebd27977b9301df8ecd28c89ecf</t>
  </si>
  <si>
    <t>Entity Type (enum)</t>
  </si>
  <si>
    <t>Entity Type</t>
  </si>
  <si>
    <t>Private Company</t>
  </si>
  <si>
    <t>entity_type</t>
  </si>
  <si>
    <t>Entity Address</t>
  </si>
  <si>
    <t>6d71c15df45748242782f7419729fedd</t>
  </si>
  <si>
    <t>entity_address</t>
  </si>
  <si>
    <t>1660e92f7c94e585b24b23ae81cdd115</t>
  </si>
  <si>
    <t>Contact Person Details</t>
  </si>
  <si>
    <t>{"full_name":"example","designation":"example","official_email_address":"example@example.example","phone_number":"+11111111"}</t>
  </si>
  <si>
    <t>contactPersonDetails</t>
  </si>
  <si>
    <t>Full Name</t>
  </si>
  <si>
    <t>be1d62fdd88c5e04980c2f2e346bdabc</t>
  </si>
  <si>
    <t>full_name</t>
  </si>
  <si>
    <t>Designation</t>
  </si>
  <si>
    <t>d9b43b2d201af50da510f5556b49453f</t>
  </si>
  <si>
    <t>designation</t>
  </si>
  <si>
    <t>Phone Number</t>
  </si>
  <si>
    <t>609067b191d016838bc8f4636de639e1</t>
  </si>
  <si>
    <t>phone_number</t>
  </si>
  <si>
    <t>Project Related Information</t>
  </si>
  <si>
    <t>{"project_name":"example","project_type":"example"}</t>
  </si>
  <si>
    <t>projectInformation</t>
  </si>
  <si>
    <t>a46422fcd1ce48e62327b0c95603d0fa</t>
  </si>
  <si>
    <t>Project Type</t>
  </si>
  <si>
    <t>a0323dd6d83b94a6f2875af8761df646</t>
  </si>
  <si>
    <t>project_type</t>
  </si>
  <si>
    <t>Additional Information</t>
  </si>
  <si>
    <t>{"additional_documents":["ipfs://&lt;example&gt;"]}</t>
  </si>
  <si>
    <t>additionalInformation</t>
  </si>
  <si>
    <t>Additional Documents (PDF only, max 20 MB)</t>
  </si>
  <si>
    <t>ipfs://d40defc645a74efa817ada865e3e4a13</t>
  </si>
  <si>
    <t>additional_documents</t>
  </si>
  <si>
    <t>GS MERSDW Verification Report</t>
  </si>
  <si>
    <t>Basic Details</t>
  </si>
  <si>
    <t>{"project_name":"example","lead_verifier_name":"example","monitoring_period":"2026-01-29","date_of_verification_completion":"2026-01-31","version":"1"}</t>
  </si>
  <si>
    <t>Lead Verifier Name</t>
  </si>
  <si>
    <t>lead_verifier_name</t>
  </si>
  <si>
    <t>Monitoring Period</t>
  </si>
  <si>
    <t>2024-01-01 to 2024-12-31</t>
  </si>
  <si>
    <t>monitoring_period</t>
  </si>
  <si>
    <t>Date of Verification Completion</t>
  </si>
  <si>
    <t>2025-01-15</t>
  </si>
  <si>
    <t>date_of_verification_completion</t>
  </si>
  <si>
    <t>Version</t>
  </si>
  <si>
    <t>version</t>
  </si>
  <si>
    <t>Means of Verification</t>
  </si>
  <si>
    <t>{"means_of_verification":["Desk Review","Sampling Assessment"],"field_visit_conducted":true,"field_visit_date":"2026-01-29","households_sampled":1,"institutions_sampled":1,"sampling_validation":"example"}</t>
  </si>
  <si>
    <t>means_of_verification</t>
  </si>
  <si>
    <t>Means of Verificatio 2 (enum)</t>
  </si>
  <si>
    <t>Desk Review,Field Visit</t>
  </si>
  <si>
    <t>Field Visit Conducted</t>
  </si>
  <si>
    <t>field_visit_conducted</t>
  </si>
  <si>
    <t>Field Visit Date</t>
  </si>
  <si>
    <t>2024-08-12</t>
  </si>
  <si>
    <t>field_visit_date</t>
  </si>
  <si>
    <t>Households sampled</t>
  </si>
  <si>
    <t>households_sampled</t>
  </si>
  <si>
    <t>Institutions sampled</t>
  </si>
  <si>
    <t>institutions_sampled</t>
  </si>
  <si>
    <t>Sampling Validation</t>
  </si>
  <si>
    <t>90/10 precision achieved</t>
  </si>
  <si>
    <t>sampling_validation</t>
  </si>
  <si>
    <t>Monitoring Verification</t>
  </si>
  <si>
    <t>{"pd_reported_usage_rate":1,"verified_usage_rate":1,"microbial_indicator_tested":"example","point_of_testing":"example","proportion_meeting_standard":1,"comments":"example"}</t>
  </si>
  <si>
    <t>monitoring_verification</t>
  </si>
  <si>
    <t>PD Reported Usage Rate</t>
  </si>
  <si>
    <t>pd_reported_usage_rate</t>
  </si>
  <si>
    <t>Verified Usage Rate</t>
  </si>
  <si>
    <t>verified_usage_rate</t>
  </si>
  <si>
    <t>Microbial Indicator Tested</t>
  </si>
  <si>
    <t>E.coli</t>
  </si>
  <si>
    <t>microbial_indicator_tested</t>
  </si>
  <si>
    <t>Point of Testing</t>
  </si>
  <si>
    <t>Water outlet</t>
  </si>
  <si>
    <t>point_of_testing</t>
  </si>
  <si>
    <t>Proportion Meeting Standard</t>
  </si>
  <si>
    <t>proportion_meeting_standard</t>
  </si>
  <si>
    <t>Overall microbial levels improved significantly.</t>
  </si>
  <si>
    <t>Verified Emissions</t>
  </si>
  <si>
    <t>{"baseline_emissions_bey":10,"project_emissions_pey":1,"leakage_emissions_ley":1,"certified_amount_of_vers":null,"adjustments_due_to_materiality":1,"final_issuable_vers":1,"car_issued":true,"car_description":"example","far_issued":true,"far_description":"example","field0":{"statement_by_vvb":"example","statement_of_independence":"example","date_of_certification":"2026-01-29"}}</t>
  </si>
  <si>
    <t>verified_emissions</t>
  </si>
  <si>
    <t xml:space="preserve">Baseline Emissions (tCO2e) </t>
  </si>
  <si>
    <t>baseline_emissions_bey</t>
  </si>
  <si>
    <t>Project Emissions (tCO2e)</t>
  </si>
  <si>
    <t>project_emissions_pey</t>
  </si>
  <si>
    <t>Leakage Emissions (tCO2e)</t>
  </si>
  <si>
    <t>leakage_emissions_ley</t>
  </si>
  <si>
    <t>Certified Amount of VERs (This field will be calculated automatically after submission)</t>
  </si>
  <si>
    <t>ERy = BEy − PEy − LEy</t>
  </si>
  <si>
    <t>certified_amount_of_vers</t>
  </si>
  <si>
    <t>Adjustments due to Materiality</t>
  </si>
  <si>
    <t>adjustments_due_to_materiality</t>
  </si>
  <si>
    <t>Final Issuable VERs (This field will be calculated automatically after submission)</t>
  </si>
  <si>
    <t>final_issuable_vers</t>
  </si>
  <si>
    <t>CAR Issued</t>
  </si>
  <si>
    <t>car_issued</t>
  </si>
  <si>
    <t>CAR Description</t>
  </si>
  <si>
    <t>car_description</t>
  </si>
  <si>
    <t>FAR Issued</t>
  </si>
  <si>
    <t>far_issued</t>
  </si>
  <si>
    <t>FAR Description</t>
  </si>
  <si>
    <t>far_description</t>
  </si>
  <si>
    <t>Certification Statement</t>
  </si>
  <si>
    <t>Statement by VVB</t>
  </si>
  <si>
    <t>statement_by_vvb</t>
  </si>
  <si>
    <t>Statement of Independence</t>
  </si>
  <si>
    <t>statement_of_independence</t>
  </si>
  <si>
    <t>Date of Certification</t>
  </si>
  <si>
    <t>date_of_certification</t>
  </si>
  <si>
    <t>Monitoring Report ID (auto-generated by the system — no user input required)</t>
  </si>
  <si>
    <t>monitoring_report_id</t>
  </si>
  <si>
    <t>GS MERSDW Monitoring Report</t>
  </si>
  <si>
    <t>Project Details - Project Name</t>
  </si>
  <si>
    <t>{"project_name":"example"}</t>
  </si>
  <si>
    <t>94ac9de09fb03aeff9ffae4fdbf363f5</t>
  </si>
  <si>
    <t>Monitoring report Basic Inform</t>
  </si>
  <si>
    <t>{"field0":"1","monitoring_report_version":1,"monitoring_period_duration":"2026-01-29","monitoring_report_number":1,"host_party":"example","ghg_reductions_achieved":"example","projected_ghg_reduction":"example"}</t>
  </si>
  <si>
    <t>basic_info</t>
  </si>
  <si>
    <t>Version number of this monitoring report</t>
  </si>
  <si>
    <t>monitoring_report_version</t>
  </si>
  <si>
    <t>Duration of this monitoring period</t>
  </si>
  <si>
    <t>monitoring_period_duration</t>
  </si>
  <si>
    <t>Monitoring report number for this monitoring period</t>
  </si>
  <si>
    <t>monitoring_report_number</t>
  </si>
  <si>
    <t>Host Party</t>
  </si>
  <si>
    <t>host_party</t>
  </si>
  <si>
    <t>GHG reductions achieved during the monitoring period</t>
  </si>
  <si>
    <t>ghg_reductions_achieved</t>
  </si>
  <si>
    <t>Projected GHG Reduction</t>
  </si>
  <si>
    <t>projected_ghg_reduction</t>
  </si>
  <si>
    <t>Project Developer Details 2</t>
  </si>
  <si>
    <t>{"pd_entity_name":"example","pd_email_address":"example@example.example","contact_full_name":"example example","phone_primary":"+1111111111","phone_secondary":"+1111111111","physical_address":"example","website":"example.example.example","years_of_experience":1}</t>
  </si>
  <si>
    <t>developer_details</t>
  </si>
  <si>
    <t>809c151d9be01898ea3d049d88ac959d</t>
  </si>
  <si>
    <t>e6c9ef273b756f550567187e3b7f125e</t>
  </si>
  <si>
    <t>7a2272c2e3baa9d0c451ec496e365c7d</t>
  </si>
  <si>
    <t>Water Treatment Technology 2</t>
  </si>
  <si>
    <t>{"treatment_technology_category":"CWT, CWS","hwt_manufacturer_name":"example","hwt_model_product_name":"example","hwt_who_performance_classification":"example","hwt_expected_technical_life":"example","hwt_filter_life":1,"hwt_treatment_capacity":"example","hwt_number_of_households_equipped":1,"hwt_household_size":1,"hwt_required_dosage":"1"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posed_technology_description":"example","cwt_treatment_subtype":{"treatment_subtype_cwt_cws":"Borehole with Distribution"},"project_rehabilitation":{"is_rehabilitation":false}}</t>
  </si>
  <si>
    <t>Treatment Technology 6 (enum)</t>
  </si>
  <si>
    <t>Treatment Technology Sub-ty 3</t>
  </si>
  <si>
    <t>Treatment Technology 4 (enum)</t>
  </si>
  <si>
    <t>Treatment Technology Sub-ty 4</t>
  </si>
  <si>
    <t>Treatment Technology 5 (enum)</t>
  </si>
  <si>
    <t>ipfs://4dab40c799f7f25466a8e379d028a18a</t>
  </si>
  <si>
    <t>If the Project Installation 2</t>
  </si>
  <si>
    <t>c948351c7b575b48b7c7b7a0a9c20e3a</t>
  </si>
  <si>
    <t>ipfs://cf0bb819109763636810dc356ecabc90</t>
  </si>
  <si>
    <t>ipfs://387c89220e76011f4a9e6f69ee3f4a63</t>
  </si>
  <si>
    <t>Project Location Details 2</t>
  </si>
  <si>
    <t>{"country":{"country":"Afghanistan"},"state_region_province":"example","city_village":"example","postal_code":"example","urban_rural_classification":"Urban","project_location":{"type":"Point","coordinates":[-106.16242595704581,-11.095651984893308]},"gps_latitude":"1","gps_longitude":"1"}</t>
  </si>
  <si>
    <t>Country 2</t>
  </si>
  <si>
    <t>Country 4 (enum)</t>
  </si>
  <si>
    <t>d4b424adb0a20e19bcf50a9f495f1bc4</t>
  </si>
  <si>
    <t>746c602549efe327dd6b3f3146959da3</t>
  </si>
  <si>
    <t>153d41cef9eb03d9e881bbad3c1f4c9f</t>
  </si>
  <si>
    <t>UrbanRural Classific 2 (enum)</t>
  </si>
  <si>
    <t>c84a97a9b8e42bda7e71aa733abc26a9</t>
  </si>
  <si>
    <t>a6a579dbd45abc724508611eb5e4a67a</t>
  </si>
  <si>
    <t>Project Participants</t>
  </si>
  <si>
    <t>{"parties_and_project_participants":"example","methodologies_and_standardized_baselines_references":"example","crediting_period_type":"example","crediting_period_duration":"2026-01-30"}</t>
  </si>
  <si>
    <t>project_participants</t>
  </si>
  <si>
    <t>Parties and project participants</t>
  </si>
  <si>
    <t>parties_and_project_participants</t>
  </si>
  <si>
    <t>References to applied methodologies and standardized baselines</t>
  </si>
  <si>
    <t>methodologies_and_standardized_baselines_references</t>
  </si>
  <si>
    <t>Crediting period type</t>
  </si>
  <si>
    <t>crediting_period_type</t>
  </si>
  <si>
    <t>Crediting period duration</t>
  </si>
  <si>
    <t>crediting_period_duration</t>
  </si>
  <si>
    <t>Implementation of Project Acti</t>
  </si>
  <si>
    <t>Implementation of Project Activity</t>
  </si>
  <si>
    <t>{"implemented_project_activity_description":"example","post_registration_changes":"example","temporary_deviations":"example","corrections":"example"}</t>
  </si>
  <si>
    <t>project_implementation</t>
  </si>
  <si>
    <t>Description of implemented project activity</t>
  </si>
  <si>
    <t>implemented_project_activity_description</t>
  </si>
  <si>
    <t>Post-registration changes</t>
  </si>
  <si>
    <t>post_registration_changes</t>
  </si>
  <si>
    <t>Temporary deviations from the registered monitoring plan, applied methodologies, standardized baselines or other methodological regulatory documents</t>
  </si>
  <si>
    <t>temporary_deviations</t>
  </si>
  <si>
    <t>Corrections</t>
  </si>
  <si>
    <t>corrections</t>
  </si>
  <si>
    <t>Description of Monitoring S 6</t>
  </si>
  <si>
    <t>Description of Monitoring System</t>
  </si>
  <si>
    <t>{"field0":"example","field7":null,"field1":[{"sample_date":"2026-01-30","sample_point":"example","premises_type":"example","laboratory":"example","testing_method":"example","ecoli_cfu_result":"example","cumulative_pass_rate":"12.9","compliance_with_threshold":1,"non_compliance_reason":"example","upload_related_documents":"ipfs://&lt;example&gt;"}],"treatment_technology_category":"CWT, CWS","field4":{"monitored_volume":1,"premises_count_per_system":1,"household_size":1,"per_capita_consumption":1,"operational_days":1},"field2":{"device_presences":false,"devices_per_premises":"example","usage_rate":"34","capacity":"example","water_consumption_value":"example"},"field6":[]}</t>
  </si>
  <si>
    <t>monitoring_system</t>
  </si>
  <si>
    <t>Description of monitoring system</t>
  </si>
  <si>
    <t>Add Sample(s)</t>
  </si>
  <si>
    <t>field7</t>
  </si>
  <si>
    <t>Description of Monitoring Syst</t>
  </si>
  <si>
    <t>Water Quality Monitoring</t>
  </si>
  <si>
    <t>Sample Date</t>
  </si>
  <si>
    <t>sample_date</t>
  </si>
  <si>
    <t>Sample point</t>
  </si>
  <si>
    <t>sample_point</t>
  </si>
  <si>
    <t>Premises type</t>
  </si>
  <si>
    <t>premises_type</t>
  </si>
  <si>
    <t>Laboratory</t>
  </si>
  <si>
    <t>laboratory</t>
  </si>
  <si>
    <t>Testing Method</t>
  </si>
  <si>
    <t>testing_method</t>
  </si>
  <si>
    <t>E.Coli CFU result</t>
  </si>
  <si>
    <t>ecoli_cfu_result</t>
  </si>
  <si>
    <t>^(100(\.0+)?|[0-9]{1,2}(\.[0-9]+)?)$</t>
  </si>
  <si>
    <t>Cumulative pass rate (%)</t>
  </si>
  <si>
    <t>b1ec3ee3e9cf793ff560347547bc0841</t>
  </si>
  <si>
    <t>cumulative_pass_rate</t>
  </si>
  <si>
    <t>Compliance with threshold</t>
  </si>
  <si>
    <t>compliance_with_threshold</t>
  </si>
  <si>
    <t>If the compliance is failed, provide reasons</t>
  </si>
  <si>
    <t>non_compliance_reason</t>
  </si>
  <si>
    <t>Upload Related Documents</t>
  </si>
  <si>
    <t>ipfs://a532efd7c1f51906d72488319d389fde</t>
  </si>
  <si>
    <t>upload_related_documents</t>
  </si>
  <si>
    <t>Treatment Technology 7 (enum)</t>
  </si>
  <si>
    <t>Description of Monitoring S 2</t>
  </si>
  <si>
    <t xml:space="preserve">Operational Monitoring </t>
  </si>
  <si>
    <t>field5</t>
  </si>
  <si>
    <t>Water Treatment Technology Type</t>
  </si>
  <si>
    <t>water_treatment_technology_type</t>
  </si>
  <si>
    <t>Water Treatment Technology Sub Type</t>
  </si>
  <si>
    <t>water_treatment_technology_sub_type</t>
  </si>
  <si>
    <t>Total operational days</t>
  </si>
  <si>
    <t>total_operational_days</t>
  </si>
  <si>
    <t>Downtime (hours)</t>
  </si>
  <si>
    <t>downtime_hours</t>
  </si>
  <si>
    <t>Downtime reasons</t>
  </si>
  <si>
    <t>downtime_reasons</t>
  </si>
  <si>
    <t>Repair performed?</t>
  </si>
  <si>
    <t>repair_performed</t>
  </si>
  <si>
    <t>Technician Name</t>
  </si>
  <si>
    <t>technician_name</t>
  </si>
  <si>
    <t>Repair report upload</t>
  </si>
  <si>
    <t>ipfs://6f168ec7c43632c287c73c3561b234bf</t>
  </si>
  <si>
    <t>repair_report_upload</t>
  </si>
  <si>
    <t>Description of Monitoring S 3</t>
  </si>
  <si>
    <t>CWT/CWS</t>
  </si>
  <si>
    <t>field4</t>
  </si>
  <si>
    <t>Monitored volume (L/year)</t>
  </si>
  <si>
    <t>monitored_volume</t>
  </si>
  <si>
    <t>Premises count per system</t>
  </si>
  <si>
    <t>premises_count_per_system</t>
  </si>
  <si>
    <t>Household size</t>
  </si>
  <si>
    <t>household_size</t>
  </si>
  <si>
    <t>Per capita consumption (L)</t>
  </si>
  <si>
    <t>per_capita_consumption</t>
  </si>
  <si>
    <t>Operational days</t>
  </si>
  <si>
    <t>operational_days</t>
  </si>
  <si>
    <t>Description of Monitoring S 4</t>
  </si>
  <si>
    <t>HWT/IWT</t>
  </si>
  <si>
    <t>Device presences</t>
  </si>
  <si>
    <t>device_presences</t>
  </si>
  <si>
    <t>Devices per premises</t>
  </si>
  <si>
    <t>devices_per_premises</t>
  </si>
  <si>
    <t>Usage rate (%)</t>
  </si>
  <si>
    <t>0fe82a1fc8ce42c7188fabcd9f2aef05</t>
  </si>
  <si>
    <t>usage_rate</t>
  </si>
  <si>
    <t>Capacity</t>
  </si>
  <si>
    <t>capacity</t>
  </si>
  <si>
    <t>Water consumption value</t>
  </si>
  <si>
    <t>water_consumption_value</t>
  </si>
  <si>
    <t>Description of Monitoring S 5</t>
  </si>
  <si>
    <t>Hygiene Campaign Monitoring</t>
  </si>
  <si>
    <t>field6</t>
  </si>
  <si>
    <t>Campaign date</t>
  </si>
  <si>
    <t>campaign_date</t>
  </si>
  <si>
    <t>Participants</t>
  </si>
  <si>
    <t>participants</t>
  </si>
  <si>
    <t>Photos (upload)</t>
  </si>
  <si>
    <t>ipfs://0584e1410669854908555211d29a69fe</t>
  </si>
  <si>
    <t>photos_upload</t>
  </si>
  <si>
    <t>Calculation of Emission Reduct</t>
  </si>
  <si>
    <t>Calculation of Emission Reductions</t>
  </si>
  <si>
    <t>{"baseline_emission_details":"example","emission_files":[],"project_emission_details":"example","leakage_emissions_details":"example","location_wise_details":[{"location":{"type":"FeatureCollection","features":[{"type":"Feature","properties":{},"geometry":{"type":"Point","coordinates":[0,0]}}]},"stove_details":[{"stove_type":"example","efficiency_n_w_b":1,"specific_energy_se_w_b_y":null,"co2_emission_factor_efb_co2":1,"fraction_nrb_f_y":1,"non_co2_emission_factor_efb_nonco2":1,"combined_efb":null,"stove_percentage_xf":1}],"water_quantity":{"technology_category":"CWT, CWS","baseline_emission":null,"monitored_water_quantity":1,"usage_details_cwt":[{"premises":"example","HHp_y":1,"HNp_y":1,"QPWp":1,"DOp_y":1}]},"project_emission":{"emission_by_fuel":[{"fuel_type":"example","Pp_f_y":1,"NCVf":1,"EFb_f_CO2":1}],"PEffpy":null,"emission_by_electricity":{"ECp_y":1,"EFec":1,"TDLec":1},"PEecpy":null,"total_pe":null},"leakage_emission":{"leakage_emission":1,"emission_reduction":1},"baseline_emission_factor":null,"proportion_safe_water_cb":1,"proportion_boiling_xcleanboil_y":1,"water_quality_modifier_mq_y":1}],"total_emission_reductions":null}</t>
  </si>
  <si>
    <t>calculations</t>
  </si>
  <si>
    <t>Baseline Emission Details</t>
  </si>
  <si>
    <t>baseline_emission_details</t>
  </si>
  <si>
    <t>Emission Files</t>
  </si>
  <si>
    <t>ipfs://23842dbbc0228e1d7a23e1488db2411f</t>
  </si>
  <si>
    <t>emission_files</t>
  </si>
  <si>
    <t>Project Emission Details</t>
  </si>
  <si>
    <t>project_emission_details</t>
  </si>
  <si>
    <t>Leakage Emissions Details</t>
  </si>
  <si>
    <t>leakage_emissions_details</t>
  </si>
  <si>
    <t>Location Based Details</t>
  </si>
  <si>
    <t>location_wise_details</t>
  </si>
  <si>
    <t>Stove Details Unit Schema</t>
  </si>
  <si>
    <t>Stove's Details</t>
  </si>
  <si>
    <t>stove_details</t>
  </si>
  <si>
    <t>Stove Type</t>
  </si>
  <si>
    <t>stove_type</t>
  </si>
  <si>
    <t>Efficiency (n w,b) (%)</t>
  </si>
  <si>
    <t>efficiency_n_w_b</t>
  </si>
  <si>
    <t>Specific energy required to boil water (SE w,b,y) (kJ/L)</t>
  </si>
  <si>
    <t>specific_energy_se_w_b_y</t>
  </si>
  <si>
    <t>CO2 Emission Factor (EFb_CO2) (tCO2/TJ)</t>
  </si>
  <si>
    <t>co2_emission_factor_efb_co2</t>
  </si>
  <si>
    <t>Fraction of Non-Renewable Biomass (f NRB,f,y)</t>
  </si>
  <si>
    <t>fraction_nrb_f_y</t>
  </si>
  <si>
    <t>Non-CO2 Emission Factor (EFb_nonCO2) (tCO2/TJ)</t>
  </si>
  <si>
    <t>non_co2_emission_factor_efb_nonco2</t>
  </si>
  <si>
    <t>Combined EFb (tCO2/TJ)</t>
  </si>
  <si>
    <t>combined_efb</t>
  </si>
  <si>
    <t>Percentage of stove (xf) (%)</t>
  </si>
  <si>
    <t>stove_percentage_xf</t>
  </si>
  <si>
    <t>Quantity of water</t>
  </si>
  <si>
    <t>Quantity of Water</t>
  </si>
  <si>
    <t>water_quantity</t>
  </si>
  <si>
    <t>Treatment Technology 8 (enum)</t>
  </si>
  <si>
    <t>technology_category</t>
  </si>
  <si>
    <t>Project Water Supply Premises</t>
  </si>
  <si>
    <t>Premises Water Usage Details</t>
  </si>
  <si>
    <t>usage_details_hwt</t>
  </si>
  <si>
    <t>Number of Premises</t>
  </si>
  <si>
    <t>Np_y</t>
  </si>
  <si>
    <t>Usage Rate (%)</t>
  </si>
  <si>
    <t>Up_y</t>
  </si>
  <si>
    <t>Days Present</t>
  </si>
  <si>
    <t>DPp_y</t>
  </si>
  <si>
    <t>Device Capacity (L/h)</t>
  </si>
  <si>
    <t>device_capacity</t>
  </si>
  <si>
    <t>Average Daily Usage Time (hours/day)</t>
  </si>
  <si>
    <t>daily_usage_hours</t>
  </si>
  <si>
    <t>Average Number of Devices per Premises</t>
  </si>
  <si>
    <t>Drinking Water per Person per Day (L)</t>
  </si>
  <si>
    <t>water_per_person</t>
  </si>
  <si>
    <t>Average Number of People per Premises</t>
  </si>
  <si>
    <t>people_per_premises</t>
  </si>
  <si>
    <t>Monitored quantity of safe water provided by project (L)</t>
  </si>
  <si>
    <t>monitored_water_quantity</t>
  </si>
  <si>
    <t>Premises Water Usage Details -</t>
  </si>
  <si>
    <t>usage_details_cwt</t>
  </si>
  <si>
    <t>Premises</t>
  </si>
  <si>
    <t>premises</t>
  </si>
  <si>
    <t>Number of premises</t>
  </si>
  <si>
    <t>HHp_y</t>
  </si>
  <si>
    <t>HNp_y</t>
  </si>
  <si>
    <t>Drinking Water per Person per Day</t>
  </si>
  <si>
    <t>QPWp</t>
  </si>
  <si>
    <t>DOp_y</t>
  </si>
  <si>
    <t>baseline_emission</t>
  </si>
  <si>
    <t>Emission by fuel</t>
  </si>
  <si>
    <t>emission_by_fuel</t>
  </si>
  <si>
    <t>Quantity of fossil fuel consumed (mass or volume units)</t>
  </si>
  <si>
    <t>Pp_f_y</t>
  </si>
  <si>
    <t>Net Calorific Value (Standard values in IPCC) (TJ/fuel units)</t>
  </si>
  <si>
    <t>NCVf</t>
  </si>
  <si>
    <t xml:space="preserve">Emission Factor (CO₂). Values can be found under EFDB - Main Page. Consider only CO₂ Emission Factor. (tCO2/TJ) </t>
  </si>
  <si>
    <t>EFb_f_CO2</t>
  </si>
  <si>
    <t>PEffpy</t>
  </si>
  <si>
    <t>Emission by Electricity</t>
  </si>
  <si>
    <t>emission_by_electricity</t>
  </si>
  <si>
    <t>Total Electricity Usage (kWh)</t>
  </si>
  <si>
    <t>ECp_y</t>
  </si>
  <si>
    <t>Emission Factor of grid Electricity (tCO2/kWh)</t>
  </si>
  <si>
    <t>EFec</t>
  </si>
  <si>
    <t>Transmission and Distribution Loss Factor (%)</t>
  </si>
  <si>
    <t>TDLec</t>
  </si>
  <si>
    <t>Emission By Electricity</t>
  </si>
  <si>
    <t>PEecpy</t>
  </si>
  <si>
    <t>Total Project Emission</t>
  </si>
  <si>
    <t>total_pe</t>
  </si>
  <si>
    <t>Leakage Emission (tCO2/kWh)</t>
  </si>
  <si>
    <t>Emission Reductions (ERy)</t>
  </si>
  <si>
    <t>emission_reduction</t>
  </si>
  <si>
    <t>Baseline Emission Factor</t>
  </si>
  <si>
    <t>baseline_emission_factor</t>
  </si>
  <si>
    <t>Proportion of end user who already use safe water (Cb) (Factor)</t>
  </si>
  <si>
    <t>proportion_safe_water_cb</t>
  </si>
  <si>
    <t>Proportion of end user that boils the safe water (Xcleanboil,y) (Factor)</t>
  </si>
  <si>
    <t>proportion_boiling_xcleanboil_y</t>
  </si>
  <si>
    <t>Water Quality Modifier (Mq,Y) (Factor)</t>
  </si>
  <si>
    <t>water_quality_modifier_mq_y</t>
  </si>
  <si>
    <t>Total Emission Reductions</t>
  </si>
  <si>
    <t>total_emission_reductions</t>
  </si>
  <si>
    <t>SDG Co-Benefits</t>
  </si>
  <si>
    <t>{"sdg_items":["Quality Education"],"evidence_uploads":["ipfs://&lt;example&gt;"]}</t>
  </si>
  <si>
    <t>sdg_cobenefits</t>
  </si>
  <si>
    <t>SDG Items (enum)</t>
  </si>
  <si>
    <t>SDG Items</t>
  </si>
  <si>
    <t>No Poverty</t>
  </si>
  <si>
    <t>sdg_items</t>
  </si>
  <si>
    <t>Evidence uploads</t>
  </si>
  <si>
    <t>ipfs://d525484a1d777dc6958849529c4fe51b</t>
  </si>
  <si>
    <t>evidence_uploads</t>
  </si>
  <si>
    <t>Sub-Schema</t>
  </si>
  <si>
    <t>Treatment Technology Sub-type (HWT, IWT)</t>
  </si>
  <si>
    <t>Fraction of non-renewable biomass assessment</t>
  </si>
  <si>
    <t>ipfs://ebf69e2a86777010b66094d86d0b566c</t>
  </si>
  <si>
    <t>Methodologies And Standardized Baseline</t>
  </si>
  <si>
    <t>fbdbbc41a5961d0822cdede8b51e027b</t>
  </si>
  <si>
    <t>e8f924d142dc645edb0b89ca71ee8926</t>
  </si>
  <si>
    <t>f3261077b191fa5993dc6edc43ba8d2a</t>
  </si>
  <si>
    <t>ipfs://83ca17ade7d8d6cbf011455477af13e0</t>
  </si>
  <si>
    <t>66d0c9208660d3f9749f2663b4d86c6d</t>
  </si>
  <si>
    <t>d95a5c24919c34bb1436f3c1bba1d09e</t>
  </si>
  <si>
    <t>ipfs://fa842124ec3f919931952fdd8fa26452</t>
  </si>
  <si>
    <t>2149680df6aadf930de6f9fa700dde91</t>
  </si>
  <si>
    <t>60610aef7bf65a690a2633070d2df6ea</t>
  </si>
  <si>
    <t>3b98dbcdf79ed3835aff9359a912ca70</t>
  </si>
  <si>
    <t>Baseline Treatment Method - Item</t>
  </si>
  <si>
    <t>d6359e14895faca6dbaa2852309217dc</t>
  </si>
  <si>
    <t>ipfs://3c17f76a158d9fe88626214a7e821960</t>
  </si>
  <si>
    <t>Project Boundary and Additionality Details</t>
  </si>
  <si>
    <t>ipfs://81dbc9b8cfc779a01d994187857ae6ec</t>
  </si>
  <si>
    <t>4f0c5ed89034bdc384f84d20f64eb9b7</t>
  </si>
  <si>
    <t>83a1ffd7b5513d5ea0db9ebbd1bc23c3</t>
  </si>
  <si>
    <t>ipfs://31bbd37775c46d35ab225592f0296c7d</t>
  </si>
  <si>
    <t>ipfs://8bf24fd8cff55007bf5881a7fdd91575</t>
  </si>
  <si>
    <t>ipfs://c64ddf3e1567ee0e0a7c1aa6b98d0e3c</t>
  </si>
  <si>
    <t>b8bbb711e35602940208168821c01bbe</t>
  </si>
  <si>
    <t>fa042bb1dfaee035d5144088e5b55e01</t>
  </si>
  <si>
    <t>30a0a85eb5eee443fcfc71af4309917b</t>
  </si>
  <si>
    <t>ipfs://86ad2efd177004dd3f5188c4720a11d2</t>
  </si>
  <si>
    <t>ipfs://c80527b7046698dfd1437994aee186bd</t>
  </si>
  <si>
    <t>ipfs://fab6c7caa9cdef09a6ab8493746edb28</t>
  </si>
  <si>
    <t>7c709e99a25cc3ad9f1c2e4cbf2a5bab</t>
  </si>
  <si>
    <t>Maintenance Plan for CWT/CWS</t>
  </si>
  <si>
    <t>ipfs://2735cd2ee10138855343f0d55fa021ff</t>
  </si>
  <si>
    <t>Sustainable Development Goals (SDG) Outcomes - Wrapper</t>
  </si>
  <si>
    <t>b19bf0fd8f6bccf8ec8e6686e9b63332</t>
  </si>
  <si>
    <t>da79af63b08f8c097b7d005278857d3a</t>
  </si>
  <si>
    <t>ipfs://fa9aaba50a5a1d98dff151ce893d6192</t>
  </si>
  <si>
    <t>439ed6538918d708ccbb574ec02291bf</t>
  </si>
  <si>
    <t>ipfs://d1d07a9937a002472115ea4636b92fdd</t>
  </si>
  <si>
    <t>ipfs://f50bf95e351d7f8db4aa362016e10f46</t>
  </si>
  <si>
    <t>Estimated Net Emission Reduction</t>
  </si>
  <si>
    <t>ipfs://872c537aabea558a6b236bdc1bcec16e</t>
  </si>
  <si>
    <t>Baseline Treatment Method - Wrapper</t>
  </si>
  <si>
    <t>618c67780791b2d700639d6d438326fb</t>
  </si>
  <si>
    <t>Data and Parameters to Be Monitored - Wrapper</t>
  </si>
  <si>
    <t>ipfs://9c077d969134ee92c3c8502882bc7314</t>
  </si>
  <si>
    <t>ipfs://21334597524805f438fd6180142afd95</t>
  </si>
  <si>
    <t>ipfs://4787f1acddb863d5e150bf797df6b2eb</t>
  </si>
  <si>
    <t>Data and parameters fixed ex ante for the SDG</t>
  </si>
  <si>
    <t>Treatment Technology Sub-type (CWT, CWS)</t>
  </si>
  <si>
    <t>Details related to technology replacement strategy during the crediting period</t>
  </si>
  <si>
    <t>45be20f81a196a83c3a6b8a1f3c53fb8</t>
  </si>
  <si>
    <t>Sustainable Development Goals (SDG) Outcomes - SDG-13</t>
  </si>
  <si>
    <t>54619ba313d5270db008ba0670ae90d9</t>
  </si>
  <si>
    <t>5fdb545cd6ca16c1b9adacc2c9488dc7</t>
  </si>
  <si>
    <t>14e4fd1e6deb53bfe693d295ebd20996</t>
  </si>
  <si>
    <t>96dcdbe83cddfff840f93247e9428440</t>
  </si>
  <si>
    <t>Project start and crediting period information</t>
  </si>
  <si>
    <t>Baseline Water Sources - Wrapper</t>
  </si>
  <si>
    <t>b184de54ea2346748a7b370403ed8889</t>
  </si>
  <si>
    <t>0095f88062cd8d77e56183bd6f06f93c</t>
  </si>
  <si>
    <t>ac5c365404559f95dd2c0513feabae53</t>
  </si>
  <si>
    <t>ipfs://dd8ee7adfe4e4f403dfc405e9db57498</t>
  </si>
  <si>
    <t>If the Project Installation is Rehabilitation</t>
  </si>
  <si>
    <t>13acc4f0fa9aa6e8357ffbbe2271f35d</t>
  </si>
  <si>
    <t>ipfs://a5ed994ac1d0b47d27ef203e1e1e3249</t>
  </si>
  <si>
    <t>ipfs://3ab4d440607e437b993ecc50d8c5935e</t>
  </si>
  <si>
    <t>6c236044590361186b0d498fea49f08f</t>
  </si>
  <si>
    <t>963bf1d0bc6542bc1c624f0243d78d61</t>
  </si>
  <si>
    <t>41351d41031d910a3ec7cdd6785ce517</t>
  </si>
  <si>
    <t>Methodologies and Standardized Baseline - Brief</t>
  </si>
  <si>
    <t>8560fa75276dd7b7530aa0a25e0b477c</t>
  </si>
  <si>
    <t>721c29dbc59286c9725b4a89b092521c</t>
  </si>
  <si>
    <t>8b723365f3d525d6b3781c2cd9fabffd</t>
  </si>
  <si>
    <t>88efc2347972886f83990ad5fc269a7a</t>
  </si>
  <si>
    <t>ipfs://c3ef23d147b24dffac21d6b88e230674</t>
  </si>
  <si>
    <t>144dd2fa851530c4905eb9403a684039</t>
  </si>
  <si>
    <t>1f1f3499ca4ec896b28ce5dee05264d7</t>
  </si>
  <si>
    <t>65ffe9a8eba6f921693b054cd16356ed</t>
  </si>
  <si>
    <t>62c490f0b5cd5177d328ca43be655ef1</t>
  </si>
  <si>
    <t>07840fc7cb457c526a5fe18ff1e530cc</t>
  </si>
  <si>
    <t>1f6e6f6cb062ff8c60ec32fda6f3f644</t>
  </si>
  <si>
    <t>21e483fe5823279b1dc839bdca40d698</t>
  </si>
  <si>
    <t>Monitoring report Basic Information</t>
  </si>
  <si>
    <t>5e1b9c0eb6df47c74171899cb19987e1</t>
  </si>
  <si>
    <t>09cda91be25396332f3541afaa53f545</t>
  </si>
  <si>
    <t>b5fe90e1ad9a07dde2463c3c4f026b55</t>
  </si>
  <si>
    <t>6f3cfe0dc48944519b94b6ce182e398b</t>
  </si>
  <si>
    <t>ipfs://e535555a4fece617e73e254897f71a5c</t>
  </si>
  <si>
    <t>ipfs://5a36b1ae8b11b75ecd72801b0516c614</t>
  </si>
  <si>
    <t>ipfs://b05124016723df276e832a08fb52c935</t>
  </si>
  <si>
    <t>8c1721f7d823fd5b94a94c80d3425f07</t>
  </si>
  <si>
    <t>ipfs://3ae8451a24b9c9a71e9abf39c19f759b</t>
  </si>
  <si>
    <t>ipfs://85f718808ecf250e86827ebdffbab601</t>
  </si>
  <si>
    <t>5f8594260f6a21c5411bc557c583c220</t>
  </si>
  <si>
    <t>efbb77ee687bf5a4f966a7b7add29646</t>
  </si>
  <si>
    <t>15a77d3307c1e024c016b8fbcc12be60</t>
  </si>
  <si>
    <t>08e24327242a830357ecc4251a049e6c</t>
  </si>
  <si>
    <t>80ccce6287945a4832eb2026c191deab</t>
  </si>
  <si>
    <t>Description of Monitoring System - Water Quality Monitoring</t>
  </si>
  <si>
    <t>3adbe4ddbd64a3d4ab31041a4087c2b9</t>
  </si>
  <si>
    <t>ipfs://e6f59ef40da70fcba7dc93ebe16e9597</t>
  </si>
  <si>
    <t>Description of Monitoring System - Operational Monitoring (CWT/CWS only)</t>
  </si>
  <si>
    <t xml:space="preserve">Operational Monitoring (CWT/CWS only) </t>
  </si>
  <si>
    <t>ipfs://e763fe03cc904dd2454848ac58cbd536</t>
  </si>
  <si>
    <t>Description of Monitoring System - CWT/CWS</t>
  </si>
  <si>
    <t>Description of Monitoring System - HWT/IWT</t>
  </si>
  <si>
    <t>d88d61fd2af6e36eb9d339c6329bd443</t>
  </si>
  <si>
    <t>Description of Monitoring System - Hygiene Campaign Monitoring</t>
  </si>
  <si>
    <t>ipfs://8bed3337a23a8ead09bde35033bd19e8</t>
  </si>
  <si>
    <t>8143023a463bacc3b75c11c4fe461ae5</t>
  </si>
  <si>
    <t>ipfs://897ddd2f1efe06a9f1d71c0ec67d3fcd</t>
  </si>
  <si>
    <t>ipfs://1ee08e8768e12864e00f56242646a71c</t>
  </si>
  <si>
    <t>83426ffe1a00541a91bddcee3c0a0287</t>
  </si>
  <si>
    <t>ipfs://a75d2ced1836d4979bc3ee832be4cbe2</t>
  </si>
  <si>
    <t xml:space="preserve">SDG Co-Benefits </t>
  </si>
  <si>
    <t>ipfs://b14b6a6a7ffdd7f8a0d93f300a218ef4</t>
  </si>
  <si>
    <t>ipfs://d83a56d7700a95ee3fe3018ed4055fc9</t>
  </si>
  <si>
    <t>Project Water Supply Premises - HWT/IWT</t>
  </si>
  <si>
    <t>Premises Water Usage Details - CWT/CWS</t>
  </si>
  <si>
    <t>Schema name</t>
  </si>
  <si>
    <t>Field name</t>
  </si>
  <si>
    <t>Loaded to IPFS</t>
  </si>
  <si>
    <t>Energy &amp; Waste</t>
  </si>
  <si>
    <t>Transport</t>
  </si>
  <si>
    <t>Land‑use and Forests</t>
  </si>
  <si>
    <t>Renewable Energy Labelling</t>
  </si>
  <si>
    <t>Gold Standard Micro‑scale</t>
  </si>
  <si>
    <t>Gold Standard for Sustainable Urban Development</t>
  </si>
  <si>
    <t>Energy distribution</t>
  </si>
  <si>
    <t>Energy demand</t>
  </si>
  <si>
    <t>Manufacturing industries</t>
  </si>
  <si>
    <t>Chemical industry</t>
  </si>
  <si>
    <t>Construction</t>
  </si>
  <si>
    <t>Mining / Mineral production</t>
  </si>
  <si>
    <t>Metal production</t>
  </si>
  <si>
    <t>Fugitive emissions from fuels (solid, oil, and gas)</t>
  </si>
  <si>
    <t>Fugitive emissions from production and consumption of halocarbons and sulphur hexafluoride</t>
  </si>
  <si>
    <t>Solvents use</t>
  </si>
  <si>
    <t>Waste handling and disposal</t>
  </si>
  <si>
    <t>Afforestation and reforestation</t>
  </si>
  <si>
    <t>Agriculture</t>
  </si>
  <si>
    <t>Carbon capture and storage</t>
  </si>
  <si>
    <t>Renewable</t>
  </si>
  <si>
    <t>Bio sand Filters</t>
  </si>
  <si>
    <t>Chlorine Dispensers</t>
  </si>
  <si>
    <t>UV Treatment Devices</t>
  </si>
  <si>
    <t>Solar Disinfection (SODIS)</t>
  </si>
  <si>
    <t>Other (specify)</t>
  </si>
  <si>
    <t>Rehabilitation</t>
  </si>
  <si>
    <t>Zero Emission</t>
  </si>
  <si>
    <t>Low Emission</t>
  </si>
  <si>
    <t>Small</t>
  </si>
  <si>
    <t>Large-Scale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</si>
  <si>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</si>
  <si>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</si>
  <si>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</si>
  <si>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</si>
  <si>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</si>
  <si>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</si>
  <si>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</si>
  <si>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</si>
  <si>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</si>
  <si>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</si>
  <si>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</si>
  <si>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</si>
  <si>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</si>
  <si>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</si>
  <si>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</si>
  <si>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</si>
  <si>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</si>
  <si>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</si>
  <si>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</si>
  <si>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</si>
  <si>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</si>
  <si>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</si>
  <si>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</si>
  <si>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</si>
  <si>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</si>
  <si>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</si>
  <si>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</si>
  <si>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</si>
  <si>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</si>
  <si>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</si>
  <si>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</si>
  <si>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</si>
  <si>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</si>
  <si>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</si>
  <si>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</si>
  <si>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</si>
  <si>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</si>
  <si>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</si>
  <si>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</si>
  <si>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</si>
  <si>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</si>
  <si>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</si>
  <si>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</si>
  <si>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</si>
  <si>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</si>
  <si>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</si>
  <si>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</si>
  <si>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</si>
  <si>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</si>
  <si>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</si>
  <si>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</si>
  <si>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</si>
  <si>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</si>
  <si>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</si>
  <si>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</si>
  <si>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</si>
  <si>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</si>
  <si>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</si>
  <si>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</si>
  <si>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Dhekelia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</si>
  <si>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</si>
  <si>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</si>
  <si>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</si>
  <si>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</si>
  <si>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</si>
  <si>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</si>
  <si>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</si>
  <si>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</si>
  <si>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</si>
  <si>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</si>
  <si>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</si>
  <si>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</si>
  <si>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</si>
  <si>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</si>
  <si>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</si>
  <si>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</si>
  <si>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</si>
  <si>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</si>
  <si>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</si>
  <si>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</si>
  <si>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</si>
  <si>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</si>
  <si>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</si>
  <si>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</si>
  <si>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</si>
  <si>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</si>
  <si>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</si>
  <si>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</si>
  <si>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</si>
  <si>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</si>
  <si>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</si>
  <si>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</si>
  <si>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</si>
  <si>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</si>
  <si>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</si>
  <si>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</si>
  <si>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</si>
  <si>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</si>
  <si>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</si>
  <si>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</si>
  <si>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</si>
  <si>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</si>
  <si>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</si>
  <si>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</si>
  <si>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</si>
  <si>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</si>
  <si>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</si>
  <si>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</si>
  <si>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</si>
  <si>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</si>
  <si>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</si>
  <si>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</si>
  <si>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</si>
  <si>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</si>
  <si>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</si>
  <si>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</si>
  <si>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</si>
  <si>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</si>
  <si>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</si>
  <si>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</si>
  <si>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</si>
  <si>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</si>
  <si>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</si>
  <si>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</si>
  <si>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</si>
  <si>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</si>
  <si>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</si>
  <si>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</si>
  <si>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</si>
  <si>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</si>
  <si>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</si>
  <si>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</si>
  <si>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</si>
  <si>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</si>
  <si>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</si>
  <si>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</si>
  <si>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</si>
  <si>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</si>
  <si>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</si>
  <si>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</si>
  <si>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</si>
  <si>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</si>
  <si>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</si>
  <si>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</si>
  <si>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</si>
  <si>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</si>
  <si>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</si>
  <si>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</si>
  <si>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</si>
  <si>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</si>
  <si>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</si>
  <si>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</si>
  <si>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</si>
  <si>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</si>
  <si>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</si>
  <si>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</si>
  <si>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</si>
  <si>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</si>
  <si>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</si>
  <si>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</si>
  <si>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</si>
  <si>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</si>
  <si>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</si>
  <si>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</si>
  <si>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</si>
  <si>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</si>
  <si>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</si>
  <si>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</si>
  <si>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</si>
  <si>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</si>
  <si>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</si>
  <si>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</si>
  <si>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</si>
  <si>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</si>
  <si>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</si>
  <si>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</si>
  <si>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</si>
  <si>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</si>
  <si>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</si>
  <si>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</si>
  <si>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</si>
  <si>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</si>
  <si>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</si>
  <si>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</si>
  <si>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</si>
  <si>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</si>
  <si>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</si>
  <si>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</si>
  <si>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</si>
  <si>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</si>
  <si>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</si>
  <si>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</si>
  <si>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</si>
  <si>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</si>
  <si>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</si>
  <si>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</si>
  <si>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</si>
  <si>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</si>
  <si>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</si>
  <si>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</si>
  <si>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</si>
  <si>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</si>
  <si>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</si>
  <si>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</si>
  <si>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</si>
  <si>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</si>
  <si>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</si>
  <si>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</si>
  <si>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</si>
  <si>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</si>
  <si>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</si>
  <si>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</si>
  <si>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</si>
  <si>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</si>
  <si>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</si>
  <si>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</si>
  <si>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</si>
  <si>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</si>
  <si>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</si>
  <si>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</si>
  <si>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</si>
  <si>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</si>
  <si>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</si>
  <si>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</si>
  <si>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</si>
  <si>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</si>
  <si>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</si>
  <si>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</si>
  <si>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</si>
  <si>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</si>
  <si>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</si>
  <si>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</si>
  <si>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</si>
  <si>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</si>
  <si>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</si>
  <si>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</si>
  <si>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</si>
  <si>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</si>
  <si>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</si>
  <si>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</si>
  <si>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</si>
  <si>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</si>
  <si>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</si>
  <si>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</si>
  <si>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</si>
  <si>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</si>
  <si>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</si>
  <si>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</si>
  <si>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Western Sahara</t>
  </si>
  <si>
    <t>Yemen</t>
  </si>
  <si>
    <t>Zambia</t>
  </si>
  <si>
    <t>Zimbabwe</t>
  </si>
  <si>
    <t>2. Zero Hunger</t>
  </si>
  <si>
    <t>3. Good Health and Well-Being</t>
  </si>
  <si>
    <t>4. Quality Education</t>
  </si>
  <si>
    <t>5. Gender Equality</t>
  </si>
  <si>
    <t>6. Clean Water and Sanitation</t>
  </si>
  <si>
    <t>7. Affordable and Clean Energy</t>
  </si>
  <si>
    <t>8. Decent Work and Economic Growth</t>
  </si>
  <si>
    <t>9. Industry, Innovation, and Infrastructure</t>
  </si>
  <si>
    <t>10. Reduced Inequalities</t>
  </si>
  <si>
    <t>11. Sustainable Cities and Communities</t>
  </si>
  <si>
    <t>12. Responsible Consumption and Production</t>
  </si>
  <si>
    <t>14. Life Below Water</t>
  </si>
  <si>
    <t>15. Life on Land</t>
  </si>
  <si>
    <t>16. Peace, Justice, and Strong Institutions</t>
  </si>
  <si>
    <t>17. Partnerships for the Goals</t>
  </si>
  <si>
    <t>HWT, IWT</t>
  </si>
  <si>
    <t>13. Climate Action</t>
  </si>
  <si>
    <t>Spring Protection System</t>
  </si>
  <si>
    <t>Surface Water Treatment Plant</t>
  </si>
  <si>
    <t>Rainwater Harvesting System</t>
  </si>
  <si>
    <t>Piped Water Distribution Network</t>
  </si>
  <si>
    <t>Desk Review</t>
  </si>
  <si>
    <t>Sampling Assessment</t>
  </si>
  <si>
    <t>Field Visit</t>
  </si>
  <si>
    <t>NGO</t>
  </si>
  <si>
    <t>Government Body</t>
  </si>
  <si>
    <t>Research Institute</t>
  </si>
  <si>
    <t>Other</t>
  </si>
  <si>
    <t>Rural</t>
  </si>
  <si>
    <t>Zero Hunger</t>
  </si>
  <si>
    <t>Good Health and Well-being</t>
  </si>
  <si>
    <t>Quality Education</t>
  </si>
  <si>
    <t>Gender Equality</t>
  </si>
  <si>
    <t>Clean Water and Sanitation</t>
  </si>
  <si>
    <t>Affordable and Clean Energy</t>
  </si>
  <si>
    <t>Decent Work and Economic Growth</t>
  </si>
  <si>
    <t>Industry, Innovation and Infrastructure</t>
  </si>
  <si>
    <t>Reduced Inequalities</t>
  </si>
  <si>
    <t>Sustainable Cities and Communities</t>
  </si>
  <si>
    <t>Responsible Consumption and Production</t>
  </si>
  <si>
    <t>Climate Action</t>
  </si>
  <si>
    <t>Life Below Water</t>
  </si>
  <si>
    <t>Life on Land</t>
  </si>
  <si>
    <t>Peace, Justice and Strong Institutions</t>
  </si>
  <si>
    <t>Partnerships for the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</si>
</sst>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  <font>
      <color rgb="FF000000"/>
      <sz val="18"/>
    </font>
  </fonts>
  <fills count="8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E2E2E2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 style="dashed">
        <color rgb="FF888888"/>
      </left>
      <right style="dashed">
        <color rgb="FF888888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2" fillId="7" borderId="3" xfId="0" applyFont="1" applyFill="1" applyBorder="1" applyAlignment="1"/>
    <xf numFmtId="0" fontId="4" fillId="7" borderId="3" xfId="0" applyFont="1" applyFill="1" applyBorder="1" applyAlignment="1">
      <alignment wrapText="1"/>
    </xf>
    <xf numFmtId="0" fontId="2" fillId="5" borderId="2" xfId="0" applyFont="1" applyFill="1" applyBorder="1" applyAlignment="1"/>
    <xf numFmtId="0" fontId="4" fillId="5" borderId="2" xfId="0" applyFont="1" applyFill="1" applyBorder="1" applyAlignment="1">
      <alignment wrapText="1"/>
    </xf>
    <xf numFmtId="0" fontId="1" fillId="0" borderId="1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Location Details&apos;!A1" TargetMode="External"/><Relationship Id="rId2" Type="http://schemas.openxmlformats.org/officeDocument/2006/relationships/hyperlink" Target="#&apos;Country&apos;!A1" TargetMode="External"/><Relationship Id="rId3" Type="http://schemas.openxmlformats.org/officeDocument/2006/relationships/hyperlink" Target="#&apos;Country 3 (enum)&apos;!A3" TargetMode="External"/><Relationship Id="rId4" Type="http://schemas.openxmlformats.org/officeDocument/2006/relationships/hyperlink" Target="#&apos;UrbanRural Classificati (enum)&apos;!A3" TargetMode="External"/><Relationship Id="rId5" Type="http://schemas.openxmlformats.org/officeDocument/2006/relationships/hyperlink" Target="#&apos;Project Developer Details&apos;!A1" TargetMode="External"/><Relationship Id="rId6" Type="http://schemas.openxmlformats.org/officeDocument/2006/relationships/hyperlink" Target="#&apos;Project Details&apos;!A1" TargetMode="External"/><Relationship Id="rId7" Type="http://schemas.openxmlformats.org/officeDocument/2006/relationships/hyperlink" Target="#&apos;Project Status (enum)&apos;!A3" TargetMode="External"/><Relationship Id="rId8" Type="http://schemas.openxmlformats.org/officeDocument/2006/relationships/hyperlink" Target="#&apos;Project Scale (enum)&apos;!A3" TargetMode="External"/><Relationship Id="rId9" Type="http://schemas.openxmlformats.org/officeDocument/2006/relationships/hyperlink" Target="#&apos;Contribution of the Project to&apos;!A1" TargetMode="External"/><Relationship Id="rId10" Type="http://schemas.openxmlformats.org/officeDocument/2006/relationships/hyperlink" Target="#&apos;Select the SDG (enum)&apos;!A3" TargetMode="External"/><Relationship Id="rId11" Type="http://schemas.openxmlformats.org/officeDocument/2006/relationships/hyperlink" Target="#&apos;Water Treatment Technology&apos;!A1" TargetMode="External"/><Relationship Id="rId12" Type="http://schemas.openxmlformats.org/officeDocument/2006/relationships/hyperlink" Target="#&apos;Treatment Technology Ca (enum)&apos;!A3" TargetMode="External"/><Relationship Id="rId13" Type="http://schemas.openxmlformats.org/officeDocument/2006/relationships/hyperlink" Target="#&apos;Treatment Technology Sub-type&apos;!A1" TargetMode="External"/><Relationship Id="rId14" Type="http://schemas.openxmlformats.org/officeDocument/2006/relationships/hyperlink" Target="#&apos;Treatment Technology Su (enum)&apos;!A3" TargetMode="External"/><Relationship Id="rId15" Type="http://schemas.openxmlformats.org/officeDocument/2006/relationships/hyperlink" Target="#&apos;Treatment Technology Sub-ty 2&apos;!A1" TargetMode="External"/><Relationship Id="rId16" Type="http://schemas.openxmlformats.org/officeDocument/2006/relationships/hyperlink" Target="#&apos;Treatment Technology 2 (enum)&apos;!A3" TargetMode="External"/><Relationship Id="rId17" Type="http://schemas.openxmlformats.org/officeDocument/2006/relationships/hyperlink" Target="#&apos;If the Project Installation is&apos;!A1" TargetMode="External"/><Relationship Id="rId18" Type="http://schemas.openxmlformats.org/officeDocument/2006/relationships/hyperlink" Target="#&apos;Upload Supporting Compliance D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Information&apos;!A1" TargetMode="External"/><Relationship Id="rId2" Type="http://schemas.openxmlformats.org/officeDocument/2006/relationships/hyperlink" Target="#&apos;Project Details&apos;!A1" TargetMode="External"/><Relationship Id="rId3" Type="http://schemas.openxmlformats.org/officeDocument/2006/relationships/hyperlink" Target="#&apos;Project Status (enum)&apos;!A3" TargetMode="External"/><Relationship Id="rId4" Type="http://schemas.openxmlformats.org/officeDocument/2006/relationships/hyperlink" Target="#&apos;Project Scale (enum)&apos;!A3" TargetMode="External"/><Relationship Id="rId5" Type="http://schemas.openxmlformats.org/officeDocument/2006/relationships/hyperlink" Target="#&apos;Contribution of the Project to&apos;!A1" TargetMode="External"/><Relationship Id="rId6" Type="http://schemas.openxmlformats.org/officeDocument/2006/relationships/hyperlink" Target="#&apos;Select the SDG (enum)&apos;!A3" TargetMode="External"/><Relationship Id="rId7" Type="http://schemas.openxmlformats.org/officeDocument/2006/relationships/hyperlink" Target="#&apos;Project Location Details&apos;!A1" TargetMode="External"/><Relationship Id="rId8" Type="http://schemas.openxmlformats.org/officeDocument/2006/relationships/hyperlink" Target="#&apos;Country&apos;!A1" TargetMode="External"/><Relationship Id="rId9" Type="http://schemas.openxmlformats.org/officeDocument/2006/relationships/hyperlink" Target="#&apos;Country 3 (enum)&apos;!A3" TargetMode="External"/><Relationship Id="rId10" Type="http://schemas.openxmlformats.org/officeDocument/2006/relationships/hyperlink" Target="#&apos;UrbanRural Classificati (enum)&apos;!A3" TargetMode="External"/><Relationship Id="rId11" Type="http://schemas.openxmlformats.org/officeDocument/2006/relationships/hyperlink" Target="#&apos;Project Developer Details&apos;!A1" TargetMode="External"/><Relationship Id="rId12" Type="http://schemas.openxmlformats.org/officeDocument/2006/relationships/hyperlink" Target="#&apos;Water Treatment Technology&apos;!A1" TargetMode="External"/><Relationship Id="rId13" Type="http://schemas.openxmlformats.org/officeDocument/2006/relationships/hyperlink" Target="#&apos;Treatment Technology Ca (enum)&apos;!A3" TargetMode="External"/><Relationship Id="rId14" Type="http://schemas.openxmlformats.org/officeDocument/2006/relationships/hyperlink" Target="#&apos;Treatment Technology Sub-type&apos;!A1" TargetMode="External"/><Relationship Id="rId15" Type="http://schemas.openxmlformats.org/officeDocument/2006/relationships/hyperlink" Target="#&apos;Treatment Technology Su (enum)&apos;!A3" TargetMode="External"/><Relationship Id="rId16" Type="http://schemas.openxmlformats.org/officeDocument/2006/relationships/hyperlink" Target="#&apos;Treatment Technology Sub-ty 2&apos;!A1" TargetMode="External"/><Relationship Id="rId17" Type="http://schemas.openxmlformats.org/officeDocument/2006/relationships/hyperlink" Target="#&apos;Treatment Technology 2 (enum)&apos;!A3" TargetMode="External"/><Relationship Id="rId18" Type="http://schemas.openxmlformats.org/officeDocument/2006/relationships/hyperlink" Target="#&apos;If the Project Installation is&apos;!A1" TargetMode="External"/><Relationship Id="rId19" Type="http://schemas.openxmlformats.org/officeDocument/2006/relationships/hyperlink" Target="#&apos;Replacement Strategy Details&apos;!A1" TargetMode="External"/><Relationship Id="rId20" Type="http://schemas.openxmlformats.org/officeDocument/2006/relationships/hyperlink" Target="#&apos;Methodologies and Standardized&apos;!A1" TargetMode="External"/><Relationship Id="rId21" Type="http://schemas.openxmlformats.org/officeDocument/2006/relationships/hyperlink" Target="#&apos;Baseline Water Sources - Wrapp&apos;!A1" TargetMode="External"/><Relationship Id="rId22" Type="http://schemas.openxmlformats.org/officeDocument/2006/relationships/hyperlink" Target="#&apos;Baseline Water Sources&apos;!A1" TargetMode="External"/><Relationship Id="rId23" Type="http://schemas.openxmlformats.org/officeDocument/2006/relationships/hyperlink" Target="#&apos;Water Source Type Details&apos;!A1" TargetMode="External"/><Relationship Id="rId24" Type="http://schemas.openxmlformats.org/officeDocument/2006/relationships/hyperlink" Target="#&apos;Baseline Treatment Method - Wr&apos;!A1" TargetMode="External"/><Relationship Id="rId25" Type="http://schemas.openxmlformats.org/officeDocument/2006/relationships/hyperlink" Target="#&apos;Baseline Treatment Method - It&apos;!A1" TargetMode="External"/><Relationship Id="rId26" Type="http://schemas.openxmlformats.org/officeDocument/2006/relationships/hyperlink" Target="#&apos;Baseline fuels usage - Wrapper&apos;!A1" TargetMode="External"/><Relationship Id="rId27" Type="http://schemas.openxmlformats.org/officeDocument/2006/relationships/hyperlink" Target="#&apos;Baseline fuels usage - Item&apos;!A1" TargetMode="External"/><Relationship Id="rId28" Type="http://schemas.openxmlformats.org/officeDocument/2006/relationships/hyperlink" Target="#&apos;Fraction of non-renewable biom&apos;!A1" TargetMode="External"/><Relationship Id="rId29" Type="http://schemas.openxmlformats.org/officeDocument/2006/relationships/hyperlink" Target="#&apos;Sustainable Development Goa 2&apos;!A1" TargetMode="External"/><Relationship Id="rId30" Type="http://schemas.openxmlformats.org/officeDocument/2006/relationships/hyperlink" Target="#&apos;Sustainable Development Goa 3&apos;!A1" TargetMode="External"/><Relationship Id="rId31" Type="http://schemas.openxmlformats.org/officeDocument/2006/relationships/hyperlink" Target="#&apos;Data and parameters fixed ex a&apos;!A1" TargetMode="External"/><Relationship Id="rId32" Type="http://schemas.openxmlformats.org/officeDocument/2006/relationships/hyperlink" Target="#&apos;Ex Ante Estimation of SDG Impa&apos;!A1" TargetMode="External"/><Relationship Id="rId33" Type="http://schemas.openxmlformats.org/officeDocument/2006/relationships/hyperlink" Target="#&apos;Sustainable Development Goals&apos;!A1" TargetMode="External"/><Relationship Id="rId34" Type="http://schemas.openxmlformats.org/officeDocument/2006/relationships/hyperlink" Target="#&apos;Select the relevant SDG (enum)&apos;!A3" TargetMode="External"/><Relationship Id="rId35" Type="http://schemas.openxmlformats.org/officeDocument/2006/relationships/hyperlink" Target="#&apos;Data and parameters fixed ex a&apos;!A1" TargetMode="External"/><Relationship Id="rId36" Type="http://schemas.openxmlformats.org/officeDocument/2006/relationships/hyperlink" Target="#&apos;Ex Ante Estimation of SDG Impa&apos;!A1" TargetMode="External"/><Relationship Id="rId37" Type="http://schemas.openxmlformats.org/officeDocument/2006/relationships/hyperlink" Target="#&apos;Project Crediting Period Detai&apos;!A1" TargetMode="External"/><Relationship Id="rId38" Type="http://schemas.openxmlformats.org/officeDocument/2006/relationships/hyperlink" Target="#&apos;Project Crediting Period 2&apos;!A1" TargetMode="External"/><Relationship Id="rId39" Type="http://schemas.openxmlformats.org/officeDocument/2006/relationships/hyperlink" Target="#&apos;Type of crediting Pe 2 (enum)&apos;!A3" TargetMode="External"/><Relationship Id="rId40" Type="http://schemas.openxmlformats.org/officeDocument/2006/relationships/hyperlink" Target="#&apos;Project Boundary and Additiona&apos;!A1" TargetMode="External"/><Relationship Id="rId41" Type="http://schemas.openxmlformats.org/officeDocument/2006/relationships/hyperlink" Target="#&apos;Baseline Scenario - Sources&apos;!A1" TargetMode="External"/><Relationship Id="rId42" Type="http://schemas.openxmlformats.org/officeDocument/2006/relationships/hyperlink" Target="#&apos;Source&apos;!A1" TargetMode="External"/><Relationship Id="rId43" Type="http://schemas.openxmlformats.org/officeDocument/2006/relationships/hyperlink" Target="#&apos;GHG Details&apos;!A1" TargetMode="External"/><Relationship Id="rId44" Type="http://schemas.openxmlformats.org/officeDocument/2006/relationships/hyperlink" Target="#&apos;Project Scenario - Sources&apos;!A1" TargetMode="External"/><Relationship Id="rId45" Type="http://schemas.openxmlformats.org/officeDocument/2006/relationships/hyperlink" Target="#&apos;Source&apos;!A1" TargetMode="External"/><Relationship Id="rId46" Type="http://schemas.openxmlformats.org/officeDocument/2006/relationships/hyperlink" Target="#&apos;GHG Details&apos;!A1" TargetMode="External"/><Relationship Id="rId47" Type="http://schemas.openxmlformats.org/officeDocument/2006/relationships/hyperlink" Target="#&apos;Host Country Regulatory Framew&apos;!A1" TargetMode="External"/><Relationship Id="rId48" Type="http://schemas.openxmlformats.org/officeDocument/2006/relationships/hyperlink" Target="#&apos;Monitoring Plan Summary&apos;!A1" TargetMode="External"/><Relationship Id="rId49" Type="http://schemas.openxmlformats.org/officeDocument/2006/relationships/hyperlink" Target="#&apos;Data and Parameters to Be Moni&apos;!A1" TargetMode="External"/><Relationship Id="rId50" Type="http://schemas.openxmlformats.org/officeDocument/2006/relationships/hyperlink" Target="#&apos;Relevant SDG (enum)&apos;!A3" TargetMode="External"/><Relationship Id="rId51" Type="http://schemas.openxmlformats.org/officeDocument/2006/relationships/hyperlink" Target="#&apos;Monitoring Parameter - Item&apos;!A1" TargetMode="External"/><Relationship Id="rId52" Type="http://schemas.openxmlformats.org/officeDocument/2006/relationships/hyperlink" Target="#&apos;Technology-Specific Details&apos;!A1" TargetMode="External"/><Relationship Id="rId53" Type="http://schemas.openxmlformats.org/officeDocument/2006/relationships/hyperlink" Target="#&apos;Treatment Technology 3 (enum)&apos;!A3" TargetMode="External"/><Relationship Id="rId54" Type="http://schemas.openxmlformats.org/officeDocument/2006/relationships/hyperlink" Target="#&apos;Maintenance Plan for CWTCWS&apos;!A1" TargetMode="External"/><Relationship Id="rId55" Type="http://schemas.openxmlformats.org/officeDocument/2006/relationships/hyperlink" Target="#&apos;Technology-Specific Details&apos;!A1" TargetMode="External"/><Relationship Id="rId56" Type="http://schemas.openxmlformats.org/officeDocument/2006/relationships/hyperlink" Target="#&apos;Treatment Technology 3 (enum)&apos;!A3" TargetMode="External"/><Relationship Id="rId57" Type="http://schemas.openxmlformats.org/officeDocument/2006/relationships/hyperlink" Target="#&apos;Maintenance Plan for CWTCW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3 (enum)&apos;!A3" TargetMode="External"/><Relationship Id="rId3" Type="http://schemas.openxmlformats.org/officeDocument/2006/relationships/hyperlink" Target="#&apos;Scope (enum)&apos;!A3" TargetMode="External"/><Relationship Id="rId4" Type="http://schemas.openxmlformats.org/officeDocument/2006/relationships/hyperlink" Target="#&apos;Accreditation Scope (enum)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Details&apos;!A1" TargetMode="External"/><Relationship Id="rId2" Type="http://schemas.openxmlformats.org/officeDocument/2006/relationships/hyperlink" Target="#&apos;Project Status (enum)&apos;!A3" TargetMode="External"/><Relationship Id="rId3" Type="http://schemas.openxmlformats.org/officeDocument/2006/relationships/hyperlink" Target="#&apos;Project Scale (enum)&apos;!A3" TargetMode="External"/><Relationship Id="rId4" Type="http://schemas.openxmlformats.org/officeDocument/2006/relationships/hyperlink" Target="#&apos;Contribution of the Project to&apos;!A1" TargetMode="External"/><Relationship Id="rId5" Type="http://schemas.openxmlformats.org/officeDocument/2006/relationships/hyperlink" Target="#&apos;Select the SDG (enum)&apos;!A3" TargetMode="External"/><Relationship Id="rId6" Type="http://schemas.openxmlformats.org/officeDocument/2006/relationships/hyperlink" Target="#&apos;Project Location Details&apos;!A1" TargetMode="External"/><Relationship Id="rId7" Type="http://schemas.openxmlformats.org/officeDocument/2006/relationships/hyperlink" Target="#&apos;Country&apos;!A1" TargetMode="External"/><Relationship Id="rId8" Type="http://schemas.openxmlformats.org/officeDocument/2006/relationships/hyperlink" Target="#&apos;Country 3 (enum)&apos;!A3" TargetMode="External"/><Relationship Id="rId9" Type="http://schemas.openxmlformats.org/officeDocument/2006/relationships/hyperlink" Target="#&apos;UrbanRural Classificati (enum)&apos;!A3" TargetMode="External"/><Relationship Id="rId10" Type="http://schemas.openxmlformats.org/officeDocument/2006/relationships/hyperlink" Target="#&apos;Project Developer Details&apos;!A1" TargetMode="External"/><Relationship Id="rId11" Type="http://schemas.openxmlformats.org/officeDocument/2006/relationships/hyperlink" Target="#&apos;Project Resource&apos;!A1" TargetMode="External"/><Relationship Id="rId12" Type="http://schemas.openxmlformats.org/officeDocument/2006/relationships/hyperlink" Target="#&apos;Water Treatment Technology&apos;!A1" TargetMode="External"/><Relationship Id="rId13" Type="http://schemas.openxmlformats.org/officeDocument/2006/relationships/hyperlink" Target="#&apos;Treatment Technology Ca (enum)&apos;!A3" TargetMode="External"/><Relationship Id="rId14" Type="http://schemas.openxmlformats.org/officeDocument/2006/relationships/hyperlink" Target="#&apos;Treatment Technology Sub-type&apos;!A1" TargetMode="External"/><Relationship Id="rId15" Type="http://schemas.openxmlformats.org/officeDocument/2006/relationships/hyperlink" Target="#&apos;Treatment Technology Su (enum)&apos;!A3" TargetMode="External"/><Relationship Id="rId16" Type="http://schemas.openxmlformats.org/officeDocument/2006/relationships/hyperlink" Target="#&apos;Treatment Technology Sub-ty 2&apos;!A1" TargetMode="External"/><Relationship Id="rId17" Type="http://schemas.openxmlformats.org/officeDocument/2006/relationships/hyperlink" Target="#&apos;Treatment Technology 2 (enum)&apos;!A3" TargetMode="External"/><Relationship Id="rId18" Type="http://schemas.openxmlformats.org/officeDocument/2006/relationships/hyperlink" Target="#&apos;If the Project Installation is&apos;!A1" TargetMode="External"/><Relationship Id="rId19" Type="http://schemas.openxmlformats.org/officeDocument/2006/relationships/hyperlink" Target="#&apos;Technology Eligibility Validat&apos;!A1" TargetMode="External"/><Relationship Id="rId20" Type="http://schemas.openxmlformats.org/officeDocument/2006/relationships/hyperlink" Target="#&apos;Yes or no with comments&apos;!A1" TargetMode="External"/><Relationship Id="rId21" Type="http://schemas.openxmlformats.org/officeDocument/2006/relationships/hyperlink" Target="#&apos;Yes or No (enum)&apos;!A3" TargetMode="External"/><Relationship Id="rId22" Type="http://schemas.openxmlformats.org/officeDocument/2006/relationships/hyperlink" Target="#&apos;Yes or no with comments&apos;!A1" TargetMode="External"/><Relationship Id="rId23" Type="http://schemas.openxmlformats.org/officeDocument/2006/relationships/hyperlink" Target="#&apos;Yes or No (enum)&apos;!A3" TargetMode="External"/><Relationship Id="rId24" Type="http://schemas.openxmlformats.org/officeDocument/2006/relationships/hyperlink" Target="#&apos;Yes or no with comments&apos;!A1" TargetMode="External"/><Relationship Id="rId25" Type="http://schemas.openxmlformats.org/officeDocument/2006/relationships/hyperlink" Target="#&apos;Yes or No (enum)&apos;!A3" TargetMode="External"/><Relationship Id="rId26" Type="http://schemas.openxmlformats.org/officeDocument/2006/relationships/hyperlink" Target="#&apos;Yes or no with comments&apos;!A1" TargetMode="External"/><Relationship Id="rId27" Type="http://schemas.openxmlformats.org/officeDocument/2006/relationships/hyperlink" Target="#&apos;Yes or No (enum)&apos;!A3" TargetMode="External"/><Relationship Id="rId28" Type="http://schemas.openxmlformats.org/officeDocument/2006/relationships/hyperlink" Target="#&apos;Yes or no with comments&apos;!A1" TargetMode="External"/><Relationship Id="rId29" Type="http://schemas.openxmlformats.org/officeDocument/2006/relationships/hyperlink" Target="#&apos;Yes or No (enum)&apos;!A3" TargetMode="External"/><Relationship Id="rId30" Type="http://schemas.openxmlformats.org/officeDocument/2006/relationships/hyperlink" Target="#&apos;Yes or no with comments&apos;!A1" TargetMode="External"/><Relationship Id="rId31" Type="http://schemas.openxmlformats.org/officeDocument/2006/relationships/hyperlink" Target="#&apos;Yes or No (enum)&apos;!A3" TargetMode="External"/><Relationship Id="rId32" Type="http://schemas.openxmlformats.org/officeDocument/2006/relationships/hyperlink" Target="#&apos;Yes or no with comments&apos;!A1" TargetMode="External"/><Relationship Id="rId33" Type="http://schemas.openxmlformats.org/officeDocument/2006/relationships/hyperlink" Target="#&apos;Yes or No (enum)&apos;!A3" TargetMode="External"/><Relationship Id="rId34" Type="http://schemas.openxmlformats.org/officeDocument/2006/relationships/hyperlink" Target="#&apos;Yes or no with comments&apos;!A1" TargetMode="External"/><Relationship Id="rId35" Type="http://schemas.openxmlformats.org/officeDocument/2006/relationships/hyperlink" Target="#&apos;Yes or No (enum)&apos;!A3" TargetMode="External"/><Relationship Id="rId36" Type="http://schemas.openxmlformats.org/officeDocument/2006/relationships/hyperlink" Target="#&apos;Yes or no with comments&apos;!A1" TargetMode="External"/><Relationship Id="rId37" Type="http://schemas.openxmlformats.org/officeDocument/2006/relationships/hyperlink" Target="#&apos;Yes or No (enum)&apos;!A3" TargetMode="External"/><Relationship Id="rId38" Type="http://schemas.openxmlformats.org/officeDocument/2006/relationships/hyperlink" Target="#&apos;Yes or no with comments&apos;!A1" TargetMode="External"/><Relationship Id="rId39" Type="http://schemas.openxmlformats.org/officeDocument/2006/relationships/hyperlink" Target="#&apos;Yes or No (enum)&apos;!A3" TargetMode="External"/><Relationship Id="rId40" Type="http://schemas.openxmlformats.org/officeDocument/2006/relationships/hyperlink" Target="#&apos;Yes or no with comments&apos;!A1" TargetMode="External"/><Relationship Id="rId41" Type="http://schemas.openxmlformats.org/officeDocument/2006/relationships/hyperlink" Target="#&apos;Yes or No (enum)&apos;!A3" TargetMode="External"/><Relationship Id="rId42" Type="http://schemas.openxmlformats.org/officeDocument/2006/relationships/hyperlink" Target="#&apos;Yes or no with comments&apos;!A1" TargetMode="External"/><Relationship Id="rId43" Type="http://schemas.openxmlformats.org/officeDocument/2006/relationships/hyperlink" Target="#&apos;Yes or No (enum)&apos;!A3" TargetMode="External"/><Relationship Id="rId44" Type="http://schemas.openxmlformats.org/officeDocument/2006/relationships/hyperlink" Target="#&apos;Methodologies and Standardi 2&apos;!A1" TargetMode="External"/><Relationship Id="rId45" Type="http://schemas.openxmlformats.org/officeDocument/2006/relationships/hyperlink" Target="#&apos;Baseline Emission&apos;!A1" TargetMode="External"/><Relationship Id="rId46" Type="http://schemas.openxmlformats.org/officeDocument/2006/relationships/hyperlink" Target="#&apos;Estimated Net Emission Reducti&apos;!A1" TargetMode="External"/><Relationship Id="rId47" Type="http://schemas.openxmlformats.org/officeDocument/2006/relationships/hyperlink" Target="#&apos;Project Crediting Period&apos;!A1" TargetMode="External"/><Relationship Id="rId48" Type="http://schemas.openxmlformats.org/officeDocument/2006/relationships/hyperlink" Target="#&apos;Type of crediting perio (enum)&apos;!A3" TargetMode="External"/><Relationship Id="rId49" Type="http://schemas.openxmlformats.org/officeDocument/2006/relationships/hyperlink" Target="#&apos;Baseline Assessment Validation&apos;!A1" TargetMode="External"/><Relationship Id="rId50" Type="http://schemas.openxmlformats.org/officeDocument/2006/relationships/hyperlink" Target="#&apos;Yes or no with comments&apos;!A1" TargetMode="External"/><Relationship Id="rId51" Type="http://schemas.openxmlformats.org/officeDocument/2006/relationships/hyperlink" Target="#&apos;Yes or No (enum)&apos;!A3" TargetMode="External"/><Relationship Id="rId52" Type="http://schemas.openxmlformats.org/officeDocument/2006/relationships/hyperlink" Target="#&apos;Yes or no with comments&apos;!A1" TargetMode="External"/><Relationship Id="rId53" Type="http://schemas.openxmlformats.org/officeDocument/2006/relationships/hyperlink" Target="#&apos;Yes or No (enum)&apos;!A3" TargetMode="External"/><Relationship Id="rId54" Type="http://schemas.openxmlformats.org/officeDocument/2006/relationships/hyperlink" Target="#&apos;Yes or no with comments&apos;!A1" TargetMode="External"/><Relationship Id="rId55" Type="http://schemas.openxmlformats.org/officeDocument/2006/relationships/hyperlink" Target="#&apos;Yes or No (enum)&apos;!A3" TargetMode="External"/><Relationship Id="rId56" Type="http://schemas.openxmlformats.org/officeDocument/2006/relationships/hyperlink" Target="#&apos;Yes or no with comments&apos;!A1" TargetMode="External"/><Relationship Id="rId57" Type="http://schemas.openxmlformats.org/officeDocument/2006/relationships/hyperlink" Target="#&apos;Yes or No (enum)&apos;!A3" TargetMode="External"/><Relationship Id="rId58" Type="http://schemas.openxmlformats.org/officeDocument/2006/relationships/hyperlink" Target="#&apos;Yes or no with comments&apos;!A1" TargetMode="External"/><Relationship Id="rId59" Type="http://schemas.openxmlformats.org/officeDocument/2006/relationships/hyperlink" Target="#&apos;Yes or No (enum)&apos;!A3" TargetMode="External"/><Relationship Id="rId60" Type="http://schemas.openxmlformats.org/officeDocument/2006/relationships/hyperlink" Target="#&apos;Yes or no with comments&apos;!A1" TargetMode="External"/><Relationship Id="rId61" Type="http://schemas.openxmlformats.org/officeDocument/2006/relationships/hyperlink" Target="#&apos;Yes or No (enum)&apos;!A3" TargetMode="External"/><Relationship Id="rId62" Type="http://schemas.openxmlformats.org/officeDocument/2006/relationships/hyperlink" Target="#&apos;Yes or no with comments&apos;!A1" TargetMode="External"/><Relationship Id="rId63" Type="http://schemas.openxmlformats.org/officeDocument/2006/relationships/hyperlink" Target="#&apos;Yes or No (enum)&apos;!A3" TargetMode="External"/><Relationship Id="rId64" Type="http://schemas.openxmlformats.org/officeDocument/2006/relationships/hyperlink" Target="#&apos;Yes or no with comments&apos;!A1" TargetMode="External"/><Relationship Id="rId65" Type="http://schemas.openxmlformats.org/officeDocument/2006/relationships/hyperlink" Target="#&apos;Yes or No (enum)&apos;!A3" TargetMode="External"/><Relationship Id="rId66" Type="http://schemas.openxmlformats.org/officeDocument/2006/relationships/hyperlink" Target="#&apos;Project Boundary Validation&apos;!A1" TargetMode="External"/><Relationship Id="rId67" Type="http://schemas.openxmlformats.org/officeDocument/2006/relationships/hyperlink" Target="#&apos;Yes or no with comments&apos;!A1" TargetMode="External"/><Relationship Id="rId68" Type="http://schemas.openxmlformats.org/officeDocument/2006/relationships/hyperlink" Target="#&apos;Yes or No (enum)&apos;!A3" TargetMode="External"/><Relationship Id="rId69" Type="http://schemas.openxmlformats.org/officeDocument/2006/relationships/hyperlink" Target="#&apos;Yes or no with comments&apos;!A1" TargetMode="External"/><Relationship Id="rId70" Type="http://schemas.openxmlformats.org/officeDocument/2006/relationships/hyperlink" Target="#&apos;Yes or No (enum)&apos;!A3" TargetMode="External"/><Relationship Id="rId71" Type="http://schemas.openxmlformats.org/officeDocument/2006/relationships/hyperlink" Target="#&apos;Yes or no with comments&apos;!A1" TargetMode="External"/><Relationship Id="rId72" Type="http://schemas.openxmlformats.org/officeDocument/2006/relationships/hyperlink" Target="#&apos;Yes or No (enum)&apos;!A3" TargetMode="External"/><Relationship Id="rId73" Type="http://schemas.openxmlformats.org/officeDocument/2006/relationships/hyperlink" Target="#&apos;Yes or no with comments&apos;!A1" TargetMode="External"/><Relationship Id="rId74" Type="http://schemas.openxmlformats.org/officeDocument/2006/relationships/hyperlink" Target="#&apos;Yes or No (enum)&apos;!A3" TargetMode="External"/><Relationship Id="rId75" Type="http://schemas.openxmlformats.org/officeDocument/2006/relationships/hyperlink" Target="#&apos;Additionality Validation&apos;!A1" TargetMode="External"/><Relationship Id="rId76" Type="http://schemas.openxmlformats.org/officeDocument/2006/relationships/hyperlink" Target="#&apos;Yes or no with comments&apos;!A1" TargetMode="External"/><Relationship Id="rId77" Type="http://schemas.openxmlformats.org/officeDocument/2006/relationships/hyperlink" Target="#&apos;Yes or No (enum)&apos;!A3" TargetMode="External"/><Relationship Id="rId78" Type="http://schemas.openxmlformats.org/officeDocument/2006/relationships/hyperlink" Target="#&apos;Yes or no with comments&apos;!A1" TargetMode="External"/><Relationship Id="rId79" Type="http://schemas.openxmlformats.org/officeDocument/2006/relationships/hyperlink" Target="#&apos;Yes or No (enum)&apos;!A3" TargetMode="External"/><Relationship Id="rId80" Type="http://schemas.openxmlformats.org/officeDocument/2006/relationships/hyperlink" Target="#&apos;Yes or no with comments&apos;!A1" TargetMode="External"/><Relationship Id="rId81" Type="http://schemas.openxmlformats.org/officeDocument/2006/relationships/hyperlink" Target="#&apos;Yes or No (enum)&apos;!A3" TargetMode="External"/><Relationship Id="rId82" Type="http://schemas.openxmlformats.org/officeDocument/2006/relationships/hyperlink" Target="#&apos;Yes or no with comments&apos;!A1" TargetMode="External"/><Relationship Id="rId83" Type="http://schemas.openxmlformats.org/officeDocument/2006/relationships/hyperlink" Target="#&apos;Yes or No (enum)&apos;!A3" TargetMode="External"/><Relationship Id="rId84" Type="http://schemas.openxmlformats.org/officeDocument/2006/relationships/hyperlink" Target="#&apos;Yes or no with comments&apos;!A1" TargetMode="External"/><Relationship Id="rId85" Type="http://schemas.openxmlformats.org/officeDocument/2006/relationships/hyperlink" Target="#&apos;Yes or No (enum)&apos;!A3" TargetMode="External"/><Relationship Id="rId86" Type="http://schemas.openxmlformats.org/officeDocument/2006/relationships/hyperlink" Target="#&apos;Monitoring Plan Validation&apos;!A1" TargetMode="External"/><Relationship Id="rId87" Type="http://schemas.openxmlformats.org/officeDocument/2006/relationships/hyperlink" Target="#&apos;Yes or no with comments&apos;!A1" TargetMode="External"/><Relationship Id="rId88" Type="http://schemas.openxmlformats.org/officeDocument/2006/relationships/hyperlink" Target="#&apos;Yes or No (enum)&apos;!A3" TargetMode="External"/><Relationship Id="rId89" Type="http://schemas.openxmlformats.org/officeDocument/2006/relationships/hyperlink" Target="#&apos;Yes or no with comments&apos;!A1" TargetMode="External"/><Relationship Id="rId90" Type="http://schemas.openxmlformats.org/officeDocument/2006/relationships/hyperlink" Target="#&apos;Yes or No (enum)&apos;!A3" TargetMode="External"/><Relationship Id="rId91" Type="http://schemas.openxmlformats.org/officeDocument/2006/relationships/hyperlink" Target="#&apos;Yes or no with comments&apos;!A1" TargetMode="External"/><Relationship Id="rId92" Type="http://schemas.openxmlformats.org/officeDocument/2006/relationships/hyperlink" Target="#&apos;Yes or No (enum)&apos;!A3" TargetMode="External"/><Relationship Id="rId93" Type="http://schemas.openxmlformats.org/officeDocument/2006/relationships/hyperlink" Target="#&apos;Yes or no with comments&apos;!A1" TargetMode="External"/><Relationship Id="rId94" Type="http://schemas.openxmlformats.org/officeDocument/2006/relationships/hyperlink" Target="#&apos;Yes or No (enum)&apos;!A3" TargetMode="External"/><Relationship Id="rId95" Type="http://schemas.openxmlformats.org/officeDocument/2006/relationships/hyperlink" Target="#&apos;Yes or no with comments&apos;!A1" TargetMode="External"/><Relationship Id="rId96" Type="http://schemas.openxmlformats.org/officeDocument/2006/relationships/hyperlink" Target="#&apos;Yes or No (enum)&apos;!A3" TargetMode="External"/><Relationship Id="rId97" Type="http://schemas.openxmlformats.org/officeDocument/2006/relationships/hyperlink" Target="#&apos;Yes or no with comments&apos;!A1" TargetMode="External"/><Relationship Id="rId98" Type="http://schemas.openxmlformats.org/officeDocument/2006/relationships/hyperlink" Target="#&apos;Yes or No (enum)&apos;!A3" TargetMode="External"/><Relationship Id="rId99" Type="http://schemas.openxmlformats.org/officeDocument/2006/relationships/hyperlink" Target="#&apos;Yes or no with comments&apos;!A1" TargetMode="External"/><Relationship Id="rId100" Type="http://schemas.openxmlformats.org/officeDocument/2006/relationships/hyperlink" Target="#&apos;Yes or No (enum)&apos;!A3" TargetMode="External"/><Relationship Id="rId101" Type="http://schemas.openxmlformats.org/officeDocument/2006/relationships/hyperlink" Target="#&apos;Yes or no with comments&apos;!A1" TargetMode="External"/><Relationship Id="rId102" Type="http://schemas.openxmlformats.org/officeDocument/2006/relationships/hyperlink" Target="#&apos;Yes or No (enum)&apos;!A3" TargetMode="External"/><Relationship Id="rId103" Type="http://schemas.openxmlformats.org/officeDocument/2006/relationships/hyperlink" Target="#&apos;Yes or no with comments&apos;!A1" TargetMode="External"/><Relationship Id="rId104" Type="http://schemas.openxmlformats.org/officeDocument/2006/relationships/hyperlink" Target="#&apos;Yes or No (enum)&apos;!A3" TargetMode="External"/><Relationship Id="rId105" Type="http://schemas.openxmlformats.org/officeDocument/2006/relationships/hyperlink" Target="#&apos;Yes or no with comments&apos;!A1" TargetMode="External"/><Relationship Id="rId106" Type="http://schemas.openxmlformats.org/officeDocument/2006/relationships/hyperlink" Target="#&apos;Yes or No (enum)&apos;!A3" TargetMode="External"/><Relationship Id="rId107" Type="http://schemas.openxmlformats.org/officeDocument/2006/relationships/hyperlink" Target="#&apos;Yes or no with comments&apos;!A1" TargetMode="External"/><Relationship Id="rId108" Type="http://schemas.openxmlformats.org/officeDocument/2006/relationships/hyperlink" Target="#&apos;Yes or No (enum)&apos;!A3" TargetMode="External"/><Relationship Id="rId109" Type="http://schemas.openxmlformats.org/officeDocument/2006/relationships/hyperlink" Target="#&apos;Yes or no with comments&apos;!A1" TargetMode="External"/><Relationship Id="rId110" Type="http://schemas.openxmlformats.org/officeDocument/2006/relationships/hyperlink" Target="#&apos;Yes or No (enum)&apos;!A3" TargetMode="External"/><Relationship Id="rId111" Type="http://schemas.openxmlformats.org/officeDocument/2006/relationships/hyperlink" Target="#&apos;Yes or no with comments&apos;!A1" TargetMode="External"/><Relationship Id="rId112" Type="http://schemas.openxmlformats.org/officeDocument/2006/relationships/hyperlink" Target="#&apos;Yes or No (enum)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Information&apos;!A1" TargetMode="External"/><Relationship Id="rId2" Type="http://schemas.openxmlformats.org/officeDocument/2006/relationships/hyperlink" Target="#&apos;Entity Type (enum)&apos;!A3" TargetMode="External"/><Relationship Id="rId3" Type="http://schemas.openxmlformats.org/officeDocument/2006/relationships/hyperlink" Target="#&apos;Contact Person Details&apos;!A1" TargetMode="External"/><Relationship Id="rId4" Type="http://schemas.openxmlformats.org/officeDocument/2006/relationships/hyperlink" Target="#&apos;Project Related Information&apos;!A1" TargetMode="External"/><Relationship Id="rId5" Type="http://schemas.openxmlformats.org/officeDocument/2006/relationships/hyperlink" Target="#&apos;Additional Information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Details&apos;!A1" TargetMode="External"/><Relationship Id="rId2" Type="http://schemas.openxmlformats.org/officeDocument/2006/relationships/hyperlink" Target="#&apos;Means of Verification&apos;!A1" TargetMode="External"/><Relationship Id="rId3" Type="http://schemas.openxmlformats.org/officeDocument/2006/relationships/hyperlink" Target="#&apos;Means of Verificatio 2 (enum)&apos;!A3" TargetMode="External"/><Relationship Id="rId4" Type="http://schemas.openxmlformats.org/officeDocument/2006/relationships/hyperlink" Target="#&apos;Monitoring Verification&apos;!A1" TargetMode="External"/><Relationship Id="rId5" Type="http://schemas.openxmlformats.org/officeDocument/2006/relationships/hyperlink" Target="#&apos;Verified Emissions&apos;!A1" TargetMode="External"/><Relationship Id="rId6" Type="http://schemas.openxmlformats.org/officeDocument/2006/relationships/hyperlink" Target="#&apos;Certification Statement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Details - Project Name&apos;!A1" TargetMode="External"/><Relationship Id="rId2" Type="http://schemas.openxmlformats.org/officeDocument/2006/relationships/hyperlink" Target="#&apos;Monitoring report Basic Inform&apos;!A1" TargetMode="External"/><Relationship Id="rId3" Type="http://schemas.openxmlformats.org/officeDocument/2006/relationships/hyperlink" Target="#&apos;Project Developer Details 2&apos;!A1" TargetMode="External"/><Relationship Id="rId4" Type="http://schemas.openxmlformats.org/officeDocument/2006/relationships/hyperlink" Target="#&apos;Water Treatment Technology 2&apos;!A1" TargetMode="External"/><Relationship Id="rId5" Type="http://schemas.openxmlformats.org/officeDocument/2006/relationships/hyperlink" Target="#&apos;Treatment Technology 6 (enum)&apos;!A3" TargetMode="External"/><Relationship Id="rId6" Type="http://schemas.openxmlformats.org/officeDocument/2006/relationships/hyperlink" Target="#&apos;Treatment Technology Sub-ty 3&apos;!A1" TargetMode="External"/><Relationship Id="rId7" Type="http://schemas.openxmlformats.org/officeDocument/2006/relationships/hyperlink" Target="#&apos;Treatment Technology 4 (enum)&apos;!A3" TargetMode="External"/><Relationship Id="rId8" Type="http://schemas.openxmlformats.org/officeDocument/2006/relationships/hyperlink" Target="#&apos;Treatment Technology Sub-ty 4&apos;!A1" TargetMode="External"/><Relationship Id="rId9" Type="http://schemas.openxmlformats.org/officeDocument/2006/relationships/hyperlink" Target="#&apos;Treatment Technology 5 (enum)&apos;!A3" TargetMode="External"/><Relationship Id="rId10" Type="http://schemas.openxmlformats.org/officeDocument/2006/relationships/hyperlink" Target="#&apos;If the Project Installation 2&apos;!A1" TargetMode="External"/><Relationship Id="rId11" Type="http://schemas.openxmlformats.org/officeDocument/2006/relationships/hyperlink" Target="#&apos;Project Location Details 2&apos;!A1" TargetMode="External"/><Relationship Id="rId12" Type="http://schemas.openxmlformats.org/officeDocument/2006/relationships/hyperlink" Target="#&apos;Country 2&apos;!A1" TargetMode="External"/><Relationship Id="rId13" Type="http://schemas.openxmlformats.org/officeDocument/2006/relationships/hyperlink" Target="#&apos;Country 4 (enum)&apos;!A3" TargetMode="External"/><Relationship Id="rId14" Type="http://schemas.openxmlformats.org/officeDocument/2006/relationships/hyperlink" Target="#&apos;UrbanRural Classific 2 (enum)&apos;!A3" TargetMode="External"/><Relationship Id="rId15" Type="http://schemas.openxmlformats.org/officeDocument/2006/relationships/hyperlink" Target="#&apos;Project Participants&apos;!A1" TargetMode="External"/><Relationship Id="rId16" Type="http://schemas.openxmlformats.org/officeDocument/2006/relationships/hyperlink" Target="#&apos;Implementation of Project Acti&apos;!A1" TargetMode="External"/><Relationship Id="rId17" Type="http://schemas.openxmlformats.org/officeDocument/2006/relationships/hyperlink" Target="#&apos;Description of Monitoring S 6&apos;!A1" TargetMode="External"/><Relationship Id="rId18" Type="http://schemas.openxmlformats.org/officeDocument/2006/relationships/hyperlink" Target="#&apos;Description of Monitoring Syst&apos;!A1" TargetMode="External"/><Relationship Id="rId19" Type="http://schemas.openxmlformats.org/officeDocument/2006/relationships/hyperlink" Target="#&apos;Treatment Technology 7 (enum)&apos;!A3" TargetMode="External"/><Relationship Id="rId20" Type="http://schemas.openxmlformats.org/officeDocument/2006/relationships/hyperlink" Target="#&apos;Description of Monitoring S 2&apos;!A1" TargetMode="External"/><Relationship Id="rId21" Type="http://schemas.openxmlformats.org/officeDocument/2006/relationships/hyperlink" Target="#&apos;Description of Monitoring S 3&apos;!A1" TargetMode="External"/><Relationship Id="rId22" Type="http://schemas.openxmlformats.org/officeDocument/2006/relationships/hyperlink" Target="#&apos;Description of Monitoring S 4&apos;!A1" TargetMode="External"/><Relationship Id="rId23" Type="http://schemas.openxmlformats.org/officeDocument/2006/relationships/hyperlink" Target="#&apos;Description of Monitoring S 5&apos;!A1" TargetMode="External"/><Relationship Id="rId24" Type="http://schemas.openxmlformats.org/officeDocument/2006/relationships/hyperlink" Target="#&apos;Calculation of Emission Reduct&apos;!A1" TargetMode="External"/><Relationship Id="rId25" Type="http://schemas.openxmlformats.org/officeDocument/2006/relationships/hyperlink" Target="#&apos;Location Based Details&apos;!A1" TargetMode="External"/><Relationship Id="rId26" Type="http://schemas.openxmlformats.org/officeDocument/2006/relationships/hyperlink" Target="#&apos;Stove Details Unit Schema&apos;!A1" TargetMode="External"/><Relationship Id="rId27" Type="http://schemas.openxmlformats.org/officeDocument/2006/relationships/hyperlink" Target="#&apos;Quantity of water&apos;!A1" TargetMode="External"/><Relationship Id="rId28" Type="http://schemas.openxmlformats.org/officeDocument/2006/relationships/hyperlink" Target="#&apos;Treatment Technology 8 (enum)&apos;!A3" TargetMode="External"/><Relationship Id="rId29" Type="http://schemas.openxmlformats.org/officeDocument/2006/relationships/hyperlink" Target="#&apos;Project Water Supply Premises&apos;!A1" TargetMode="External"/><Relationship Id="rId30" Type="http://schemas.openxmlformats.org/officeDocument/2006/relationships/hyperlink" Target="#&apos;Premises Water Usage Details -&apos;!A1" TargetMode="External"/><Relationship Id="rId31" Type="http://schemas.openxmlformats.org/officeDocument/2006/relationships/hyperlink" Target="#&apos;Project Emission&apos;!A1" TargetMode="External"/><Relationship Id="rId32" Type="http://schemas.openxmlformats.org/officeDocument/2006/relationships/hyperlink" Target="#&apos;Emission by fuel&apos;!A1" TargetMode="External"/><Relationship Id="rId33" Type="http://schemas.openxmlformats.org/officeDocument/2006/relationships/hyperlink" Target="#&apos;Emission by Electricity&apos;!A1" TargetMode="External"/><Relationship Id="rId34" Type="http://schemas.openxmlformats.org/officeDocument/2006/relationships/hyperlink" Target="#&apos;Leakage Emission&apos;!A1" TargetMode="External"/><Relationship Id="rId35" Type="http://schemas.openxmlformats.org/officeDocument/2006/relationships/hyperlink" Target="#&apos;SDG Co-Benefits&apos;!A1" TargetMode="External"/><Relationship Id="rId36" Type="http://schemas.openxmlformats.org/officeDocument/2006/relationships/hyperlink" Target="#&apos;SDG Items (enum)&apos;!A3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Type of crediting perio (enum)&apos;!A3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Source&apos;!A1" TargetMode="External"/><Relationship Id="rId2" Type="http://schemas.openxmlformats.org/officeDocument/2006/relationships/hyperlink" Target="#&apos;GHG Details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 (enum)&apos;!A3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Water Sources - Wrapp&apos;!A1" TargetMode="External"/><Relationship Id="rId2" Type="http://schemas.openxmlformats.org/officeDocument/2006/relationships/hyperlink" Target="#&apos;Baseline Water Sources&apos;!A1" TargetMode="External"/><Relationship Id="rId3" Type="http://schemas.openxmlformats.org/officeDocument/2006/relationships/hyperlink" Target="#&apos;Water Source Type Details&apos;!A1" TargetMode="External"/><Relationship Id="rId4" Type="http://schemas.openxmlformats.org/officeDocument/2006/relationships/hyperlink" Target="#&apos;Baseline Treatment Method - Wr&apos;!A1" TargetMode="External"/><Relationship Id="rId5" Type="http://schemas.openxmlformats.org/officeDocument/2006/relationships/hyperlink" Target="#&apos;Baseline Treatment Method - It&apos;!A1" TargetMode="External"/><Relationship Id="rId6" Type="http://schemas.openxmlformats.org/officeDocument/2006/relationships/hyperlink" Target="#&apos;Baseline fuels usage - Wrapper&apos;!A1" TargetMode="External"/><Relationship Id="rId7" Type="http://schemas.openxmlformats.org/officeDocument/2006/relationships/hyperlink" Target="#&apos;Baseline fuels usage - Item&apos;!A1" TargetMode="External"/><Relationship Id="rId8" Type="http://schemas.openxmlformats.org/officeDocument/2006/relationships/hyperlink" Target="#&apos;Fraction of non-renewable biom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Status (enum)&apos;!A3" TargetMode="External"/><Relationship Id="rId2" Type="http://schemas.openxmlformats.org/officeDocument/2006/relationships/hyperlink" Target="#&apos;Project Scale (enum)&apos;!A3" TargetMode="External"/><Relationship Id="rId3" Type="http://schemas.openxmlformats.org/officeDocument/2006/relationships/hyperlink" Target="#&apos;Contribution of the Project to&apos;!A1" TargetMode="External"/><Relationship Id="rId4" Type="http://schemas.openxmlformats.org/officeDocument/2006/relationships/hyperlink" Target="#&apos;Select the SDG (enum)&apos;!A3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(enum)&apos;!A3" TargetMode="External"/><Relationship Id="rId11" Type="http://schemas.openxmlformats.org/officeDocument/2006/relationships/hyperlink" Target="#&apos;Yes or no with comments&apos;!A1" TargetMode="External"/><Relationship Id="rId12" Type="http://schemas.openxmlformats.org/officeDocument/2006/relationships/hyperlink" Target="#&apos;Yes or No (enum)&apos;!A3" TargetMode="External"/><Relationship Id="rId13" Type="http://schemas.openxmlformats.org/officeDocument/2006/relationships/hyperlink" Target="#&apos;Yes or no with comments&apos;!A1" TargetMode="External"/><Relationship Id="rId14" Type="http://schemas.openxmlformats.org/officeDocument/2006/relationships/hyperlink" Target="#&apos;Yes or No (enum)&apos;!A3" TargetMode="External"/><Relationship Id="rId15" Type="http://schemas.openxmlformats.org/officeDocument/2006/relationships/hyperlink" Target="#&apos;Yes or no with comments&apos;!A1" TargetMode="External"/><Relationship Id="rId16" Type="http://schemas.openxmlformats.org/officeDocument/2006/relationships/hyperlink" Target="#&apos;Yes or No (enum)&apos;!A3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(enum)&apos;!A3" TargetMode="External"/><Relationship Id="rId11" Type="http://schemas.openxmlformats.org/officeDocument/2006/relationships/hyperlink" Target="#&apos;Yes or no with comments&apos;!A1" TargetMode="External"/><Relationship Id="rId12" Type="http://schemas.openxmlformats.org/officeDocument/2006/relationships/hyperlink" Target="#&apos;Yes or No (enum)&apos;!A3" TargetMode="External"/><Relationship Id="rId13" Type="http://schemas.openxmlformats.org/officeDocument/2006/relationships/hyperlink" Target="#&apos;Yes or no with comments&apos;!A1" TargetMode="External"/><Relationship Id="rId14" Type="http://schemas.openxmlformats.org/officeDocument/2006/relationships/hyperlink" Target="#&apos;Yes or No (enum)&apos;!A3" TargetMode="External"/><Relationship Id="rId15" Type="http://schemas.openxmlformats.org/officeDocument/2006/relationships/hyperlink" Target="#&apos;Yes or no with comments&apos;!A1" TargetMode="External"/><Relationship Id="rId16" Type="http://schemas.openxmlformats.org/officeDocument/2006/relationships/hyperlink" Target="#&apos;Yes or No (enum)&apos;!A3" TargetMode="External"/><Relationship Id="rId17" Type="http://schemas.openxmlformats.org/officeDocument/2006/relationships/hyperlink" Target="#&apos;Yes or no with comments&apos;!A1" TargetMode="External"/><Relationship Id="rId18" Type="http://schemas.openxmlformats.org/officeDocument/2006/relationships/hyperlink" Target="#&apos;Yes or No (enum)&apos;!A3" TargetMode="External"/><Relationship Id="rId19" Type="http://schemas.openxmlformats.org/officeDocument/2006/relationships/hyperlink" Target="#&apos;Yes or no with comments&apos;!A1" TargetMode="External"/><Relationship Id="rId20" Type="http://schemas.openxmlformats.org/officeDocument/2006/relationships/hyperlink" Target="#&apos;Yes or No (enum)&apos;!A3" TargetMode="External"/><Relationship Id="rId21" Type="http://schemas.openxmlformats.org/officeDocument/2006/relationships/hyperlink" Target="#&apos;Yes or no with comments&apos;!A1" TargetMode="External"/><Relationship Id="rId22" Type="http://schemas.openxmlformats.org/officeDocument/2006/relationships/hyperlink" Target="#&apos;Yes or No (enum)&apos;!A3" TargetMode="External"/><Relationship Id="rId23" Type="http://schemas.openxmlformats.org/officeDocument/2006/relationships/hyperlink" Target="#&apos;Yes or no with comments&apos;!A1" TargetMode="External"/><Relationship Id="rId24" Type="http://schemas.openxmlformats.org/officeDocument/2006/relationships/hyperlink" Target="#&apos;Yes or No (enum)&apos;!A3" TargetMode="External"/><Relationship Id="rId25" Type="http://schemas.openxmlformats.org/officeDocument/2006/relationships/hyperlink" Target="#&apos;Yes or no with comments&apos;!A1" TargetMode="External"/><Relationship Id="rId26" Type="http://schemas.openxmlformats.org/officeDocument/2006/relationships/hyperlink" Target="#&apos;Yes or No (enum)&apos;!A3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Scenario - Sources&apos;!A1" TargetMode="External"/><Relationship Id="rId2" Type="http://schemas.openxmlformats.org/officeDocument/2006/relationships/hyperlink" Target="#&apos;Source&apos;!A1" TargetMode="External"/><Relationship Id="rId3" Type="http://schemas.openxmlformats.org/officeDocument/2006/relationships/hyperlink" Target="#&apos;GHG Details&apos;!A1" TargetMode="External"/><Relationship Id="rId4" Type="http://schemas.openxmlformats.org/officeDocument/2006/relationships/hyperlink" Target="#&apos;Project Scenario - Sources&apos;!A1" TargetMode="External"/><Relationship Id="rId5" Type="http://schemas.openxmlformats.org/officeDocument/2006/relationships/hyperlink" Target="#&apos;Source&apos;!A1" TargetMode="External"/><Relationship Id="rId6" Type="http://schemas.openxmlformats.org/officeDocument/2006/relationships/hyperlink" Target="#&apos;GHG Details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3 (enum)&apos;!A3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Certification Statement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Data and Parameters to Be Moni&apos;!A1" TargetMode="External"/><Relationship Id="rId2" Type="http://schemas.openxmlformats.org/officeDocument/2006/relationships/hyperlink" Target="#&apos;Relevant SDG (enum)&apos;!A3" TargetMode="External"/><Relationship Id="rId3" Type="http://schemas.openxmlformats.org/officeDocument/2006/relationships/hyperlink" Target="#&apos;Monitoring Parameter - Item&apos;!A1" TargetMode="External"/><Relationship Id="rId4" Type="http://schemas.openxmlformats.org/officeDocument/2006/relationships/hyperlink" Target="#&apos;Technology-Specific Details&apos;!A1" TargetMode="External"/><Relationship Id="rId5" Type="http://schemas.openxmlformats.org/officeDocument/2006/relationships/hyperlink" Target="#&apos;Treatment Technology 3 (enum)&apos;!A3" TargetMode="External"/><Relationship Id="rId6" Type="http://schemas.openxmlformats.org/officeDocument/2006/relationships/hyperlink" Target="#&apos;Maintenance Plan for CWTCWS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(enum)&apos;!A3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Type Details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(enum)&apos;!A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Select the relevant SDG (enum)&apos;!A3" TargetMode="External"/><Relationship Id="rId2" Type="http://schemas.openxmlformats.org/officeDocument/2006/relationships/hyperlink" Target="#&apos;Data and parameters fixed ex a&apos;!A1" TargetMode="External"/><Relationship Id="rId3" Type="http://schemas.openxmlformats.org/officeDocument/2006/relationships/hyperlink" Target="#&apos;Ex Ante Estimation of SDG Impa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Sustainable Development Goa 3&apos;!A1" TargetMode="External"/><Relationship Id="rId2" Type="http://schemas.openxmlformats.org/officeDocument/2006/relationships/hyperlink" Target="#&apos;Data and parameters fixed ex a&apos;!A1" TargetMode="External"/><Relationship Id="rId3" Type="http://schemas.openxmlformats.org/officeDocument/2006/relationships/hyperlink" Target="#&apos;Ex Ante Estimation of SDG Impa&apos;!A1" TargetMode="External"/><Relationship Id="rId4" Type="http://schemas.openxmlformats.org/officeDocument/2006/relationships/hyperlink" Target="#&apos;Sustainable Development Goals&apos;!A1" TargetMode="External"/><Relationship Id="rId5" Type="http://schemas.openxmlformats.org/officeDocument/2006/relationships/hyperlink" Target="#&apos;Select the relevant SDG (enum)&apos;!A3" TargetMode="External"/><Relationship Id="rId6" Type="http://schemas.openxmlformats.org/officeDocument/2006/relationships/hyperlink" Target="#&apos;Data and parameters fixed ex a&apos;!A1" TargetMode="External"/><Relationship Id="rId7" Type="http://schemas.openxmlformats.org/officeDocument/2006/relationships/hyperlink" Target="#&apos;Ex Ante Estimation of SDG Impa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Ca (enum)&apos;!A3" TargetMode="External"/><Relationship Id="rId2" Type="http://schemas.openxmlformats.org/officeDocument/2006/relationships/hyperlink" Target="#&apos;Treatment Technology Sub-type&apos;!A1" TargetMode="External"/><Relationship Id="rId3" Type="http://schemas.openxmlformats.org/officeDocument/2006/relationships/hyperlink" Target="#&apos;Treatment Technology Su (enum)&apos;!A3" TargetMode="External"/><Relationship Id="rId4" Type="http://schemas.openxmlformats.org/officeDocument/2006/relationships/hyperlink" Target="#&apos;Treatment Technology Sub-ty 2&apos;!A1" TargetMode="External"/><Relationship Id="rId5" Type="http://schemas.openxmlformats.org/officeDocument/2006/relationships/hyperlink" Target="#&apos;Treatment Technology 2 (enum)&apos;!A3" TargetMode="External"/><Relationship Id="rId6" Type="http://schemas.openxmlformats.org/officeDocument/2006/relationships/hyperlink" Target="#&apos;If the Project Installation is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Treatment Method - It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Relevant SDG (enum)&apos;!A3" TargetMode="External"/><Relationship Id="rId2" Type="http://schemas.openxmlformats.org/officeDocument/2006/relationships/hyperlink" Target="#&apos;Monitoring Parameter - Item&apos;!A1" TargetMode="External"/><Relationship Id="rId3" Type="http://schemas.openxmlformats.org/officeDocument/2006/relationships/hyperlink" Target="#&apos;Technology-Specific Details&apos;!A1" TargetMode="External"/><Relationship Id="rId4" Type="http://schemas.openxmlformats.org/officeDocument/2006/relationships/hyperlink" Target="#&apos;Treatment Technology 3 (enum)&apos;!A3" TargetMode="External"/><Relationship Id="rId5" Type="http://schemas.openxmlformats.org/officeDocument/2006/relationships/hyperlink" Target="#&apos;Maintenance Plan for CWTCWS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Source&apos;!A1" TargetMode="External"/><Relationship Id="rId2" Type="http://schemas.openxmlformats.org/officeDocument/2006/relationships/hyperlink" Target="#&apos;GHG Details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2 (enum)&apos;!A3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Data and parameters fixed ex a&apos;!A1" TargetMode="External"/><Relationship Id="rId2" Type="http://schemas.openxmlformats.org/officeDocument/2006/relationships/hyperlink" Target="#&apos;Ex Ante Estimation of SDG Impa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Means of Verificatio 2 (enum)&apos;!A3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Select the SDG (enum)&apos;!A3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Crediting Period 2&apos;!A1" TargetMode="External"/><Relationship Id="rId2" Type="http://schemas.openxmlformats.org/officeDocument/2006/relationships/hyperlink" Target="#&apos;Type of crediting Pe 2 (enum)&apos;!A3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Water Sources&apos;!A1" TargetMode="External"/><Relationship Id="rId2" Type="http://schemas.openxmlformats.org/officeDocument/2006/relationships/hyperlink" Target="#&apos;Water Source Type Details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Type (enum)&apos;!A3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GHG Details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(enum)&apos;!A3" TargetMode="External"/><Relationship Id="rId11" Type="http://schemas.openxmlformats.org/officeDocument/2006/relationships/hyperlink" Target="#&apos;Yes or no with comments&apos;!A1" TargetMode="External"/><Relationship Id="rId12" Type="http://schemas.openxmlformats.org/officeDocument/2006/relationships/hyperlink" Target="#&apos;Yes or No (enum)&apos;!A3" TargetMode="External"/><Relationship Id="rId13" Type="http://schemas.openxmlformats.org/officeDocument/2006/relationships/hyperlink" Target="#&apos;Yes or no with comments&apos;!A1" TargetMode="External"/><Relationship Id="rId14" Type="http://schemas.openxmlformats.org/officeDocument/2006/relationships/hyperlink" Target="#&apos;Yes or No (enum)&apos;!A3" TargetMode="External"/><Relationship Id="rId15" Type="http://schemas.openxmlformats.org/officeDocument/2006/relationships/hyperlink" Target="#&apos;Yes or no with comments&apos;!A1" TargetMode="External"/><Relationship Id="rId16" Type="http://schemas.openxmlformats.org/officeDocument/2006/relationships/hyperlink" Target="#&apos;Yes or No (enum)&apos;!A3" TargetMode="External"/><Relationship Id="rId17" Type="http://schemas.openxmlformats.org/officeDocument/2006/relationships/hyperlink" Target="#&apos;Yes or no with comments&apos;!A1" TargetMode="External"/><Relationship Id="rId18" Type="http://schemas.openxmlformats.org/officeDocument/2006/relationships/hyperlink" Target="#&apos;Yes or No (enum)&apos;!A3" TargetMode="External"/><Relationship Id="rId19" Type="http://schemas.openxmlformats.org/officeDocument/2006/relationships/hyperlink" Target="#&apos;Yes or no with comments&apos;!A1" TargetMode="External"/><Relationship Id="rId20" Type="http://schemas.openxmlformats.org/officeDocument/2006/relationships/hyperlink" Target="#&apos;Yes or No (enum)&apos;!A3" TargetMode="External"/><Relationship Id="rId21" Type="http://schemas.openxmlformats.org/officeDocument/2006/relationships/hyperlink" Target="#&apos;Yes or no with comments&apos;!A1" TargetMode="External"/><Relationship Id="rId22" Type="http://schemas.openxmlformats.org/officeDocument/2006/relationships/hyperlink" Target="#&apos;Yes or No (enum)&apos;!A3" TargetMode="External"/><Relationship Id="rId23" Type="http://schemas.openxmlformats.org/officeDocument/2006/relationships/hyperlink" Target="#&apos;Yes or no with comments&apos;!A1" TargetMode="External"/><Relationship Id="rId24" Type="http://schemas.openxmlformats.org/officeDocument/2006/relationships/hyperlink" Target="#&apos;Yes or No (enum)&apos;!A3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fuels usage - Item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3 (enum)&apos;!A3" TargetMode="External"/><Relationship Id="rId2" Type="http://schemas.openxmlformats.org/officeDocument/2006/relationships/hyperlink" Target="#&apos;Maintenance Plan for CWTCWS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3 (enum)&apos;!A3" TargetMode="External"/><Relationship Id="rId3" Type="http://schemas.openxmlformats.org/officeDocument/2006/relationships/hyperlink" Target="#&apos;UrbanRural Classificati (enum)&apos;!A3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4 (enum)&apos;!A3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5 (enum)&apos;!A3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6 (enum)&apos;!A3" TargetMode="External"/><Relationship Id="rId2" Type="http://schemas.openxmlformats.org/officeDocument/2006/relationships/hyperlink" Target="#&apos;Treatment Technology Sub-ty 3&apos;!A1" TargetMode="External"/><Relationship Id="rId3" Type="http://schemas.openxmlformats.org/officeDocument/2006/relationships/hyperlink" Target="#&apos;Treatment Technology 4 (enum)&apos;!A3" TargetMode="External"/><Relationship Id="rId4" Type="http://schemas.openxmlformats.org/officeDocument/2006/relationships/hyperlink" Target="#&apos;Treatment Technology Sub-ty 4&apos;!A1" TargetMode="External"/><Relationship Id="rId5" Type="http://schemas.openxmlformats.org/officeDocument/2006/relationships/hyperlink" Target="#&apos;Treatment Technology 5 (enum)&apos;!A3" TargetMode="External"/><Relationship Id="rId6" Type="http://schemas.openxmlformats.org/officeDocument/2006/relationships/hyperlink" Target="#&apos;If the Project Installation 2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4 (enum)&apos;!A3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2&apos;!A1" TargetMode="External"/><Relationship Id="rId2" Type="http://schemas.openxmlformats.org/officeDocument/2006/relationships/hyperlink" Target="#&apos;Country 4 (enum)&apos;!A3" TargetMode="External"/><Relationship Id="rId3" Type="http://schemas.openxmlformats.org/officeDocument/2006/relationships/hyperlink" Target="#&apos;UrbanRural Classific 2 (enum)&apos;!A3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Description of Monitoring Syst&apos;!A1" TargetMode="External"/><Relationship Id="rId2" Type="http://schemas.openxmlformats.org/officeDocument/2006/relationships/hyperlink" Target="#&apos;Treatment Technology 7 (enum)&apos;!A3" TargetMode="External"/><Relationship Id="rId3" Type="http://schemas.openxmlformats.org/officeDocument/2006/relationships/hyperlink" Target="#&apos;Description of Monitoring S 2&apos;!A1" TargetMode="External"/><Relationship Id="rId4" Type="http://schemas.openxmlformats.org/officeDocument/2006/relationships/hyperlink" Target="#&apos;Description of Monitoring S 3&apos;!A1" TargetMode="External"/><Relationship Id="rId5" Type="http://schemas.openxmlformats.org/officeDocument/2006/relationships/hyperlink" Target="#&apos;Description of Monitoring S 4&apos;!A1" TargetMode="External"/><Relationship Id="rId6" Type="http://schemas.openxmlformats.org/officeDocument/2006/relationships/hyperlink" Target="#&apos;Description of Monitoring S 5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SDG Items (enum)&apos;!A3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Location Based Details&apos;!A1" TargetMode="External"/><Relationship Id="rId2" Type="http://schemas.openxmlformats.org/officeDocument/2006/relationships/hyperlink" Target="#&apos;Stove Details Unit Schema&apos;!A1" TargetMode="External"/><Relationship Id="rId3" Type="http://schemas.openxmlformats.org/officeDocument/2006/relationships/hyperlink" Target="#&apos;Quantity of water&apos;!A1" TargetMode="External"/><Relationship Id="rId4" Type="http://schemas.openxmlformats.org/officeDocument/2006/relationships/hyperlink" Target="#&apos;Treatment Technology 8 (enum)&apos;!A3" TargetMode="External"/><Relationship Id="rId5" Type="http://schemas.openxmlformats.org/officeDocument/2006/relationships/hyperlink" Target="#&apos;Project Water Supply Premises&apos;!A1" TargetMode="External"/><Relationship Id="rId6" Type="http://schemas.openxmlformats.org/officeDocument/2006/relationships/hyperlink" Target="#&apos;Premises Water Usage Details -&apos;!A1" TargetMode="External"/><Relationship Id="rId7" Type="http://schemas.openxmlformats.org/officeDocument/2006/relationships/hyperlink" Target="#&apos;Project Emission&apos;!A1" TargetMode="External"/><Relationship Id="rId8" Type="http://schemas.openxmlformats.org/officeDocument/2006/relationships/hyperlink" Target="#&apos;Emission by fuel&apos;!A1" TargetMode="External"/><Relationship Id="rId9" Type="http://schemas.openxmlformats.org/officeDocument/2006/relationships/hyperlink" Target="#&apos;Emission by Electricity&apos;!A1" TargetMode="External"/><Relationship Id="rId10" Type="http://schemas.openxmlformats.org/officeDocument/2006/relationships/hyperlink" Target="#&apos;Leakage Emission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8 (enum)&apos;!A3" TargetMode="External"/><Relationship Id="rId2" Type="http://schemas.openxmlformats.org/officeDocument/2006/relationships/hyperlink" Target="#&apos;Project Water Supply Premises&apos;!A1" TargetMode="External"/><Relationship Id="rId3" Type="http://schemas.openxmlformats.org/officeDocument/2006/relationships/hyperlink" Target="#&apos;Premises Water Usage Details -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Emission by fuel&apos;!A1" TargetMode="External"/><Relationship Id="rId2" Type="http://schemas.openxmlformats.org/officeDocument/2006/relationships/hyperlink" Target="#&apos;Emission by Electricity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Stove Details Unit Schema&apos;!A1" TargetMode="External"/><Relationship Id="rId2" Type="http://schemas.openxmlformats.org/officeDocument/2006/relationships/hyperlink" Target="#&apos;Quantity of water&apos;!A1" TargetMode="External"/><Relationship Id="rId3" Type="http://schemas.openxmlformats.org/officeDocument/2006/relationships/hyperlink" Target="#&apos;Treatment Technology 8 (enum)&apos;!A3" TargetMode="External"/><Relationship Id="rId4" Type="http://schemas.openxmlformats.org/officeDocument/2006/relationships/hyperlink" Target="#&apos;Project Water Supply Premises&apos;!A1" TargetMode="External"/><Relationship Id="rId5" Type="http://schemas.openxmlformats.org/officeDocument/2006/relationships/hyperlink" Target="#&apos;Premises Water Usage Details -&apos;!A1" TargetMode="External"/><Relationship Id="rId6" Type="http://schemas.openxmlformats.org/officeDocument/2006/relationships/hyperlink" Target="#&apos;Project Emission&apos;!A1" TargetMode="External"/><Relationship Id="rId7" Type="http://schemas.openxmlformats.org/officeDocument/2006/relationships/hyperlink" Target="#&apos;Emission by fuel&apos;!A1" TargetMode="External"/><Relationship Id="rId8" Type="http://schemas.openxmlformats.org/officeDocument/2006/relationships/hyperlink" Target="#&apos;Emission by Electricity&apos;!A1" TargetMode="External"/><Relationship Id="rId9" Type="http://schemas.openxmlformats.org/officeDocument/2006/relationships/hyperlink" Target="#&apos;Leakage Emission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16</v>
      </c>
      <c r="C5" s="5" t="s">
        <v>17</v>
      </c>
      <c r="D5" s="5"/>
      <c r="E5" s="5" t="s">
        <v>16</v>
      </c>
      <c r="F5" s="5" t="s">
        <v>15</v>
      </c>
      <c r="G5" s="5" t="s">
        <v>18</v>
      </c>
      <c r="H5" s="5" t="s">
        <v>17</v>
      </c>
      <c r="I5" s="5" t="s">
        <v>17</v>
      </c>
      <c r="J5" s="5" t="s">
        <v>19</v>
      </c>
    </row>
    <row r="6" spans="1:10" x14ac:dyDescent="0.25" outlineLevel="1" collapsed="1">
      <c r="A6" s="7" t="s">
        <v>15</v>
      </c>
      <c r="B6" s="8" t="s">
        <v>20</v>
      </c>
      <c r="C6" s="7" t="s">
        <v>17</v>
      </c>
      <c r="D6" s="7"/>
      <c r="E6" s="7" t="s">
        <v>20</v>
      </c>
      <c r="F6" s="7" t="s">
        <v>21</v>
      </c>
      <c r="G6" s="7" t="s">
        <v>17</v>
      </c>
      <c r="H6" s="7" t="s">
        <v>17</v>
      </c>
      <c r="I6" s="7" t="s">
        <v>17</v>
      </c>
      <c r="J6" s="7" t="s">
        <v>22</v>
      </c>
    </row>
    <row r="7" spans="1:10" x14ac:dyDescent="0.25" outlineLevel="2" collapsed="1">
      <c r="A7" s="9" t="s">
        <v>15</v>
      </c>
      <c r="B7" s="9" t="s">
        <v>23</v>
      </c>
      <c r="C7" s="10" t="s">
        <v>24</v>
      </c>
      <c r="D7" s="9"/>
      <c r="E7" s="9" t="s">
        <v>20</v>
      </c>
      <c r="F7" s="9" t="s">
        <v>21</v>
      </c>
      <c r="G7" s="9" t="s">
        <v>25</v>
      </c>
      <c r="H7" s="9" t="s">
        <v>17</v>
      </c>
      <c r="I7" s="9" t="s">
        <v>17</v>
      </c>
      <c r="J7" s="9" t="s">
        <v>22</v>
      </c>
    </row>
    <row r="8" spans="1:10" x14ac:dyDescent="0.25" outlineLevel="1" collapsed="1">
      <c r="A8" s="9" t="s">
        <v>15</v>
      </c>
      <c r="B8" s="9" t="s">
        <v>26</v>
      </c>
      <c r="C8" s="9" t="s">
        <v>27</v>
      </c>
      <c r="D8" s="9"/>
      <c r="E8" s="9" t="s">
        <v>28</v>
      </c>
      <c r="F8" s="9" t="s">
        <v>21</v>
      </c>
      <c r="G8" s="9" t="s">
        <v>29</v>
      </c>
      <c r="H8" s="9" t="s">
        <v>17</v>
      </c>
      <c r="I8" s="9" t="s">
        <v>17</v>
      </c>
      <c r="J8" s="9" t="s">
        <v>30</v>
      </c>
    </row>
    <row r="9" spans="1:10" x14ac:dyDescent="0.25" outlineLevel="1" collapsed="1">
      <c r="A9" s="9" t="s">
        <v>15</v>
      </c>
      <c r="B9" s="9" t="s">
        <v>26</v>
      </c>
      <c r="C9" s="9" t="s">
        <v>31</v>
      </c>
      <c r="D9" s="9"/>
      <c r="E9" s="9" t="s">
        <v>32</v>
      </c>
      <c r="F9" s="9" t="s">
        <v>21</v>
      </c>
      <c r="G9" s="9" t="s">
        <v>33</v>
      </c>
      <c r="H9" s="9" t="s">
        <v>17</v>
      </c>
      <c r="I9" s="9" t="s">
        <v>17</v>
      </c>
      <c r="J9" s="9" t="s">
        <v>34</v>
      </c>
    </row>
    <row r="10" spans="1:10" x14ac:dyDescent="0.25" outlineLevel="1" collapsed="1">
      <c r="A10" s="9" t="s">
        <v>15</v>
      </c>
      <c r="B10" s="9" t="s">
        <v>26</v>
      </c>
      <c r="C10" s="9" t="s">
        <v>35</v>
      </c>
      <c r="D10" s="9"/>
      <c r="E10" s="9" t="s">
        <v>36</v>
      </c>
      <c r="F10" s="9" t="s">
        <v>21</v>
      </c>
      <c r="G10" s="9" t="s">
        <v>37</v>
      </c>
      <c r="H10" s="9" t="s">
        <v>17</v>
      </c>
      <c r="I10" s="9" t="s">
        <v>17</v>
      </c>
      <c r="J10" s="9" t="s">
        <v>38</v>
      </c>
    </row>
    <row r="11" spans="1:10" x14ac:dyDescent="0.25" outlineLevel="1" collapsed="1">
      <c r="A11" s="9" t="s">
        <v>15</v>
      </c>
      <c r="B11" s="9" t="s">
        <v>23</v>
      </c>
      <c r="C11" s="10" t="s">
        <v>39</v>
      </c>
      <c r="D11" s="9"/>
      <c r="E11" s="9" t="s">
        <v>40</v>
      </c>
      <c r="F11" s="9" t="s">
        <v>21</v>
      </c>
      <c r="G11" s="9" t="s">
        <v>41</v>
      </c>
      <c r="H11" s="9" t="s">
        <v>17</v>
      </c>
      <c r="I11" s="9" t="s">
        <v>17</v>
      </c>
      <c r="J11" s="9" t="s">
        <v>42</v>
      </c>
    </row>
    <row r="12" spans="1:10" x14ac:dyDescent="0.25" outlineLevel="1" collapsed="1">
      <c r="A12" s="9" t="s">
        <v>15</v>
      </c>
      <c r="B12" s="9" t="s">
        <v>43</v>
      </c>
      <c r="C12" s="9" t="s">
        <v>17</v>
      </c>
      <c r="D12" s="9"/>
      <c r="E12" s="9" t="s">
        <v>44</v>
      </c>
      <c r="F12" s="9" t="s">
        <v>21</v>
      </c>
      <c r="G12" s="9" t="s">
        <v>17</v>
      </c>
      <c r="H12" s="9" t="s">
        <v>17</v>
      </c>
      <c r="I12" s="9" t="s">
        <v>17</v>
      </c>
      <c r="J12" s="9" t="s">
        <v>19</v>
      </c>
    </row>
    <row r="13" spans="1:10" x14ac:dyDescent="0.25" outlineLevel="1" collapsed="1">
      <c r="A13" s="9" t="s">
        <v>15</v>
      </c>
      <c r="B13" s="9" t="s">
        <v>26</v>
      </c>
      <c r="C13" s="9" t="s">
        <v>45</v>
      </c>
      <c r="D13" s="9"/>
      <c r="E13" s="9" t="s">
        <v>46</v>
      </c>
      <c r="F13" s="9" t="s">
        <v>21</v>
      </c>
      <c r="G13" s="9" t="s">
        <v>47</v>
      </c>
      <c r="H13" s="9" t="s">
        <v>17</v>
      </c>
      <c r="I13" s="9" t="s">
        <v>17</v>
      </c>
      <c r="J13" s="9" t="s">
        <v>48</v>
      </c>
    </row>
    <row r="14" spans="1:10" x14ac:dyDescent="0.25" outlineLevel="1" collapsed="1">
      <c r="A14" s="9" t="s">
        <v>15</v>
      </c>
      <c r="B14" s="9" t="s">
        <v>26</v>
      </c>
      <c r="C14" s="9" t="s">
        <v>49</v>
      </c>
      <c r="D14" s="9"/>
      <c r="E14" s="9" t="s">
        <v>50</v>
      </c>
      <c r="F14" s="9" t="s">
        <v>21</v>
      </c>
      <c r="G14" s="9" t="s">
        <v>51</v>
      </c>
      <c r="H14" s="9" t="s">
        <v>17</v>
      </c>
      <c r="I14" s="9" t="s">
        <v>17</v>
      </c>
      <c r="J14" s="9" t="s">
        <v>52</v>
      </c>
    </row>
    <row r="15" spans="1:10" x14ac:dyDescent="0.25">
      <c r="A15" s="5" t="s">
        <v>15</v>
      </c>
      <c r="B15" s="6" t="s">
        <v>53</v>
      </c>
      <c r="C15" s="5" t="s">
        <v>17</v>
      </c>
      <c r="D15" s="5"/>
      <c r="E15" s="5" t="s">
        <v>53</v>
      </c>
      <c r="F15" s="5" t="s">
        <v>21</v>
      </c>
      <c r="G15" s="5" t="s">
        <v>54</v>
      </c>
      <c r="H15" s="5" t="s">
        <v>17</v>
      </c>
      <c r="I15" s="5" t="s">
        <v>17</v>
      </c>
      <c r="J15" s="5" t="s">
        <v>55</v>
      </c>
    </row>
    <row r="16" spans="1:10" x14ac:dyDescent="0.25" outlineLevel="1" collapsed="1">
      <c r="A16" s="9" t="s">
        <v>15</v>
      </c>
      <c r="B16" s="9" t="s">
        <v>56</v>
      </c>
      <c r="C16" s="9" t="s">
        <v>17</v>
      </c>
      <c r="D16" s="9"/>
      <c r="E16" s="9" t="s">
        <v>57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59</v>
      </c>
    </row>
    <row r="17" spans="1:10" x14ac:dyDescent="0.25" outlineLevel="1" collapsed="1">
      <c r="A17" s="9" t="s">
        <v>15</v>
      </c>
      <c r="B17" s="9" t="s">
        <v>60</v>
      </c>
      <c r="C17" s="9" t="s">
        <v>17</v>
      </c>
      <c r="D17" s="9"/>
      <c r="E17" s="9" t="s">
        <v>61</v>
      </c>
      <c r="F17" s="9" t="s">
        <v>21</v>
      </c>
      <c r="G17" s="9" t="s">
        <v>62</v>
      </c>
      <c r="H17" s="9" t="s">
        <v>17</v>
      </c>
      <c r="I17" s="9" t="s">
        <v>17</v>
      </c>
      <c r="J17" s="9" t="s">
        <v>63</v>
      </c>
    </row>
    <row r="18" spans="1:10" x14ac:dyDescent="0.25" outlineLevel="1" collapsed="1">
      <c r="A18" s="9" t="s">
        <v>15</v>
      </c>
      <c r="B18" s="9" t="s">
        <v>56</v>
      </c>
      <c r="C18" s="9" t="s">
        <v>17</v>
      </c>
      <c r="D18" s="9"/>
      <c r="E18" s="9" t="s">
        <v>64</v>
      </c>
      <c r="F18" s="9" t="s">
        <v>21</v>
      </c>
      <c r="G18" s="9" t="s">
        <v>58</v>
      </c>
      <c r="H18" s="9" t="s">
        <v>17</v>
      </c>
      <c r="I18" s="9" t="s">
        <v>17</v>
      </c>
      <c r="J18" s="9" t="s">
        <v>65</v>
      </c>
    </row>
    <row r="19" spans="1:10" x14ac:dyDescent="0.25" outlineLevel="1" collapsed="1">
      <c r="A19" s="9" t="s">
        <v>15</v>
      </c>
      <c r="B19" s="9" t="s">
        <v>26</v>
      </c>
      <c r="C19" s="9" t="s">
        <v>66</v>
      </c>
      <c r="D19" s="9"/>
      <c r="E19" s="9" t="s">
        <v>67</v>
      </c>
      <c r="F19" s="9" t="s">
        <v>21</v>
      </c>
      <c r="G19" s="9" t="s">
        <v>68</v>
      </c>
      <c r="H19" s="9" t="s">
        <v>17</v>
      </c>
      <c r="I19" s="9" t="s">
        <v>17</v>
      </c>
      <c r="J19" s="9" t="s">
        <v>69</v>
      </c>
    </row>
    <row r="20" spans="1:10" x14ac:dyDescent="0.25" outlineLevel="1" collapsed="1">
      <c r="A20" s="9" t="s">
        <v>21</v>
      </c>
      <c r="B20" s="9" t="s">
        <v>26</v>
      </c>
      <c r="C20" s="9" t="s">
        <v>66</v>
      </c>
      <c r="D20" s="9"/>
      <c r="E20" s="9" t="s">
        <v>70</v>
      </c>
      <c r="F20" s="9" t="s">
        <v>21</v>
      </c>
      <c r="G20" s="9" t="s">
        <v>71</v>
      </c>
      <c r="H20" s="9" t="s">
        <v>17</v>
      </c>
      <c r="I20" s="9" t="s">
        <v>17</v>
      </c>
      <c r="J20" s="9" t="s">
        <v>72</v>
      </c>
    </row>
    <row r="21" spans="1:10" x14ac:dyDescent="0.25" outlineLevel="1" collapsed="1">
      <c r="A21" s="9" t="s">
        <v>21</v>
      </c>
      <c r="B21" s="9" t="s">
        <v>56</v>
      </c>
      <c r="C21" s="9" t="s">
        <v>17</v>
      </c>
      <c r="D21" s="9"/>
      <c r="E21" s="9" t="s">
        <v>73</v>
      </c>
      <c r="F21" s="9" t="s">
        <v>21</v>
      </c>
      <c r="G21" s="9" t="s">
        <v>58</v>
      </c>
      <c r="H21" s="9" t="s">
        <v>17</v>
      </c>
      <c r="I21" s="9" t="s">
        <v>17</v>
      </c>
      <c r="J21" s="9" t="s">
        <v>74</v>
      </c>
    </row>
    <row r="22" spans="1:10" x14ac:dyDescent="0.25" outlineLevel="1" collapsed="1">
      <c r="A22" s="9" t="s">
        <v>21</v>
      </c>
      <c r="B22" s="9" t="s">
        <v>26</v>
      </c>
      <c r="C22" s="9" t="s">
        <v>75</v>
      </c>
      <c r="D22" s="9"/>
      <c r="E22" s="9" t="s">
        <v>76</v>
      </c>
      <c r="F22" s="9" t="s">
        <v>21</v>
      </c>
      <c r="G22" s="9" t="s">
        <v>77</v>
      </c>
      <c r="H22" s="9" t="s">
        <v>17</v>
      </c>
      <c r="I22" s="9" t="s">
        <v>17</v>
      </c>
      <c r="J22" s="9" t="s">
        <v>78</v>
      </c>
    </row>
    <row r="23" spans="1:10" x14ac:dyDescent="0.25" outlineLevel="1" collapsed="1">
      <c r="A23" s="9" t="s">
        <v>15</v>
      </c>
      <c r="B23" s="9" t="s">
        <v>79</v>
      </c>
      <c r="C23" s="9" t="s">
        <v>17</v>
      </c>
      <c r="D23" s="9"/>
      <c r="E23" s="9" t="s">
        <v>80</v>
      </c>
      <c r="F23" s="9" t="s">
        <v>21</v>
      </c>
      <c r="G23" s="9">
        <v>1</v>
      </c>
      <c r="H23" s="9" t="s">
        <v>17</v>
      </c>
      <c r="I23" s="9" t="s">
        <v>17</v>
      </c>
      <c r="J23" s="9" t="s">
        <v>81</v>
      </c>
    </row>
    <row r="24" spans="1:10" x14ac:dyDescent="0.25">
      <c r="A24" s="5" t="s">
        <v>15</v>
      </c>
      <c r="B24" s="6" t="s">
        <v>82</v>
      </c>
      <c r="C24" s="5" t="s">
        <v>17</v>
      </c>
      <c r="D24" s="5"/>
      <c r="E24" s="5" t="s">
        <v>82</v>
      </c>
      <c r="F24" s="5" t="s">
        <v>21</v>
      </c>
      <c r="G24" s="5" t="s">
        <v>83</v>
      </c>
      <c r="H24" s="5" t="s">
        <v>17</v>
      </c>
      <c r="I24" s="5" t="s">
        <v>17</v>
      </c>
      <c r="J24" s="5" t="s">
        <v>84</v>
      </c>
    </row>
    <row r="25" spans="1:10" x14ac:dyDescent="0.25" outlineLevel="1" collapsed="1">
      <c r="A25" s="9" t="s">
        <v>15</v>
      </c>
      <c r="B25" s="9" t="s">
        <v>26</v>
      </c>
      <c r="C25" s="9" t="s">
        <v>85</v>
      </c>
      <c r="D25" s="9"/>
      <c r="E25" s="9" t="s">
        <v>86</v>
      </c>
      <c r="F25" s="9" t="s">
        <v>21</v>
      </c>
      <c r="G25" s="9" t="s">
        <v>87</v>
      </c>
      <c r="H25" s="9" t="s">
        <v>17</v>
      </c>
      <c r="I25" s="9" t="s">
        <v>17</v>
      </c>
      <c r="J25" s="9" t="s">
        <v>88</v>
      </c>
    </row>
    <row r="26" spans="1:10" x14ac:dyDescent="0.25" outlineLevel="1" collapsed="1">
      <c r="A26" s="9" t="s">
        <v>15</v>
      </c>
      <c r="B26" s="9" t="s">
        <v>89</v>
      </c>
      <c r="C26" s="9" t="s">
        <v>17</v>
      </c>
      <c r="D26" s="9"/>
      <c r="E26" s="9" t="s">
        <v>90</v>
      </c>
      <c r="F26" s="9" t="s">
        <v>21</v>
      </c>
      <c r="G26" s="9" t="s">
        <v>91</v>
      </c>
      <c r="H26" s="9" t="s">
        <v>17</v>
      </c>
      <c r="I26" s="9" t="s">
        <v>17</v>
      </c>
      <c r="J26" s="9" t="s">
        <v>92</v>
      </c>
    </row>
    <row r="27" spans="1:10" x14ac:dyDescent="0.25" outlineLevel="1" collapsed="1">
      <c r="A27" s="9" t="s">
        <v>15</v>
      </c>
      <c r="B27" s="9" t="s">
        <v>89</v>
      </c>
      <c r="C27" s="9" t="s">
        <v>17</v>
      </c>
      <c r="D27" s="9"/>
      <c r="E27" s="9" t="s">
        <v>93</v>
      </c>
      <c r="F27" s="9" t="s">
        <v>21</v>
      </c>
      <c r="G27" s="9" t="s">
        <v>91</v>
      </c>
      <c r="H27" s="9" t="s">
        <v>17</v>
      </c>
      <c r="I27" s="9" t="s">
        <v>17</v>
      </c>
      <c r="J27" s="9" t="s">
        <v>94</v>
      </c>
    </row>
    <row r="28" spans="1:10" x14ac:dyDescent="0.25" outlineLevel="1" collapsed="1">
      <c r="A28" s="9" t="s">
        <v>15</v>
      </c>
      <c r="B28" s="9" t="s">
        <v>23</v>
      </c>
      <c r="C28" s="10" t="s">
        <v>95</v>
      </c>
      <c r="D28" s="9"/>
      <c r="E28" s="9" t="s">
        <v>96</v>
      </c>
      <c r="F28" s="9" t="s">
        <v>21</v>
      </c>
      <c r="G28" s="9" t="s">
        <v>97</v>
      </c>
      <c r="H28" s="9" t="s">
        <v>17</v>
      </c>
      <c r="I28" s="9" t="s">
        <v>17</v>
      </c>
      <c r="J28" s="9" t="s">
        <v>98</v>
      </c>
    </row>
    <row r="29" spans="1:10" x14ac:dyDescent="0.25" outlineLevel="1" collapsed="1">
      <c r="A29" s="9" t="s">
        <v>15</v>
      </c>
      <c r="B29" s="9" t="s">
        <v>26</v>
      </c>
      <c r="C29" s="9" t="s">
        <v>99</v>
      </c>
      <c r="D29" s="9"/>
      <c r="E29" s="9" t="s">
        <v>100</v>
      </c>
      <c r="F29" s="9" t="s">
        <v>21</v>
      </c>
      <c r="G29" s="9" t="s">
        <v>101</v>
      </c>
      <c r="H29" s="9" t="s">
        <v>17</v>
      </c>
      <c r="I29" s="9" t="s">
        <v>17</v>
      </c>
      <c r="J29" s="9" t="s">
        <v>102</v>
      </c>
    </row>
    <row r="30" spans="1:10" x14ac:dyDescent="0.25" outlineLevel="1" collapsed="1">
      <c r="A30" s="9" t="s">
        <v>15</v>
      </c>
      <c r="B30" s="9" t="s">
        <v>23</v>
      </c>
      <c r="C30" s="10" t="s">
        <v>103</v>
      </c>
      <c r="D30" s="9"/>
      <c r="E30" s="9" t="s">
        <v>104</v>
      </c>
      <c r="F30" s="9" t="s">
        <v>21</v>
      </c>
      <c r="G30" s="9" t="s">
        <v>105</v>
      </c>
      <c r="H30" s="9" t="s">
        <v>17</v>
      </c>
      <c r="I30" s="9" t="s">
        <v>17</v>
      </c>
      <c r="J30" s="9" t="s">
        <v>106</v>
      </c>
    </row>
    <row r="31" spans="1:10" x14ac:dyDescent="0.25" outlineLevel="1" collapsed="1">
      <c r="A31" s="9" t="s">
        <v>15</v>
      </c>
      <c r="B31" s="9" t="s">
        <v>56</v>
      </c>
      <c r="C31" s="9" t="s">
        <v>17</v>
      </c>
      <c r="D31" s="9"/>
      <c r="E31" s="9" t="s">
        <v>107</v>
      </c>
      <c r="F31" s="9" t="s">
        <v>21</v>
      </c>
      <c r="G31" s="9" t="s">
        <v>58</v>
      </c>
      <c r="H31" s="9" t="s">
        <v>17</v>
      </c>
      <c r="I31" s="9" t="s">
        <v>17</v>
      </c>
      <c r="J31" s="9" t="s">
        <v>108</v>
      </c>
    </row>
    <row r="32" spans="1:10" x14ac:dyDescent="0.25" outlineLevel="1" collapsed="1">
      <c r="A32" s="7" t="s">
        <v>15</v>
      </c>
      <c r="B32" s="8" t="s">
        <v>109</v>
      </c>
      <c r="C32" s="7" t="s">
        <v>17</v>
      </c>
      <c r="D32" s="7"/>
      <c r="E32" s="7" t="s">
        <v>110</v>
      </c>
      <c r="F32" s="7" t="s">
        <v>15</v>
      </c>
      <c r="G32" s="7" t="s">
        <v>17</v>
      </c>
      <c r="H32" s="7" t="s">
        <v>17</v>
      </c>
      <c r="I32" s="7" t="s">
        <v>17</v>
      </c>
      <c r="J32" s="7" t="s">
        <v>111</v>
      </c>
    </row>
    <row r="33" spans="1:10" x14ac:dyDescent="0.25" outlineLevel="2" collapsed="1">
      <c r="A33" s="9" t="s">
        <v>15</v>
      </c>
      <c r="B33" s="9" t="s">
        <v>23</v>
      </c>
      <c r="C33" s="10" t="s">
        <v>112</v>
      </c>
      <c r="D33" s="9"/>
      <c r="E33" s="9" t="s">
        <v>113</v>
      </c>
      <c r="F33" s="9" t="s">
        <v>21</v>
      </c>
      <c r="G33" s="9" t="s">
        <v>114</v>
      </c>
      <c r="H33" s="9" t="s">
        <v>17</v>
      </c>
      <c r="I33" s="9" t="s">
        <v>17</v>
      </c>
      <c r="J33" s="9" t="s">
        <v>115</v>
      </c>
    </row>
    <row r="34" spans="1:10" x14ac:dyDescent="0.25" outlineLevel="2" collapsed="1">
      <c r="A34" s="9" t="s">
        <v>15</v>
      </c>
      <c r="B34" s="9" t="s">
        <v>56</v>
      </c>
      <c r="C34" s="9" t="s">
        <v>17</v>
      </c>
      <c r="D34" s="9"/>
      <c r="E34" s="9" t="s">
        <v>116</v>
      </c>
      <c r="F34" s="9" t="s">
        <v>21</v>
      </c>
      <c r="G34" s="9" t="s">
        <v>58</v>
      </c>
      <c r="H34" s="9" t="s">
        <v>17</v>
      </c>
      <c r="I34" s="9" t="s">
        <v>17</v>
      </c>
      <c r="J34" s="9" t="s">
        <v>117</v>
      </c>
    </row>
    <row r="35" spans="1:10" x14ac:dyDescent="0.25" outlineLevel="1" collapsed="1">
      <c r="A35" s="9" t="s">
        <v>15</v>
      </c>
      <c r="B35" s="9" t="s">
        <v>56</v>
      </c>
      <c r="C35" s="9" t="s">
        <v>17</v>
      </c>
      <c r="D35" s="9"/>
      <c r="E35" s="9" t="s">
        <v>118</v>
      </c>
      <c r="F35" s="9" t="s">
        <v>21</v>
      </c>
      <c r="G35" s="9" t="s">
        <v>58</v>
      </c>
      <c r="H35" s="9" t="s">
        <v>17</v>
      </c>
      <c r="I35" s="9" t="s">
        <v>17</v>
      </c>
      <c r="J35" s="9" t="s">
        <v>119</v>
      </c>
    </row>
    <row r="36" spans="1:10" x14ac:dyDescent="0.25">
      <c r="A36" s="5" t="s">
        <v>15</v>
      </c>
      <c r="B36" s="6" t="s">
        <v>120</v>
      </c>
      <c r="C36" s="5" t="s">
        <v>17</v>
      </c>
      <c r="D36" s="5"/>
      <c r="E36" s="5" t="s">
        <v>120</v>
      </c>
      <c r="F36" s="5" t="s">
        <v>21</v>
      </c>
      <c r="G36" s="5" t="s">
        <v>17</v>
      </c>
      <c r="H36" s="5" t="s">
        <v>17</v>
      </c>
      <c r="I36" s="5" t="s">
        <v>17</v>
      </c>
      <c r="J36" s="5" t="s">
        <v>121</v>
      </c>
    </row>
    <row r="37" spans="1:10" x14ac:dyDescent="0.25" outlineLevel="1" collapsed="1">
      <c r="A37" s="9" t="s">
        <v>15</v>
      </c>
      <c r="B37" s="9" t="s">
        <v>23</v>
      </c>
      <c r="C37" s="10" t="s">
        <v>122</v>
      </c>
      <c r="D37" s="9"/>
      <c r="E37" s="9" t="s">
        <v>123</v>
      </c>
      <c r="F37" s="9" t="s">
        <v>21</v>
      </c>
      <c r="G37" s="9" t="s">
        <v>124</v>
      </c>
      <c r="H37" s="9" t="s">
        <v>17</v>
      </c>
      <c r="I37" s="9" t="s">
        <v>17</v>
      </c>
      <c r="J37" s="9" t="s">
        <v>125</v>
      </c>
    </row>
    <row r="38" spans="1:10" x14ac:dyDescent="0.25" outlineLevel="1" collapsed="1">
      <c r="A38" s="7" t="s">
        <v>21</v>
      </c>
      <c r="B38" s="8" t="s">
        <v>126</v>
      </c>
      <c r="C38" s="7" t="s">
        <v>17</v>
      </c>
      <c r="D38" s="7">
        <f>EXACT(G37,"HWT, IWT")</f>
      </c>
      <c r="E38" s="7" t="s">
        <v>126</v>
      </c>
      <c r="F38" s="7" t="s">
        <v>21</v>
      </c>
      <c r="G38" s="7" t="s">
        <v>17</v>
      </c>
      <c r="H38" s="7" t="s">
        <v>17</v>
      </c>
      <c r="I38" s="7" t="s">
        <v>17</v>
      </c>
      <c r="J38" s="7" t="s">
        <v>127</v>
      </c>
    </row>
    <row r="39" spans="1:10" x14ac:dyDescent="0.25" outlineLevel="2" collapsed="1">
      <c r="A39" s="9" t="s">
        <v>15</v>
      </c>
      <c r="B39" s="9" t="s">
        <v>23</v>
      </c>
      <c r="C39" s="10" t="s">
        <v>128</v>
      </c>
      <c r="D39" s="9"/>
      <c r="E39" s="9" t="s">
        <v>126</v>
      </c>
      <c r="F39" s="9" t="s">
        <v>21</v>
      </c>
      <c r="G39" s="9" t="s">
        <v>129</v>
      </c>
      <c r="H39" s="9" t="s">
        <v>17</v>
      </c>
      <c r="I39" s="9" t="s">
        <v>17</v>
      </c>
      <c r="J39" s="9" t="s">
        <v>130</v>
      </c>
    </row>
    <row r="40" spans="1:10" x14ac:dyDescent="0.25" outlineLevel="2" collapsed="1">
      <c r="A40" s="9" t="s">
        <v>21</v>
      </c>
      <c r="B40" s="9" t="s">
        <v>56</v>
      </c>
      <c r="C40" s="9" t="s">
        <v>17</v>
      </c>
      <c r="D40" s="9">
        <f>EXACT(G39,"Other (specify)")</f>
      </c>
      <c r="E40" s="9" t="s">
        <v>131</v>
      </c>
      <c r="F40" s="9" t="s">
        <v>21</v>
      </c>
      <c r="G40" s="9" t="s">
        <v>58</v>
      </c>
      <c r="H40" s="9" t="s">
        <v>17</v>
      </c>
      <c r="I40" s="9" t="s">
        <v>17</v>
      </c>
      <c r="J40" s="9" t="s">
        <v>132</v>
      </c>
    </row>
    <row r="41" spans="1:10" x14ac:dyDescent="0.25" outlineLevel="1" collapsed="1">
      <c r="A41" s="9" t="s">
        <v>21</v>
      </c>
      <c r="B41" s="9" t="s">
        <v>56</v>
      </c>
      <c r="C41" s="9" t="s">
        <v>17</v>
      </c>
      <c r="D41" s="9">
        <f>EXACT(G37,"HWT, IWT")</f>
      </c>
      <c r="E41" s="9" t="s">
        <v>133</v>
      </c>
      <c r="F41" s="9" t="s">
        <v>21</v>
      </c>
      <c r="G41" s="9" t="s">
        <v>58</v>
      </c>
      <c r="H41" s="9" t="s">
        <v>17</v>
      </c>
      <c r="I41" s="9" t="s">
        <v>17</v>
      </c>
      <c r="J41" s="9" t="s">
        <v>134</v>
      </c>
    </row>
    <row r="42" spans="1:10" x14ac:dyDescent="0.25" outlineLevel="1" collapsed="1">
      <c r="A42" s="9" t="s">
        <v>21</v>
      </c>
      <c r="B42" s="9" t="s">
        <v>56</v>
      </c>
      <c r="C42" s="9" t="s">
        <v>17</v>
      </c>
      <c r="D42" s="9">
        <f>EXACT(G37,"HWT, IWT")</f>
      </c>
      <c r="E42" s="9" t="s">
        <v>135</v>
      </c>
      <c r="F42" s="9" t="s">
        <v>21</v>
      </c>
      <c r="G42" s="9" t="s">
        <v>58</v>
      </c>
      <c r="H42" s="9" t="s">
        <v>17</v>
      </c>
      <c r="I42" s="9" t="s">
        <v>17</v>
      </c>
      <c r="J42" s="9" t="s">
        <v>136</v>
      </c>
    </row>
    <row r="43" spans="1:10" x14ac:dyDescent="0.25" outlineLevel="1" collapsed="1">
      <c r="A43" s="9" t="s">
        <v>21</v>
      </c>
      <c r="B43" s="9" t="s">
        <v>56</v>
      </c>
      <c r="C43" s="9" t="s">
        <v>17</v>
      </c>
      <c r="D43" s="9">
        <f>EXACT(G37,"HWT, IWT")</f>
      </c>
      <c r="E43" s="9" t="s">
        <v>137</v>
      </c>
      <c r="F43" s="9" t="s">
        <v>21</v>
      </c>
      <c r="G43" s="9" t="s">
        <v>58</v>
      </c>
      <c r="H43" s="9" t="s">
        <v>17</v>
      </c>
      <c r="I43" s="9" t="s">
        <v>17</v>
      </c>
      <c r="J43" s="9" t="s">
        <v>138</v>
      </c>
    </row>
    <row r="44" spans="1:10" x14ac:dyDescent="0.25" outlineLevel="1" collapsed="1">
      <c r="A44" s="9" t="s">
        <v>21</v>
      </c>
      <c r="B44" s="9" t="s">
        <v>56</v>
      </c>
      <c r="C44" s="9" t="s">
        <v>17</v>
      </c>
      <c r="D44" s="9">
        <f>EXACT(G37,"HWT, IWT")</f>
      </c>
      <c r="E44" s="9" t="s">
        <v>139</v>
      </c>
      <c r="F44" s="9" t="s">
        <v>21</v>
      </c>
      <c r="G44" s="9" t="s">
        <v>58</v>
      </c>
      <c r="H44" s="9" t="s">
        <v>17</v>
      </c>
      <c r="I44" s="9" t="s">
        <v>17</v>
      </c>
      <c r="J44" s="9" t="s">
        <v>140</v>
      </c>
    </row>
    <row r="45" spans="1:10" x14ac:dyDescent="0.25" outlineLevel="1" collapsed="1">
      <c r="A45" s="9" t="s">
        <v>21</v>
      </c>
      <c r="B45" s="9" t="s">
        <v>79</v>
      </c>
      <c r="C45" s="9" t="s">
        <v>17</v>
      </c>
      <c r="D45" s="9">
        <f>EXACT(G37,"HWT, IWT")</f>
      </c>
      <c r="E45" s="9" t="s">
        <v>141</v>
      </c>
      <c r="F45" s="9" t="s">
        <v>21</v>
      </c>
      <c r="G45" s="9">
        <v>1</v>
      </c>
      <c r="H45" s="9" t="s">
        <v>17</v>
      </c>
      <c r="I45" s="9" t="s">
        <v>17</v>
      </c>
      <c r="J45" s="9" t="s">
        <v>142</v>
      </c>
    </row>
    <row r="46" spans="1:10" x14ac:dyDescent="0.25" outlineLevel="1" collapsed="1">
      <c r="A46" s="9" t="s">
        <v>21</v>
      </c>
      <c r="B46" s="9" t="s">
        <v>56</v>
      </c>
      <c r="C46" s="9" t="s">
        <v>17</v>
      </c>
      <c r="D46" s="9">
        <f>EXACT(G37,"HWT, IWT")</f>
      </c>
      <c r="E46" s="9" t="s">
        <v>143</v>
      </c>
      <c r="F46" s="9" t="s">
        <v>21</v>
      </c>
      <c r="G46" s="9" t="s">
        <v>58</v>
      </c>
      <c r="H46" s="9" t="s">
        <v>17</v>
      </c>
      <c r="I46" s="9" t="s">
        <v>17</v>
      </c>
      <c r="J46" s="9" t="s">
        <v>144</v>
      </c>
    </row>
    <row r="47" spans="1:10" x14ac:dyDescent="0.25" outlineLevel="1" collapsed="1">
      <c r="A47" s="9" t="s">
        <v>21</v>
      </c>
      <c r="B47" s="9" t="s">
        <v>79</v>
      </c>
      <c r="C47" s="9" t="s">
        <v>17</v>
      </c>
      <c r="D47" s="9">
        <f>EXACT(G37,"HWT, IWT")</f>
      </c>
      <c r="E47" s="9" t="s">
        <v>145</v>
      </c>
      <c r="F47" s="9" t="s">
        <v>21</v>
      </c>
      <c r="G47" s="9">
        <v>1</v>
      </c>
      <c r="H47" s="9" t="s">
        <v>17</v>
      </c>
      <c r="I47" s="9" t="s">
        <v>17</v>
      </c>
      <c r="J47" s="9" t="s">
        <v>146</v>
      </c>
    </row>
    <row r="48" spans="1:10" x14ac:dyDescent="0.25" outlineLevel="1" collapsed="1">
      <c r="A48" s="9" t="s">
        <v>21</v>
      </c>
      <c r="B48" s="9" t="s">
        <v>79</v>
      </c>
      <c r="C48" s="9" t="s">
        <v>17</v>
      </c>
      <c r="D48" s="9">
        <f>EXACT(G37,"HWT, IWT")</f>
      </c>
      <c r="E48" s="9" t="s">
        <v>147</v>
      </c>
      <c r="F48" s="9" t="s">
        <v>21</v>
      </c>
      <c r="G48" s="9">
        <v>1</v>
      </c>
      <c r="H48" s="9" t="s">
        <v>17</v>
      </c>
      <c r="I48" s="9" t="s">
        <v>17</v>
      </c>
      <c r="J48" s="9" t="s">
        <v>148</v>
      </c>
    </row>
    <row r="49" spans="1:10" x14ac:dyDescent="0.25" outlineLevel="1" collapsed="1">
      <c r="A49" s="9" t="s">
        <v>21</v>
      </c>
      <c r="B49" s="9" t="s">
        <v>56</v>
      </c>
      <c r="C49" s="9" t="s">
        <v>17</v>
      </c>
      <c r="D49" s="9">
        <f>EXACT(G37,"HWT, IWT")</f>
      </c>
      <c r="E49" s="9" t="s">
        <v>149</v>
      </c>
      <c r="F49" s="9" t="s">
        <v>21</v>
      </c>
      <c r="G49" s="9" t="s">
        <v>58</v>
      </c>
      <c r="H49" s="9" t="s">
        <v>17</v>
      </c>
      <c r="I49" s="9" t="s">
        <v>17</v>
      </c>
      <c r="J49" s="9" t="s">
        <v>150</v>
      </c>
    </row>
    <row r="50" spans="1:10" x14ac:dyDescent="0.25" outlineLevel="1" collapsed="1">
      <c r="A50" s="7" t="s">
        <v>21</v>
      </c>
      <c r="B50" s="8" t="s">
        <v>151</v>
      </c>
      <c r="C50" s="7" t="s">
        <v>17</v>
      </c>
      <c r="D50" s="7">
        <f>EXACT(G37,"CWT, CWS")</f>
      </c>
      <c r="E50" s="7" t="s">
        <v>126</v>
      </c>
      <c r="F50" s="7" t="s">
        <v>21</v>
      </c>
      <c r="G50" s="7" t="s">
        <v>17</v>
      </c>
      <c r="H50" s="7" t="s">
        <v>17</v>
      </c>
      <c r="I50" s="7" t="s">
        <v>17</v>
      </c>
      <c r="J50" s="7" t="s">
        <v>152</v>
      </c>
    </row>
    <row r="51" spans="1:10" x14ac:dyDescent="0.25" outlineLevel="2" collapsed="1">
      <c r="A51" s="9" t="s">
        <v>15</v>
      </c>
      <c r="B51" s="9" t="s">
        <v>23</v>
      </c>
      <c r="C51" s="10" t="s">
        <v>153</v>
      </c>
      <c r="D51" s="9"/>
      <c r="E51" s="9" t="s">
        <v>126</v>
      </c>
      <c r="F51" s="9" t="s">
        <v>21</v>
      </c>
      <c r="G51" s="9" t="s">
        <v>154</v>
      </c>
      <c r="H51" s="9" t="s">
        <v>17</v>
      </c>
      <c r="I51" s="9" t="s">
        <v>17</v>
      </c>
      <c r="J51" s="9" t="s">
        <v>155</v>
      </c>
    </row>
    <row r="52" spans="1:10" x14ac:dyDescent="0.25" outlineLevel="2" collapsed="1">
      <c r="A52" s="9" t="s">
        <v>21</v>
      </c>
      <c r="B52" s="9" t="s">
        <v>56</v>
      </c>
      <c r="C52" s="9" t="s">
        <v>17</v>
      </c>
      <c r="D52" s="9">
        <f>EXACT(G51,"Other (specify)")</f>
      </c>
      <c r="E52" s="9" t="s">
        <v>131</v>
      </c>
      <c r="F52" s="9" t="s">
        <v>21</v>
      </c>
      <c r="G52" s="9" t="s">
        <v>58</v>
      </c>
      <c r="H52" s="9" t="s">
        <v>17</v>
      </c>
      <c r="I52" s="9" t="s">
        <v>17</v>
      </c>
      <c r="J52" s="9" t="s">
        <v>132</v>
      </c>
    </row>
    <row r="53" spans="1:10" x14ac:dyDescent="0.25" outlineLevel="1" collapsed="1">
      <c r="A53" s="9" t="s">
        <v>21</v>
      </c>
      <c r="B53" s="9" t="s">
        <v>56</v>
      </c>
      <c r="C53" s="9" t="s">
        <v>17</v>
      </c>
      <c r="D53" s="9">
        <f>EXACT(G37,"CWT, CWS")</f>
      </c>
      <c r="E53" s="9" t="s">
        <v>133</v>
      </c>
      <c r="F53" s="9" t="s">
        <v>21</v>
      </c>
      <c r="G53" s="9" t="s">
        <v>58</v>
      </c>
      <c r="H53" s="9" t="s">
        <v>17</v>
      </c>
      <c r="I53" s="9" t="s">
        <v>17</v>
      </c>
      <c r="J53" s="9" t="s">
        <v>156</v>
      </c>
    </row>
    <row r="54" spans="1:10" x14ac:dyDescent="0.25" outlineLevel="1" collapsed="1">
      <c r="A54" s="9" t="s">
        <v>21</v>
      </c>
      <c r="B54" s="9" t="s">
        <v>56</v>
      </c>
      <c r="C54" s="9" t="s">
        <v>17</v>
      </c>
      <c r="D54" s="9">
        <f>EXACT(G37,"CWT, CWS")</f>
      </c>
      <c r="E54" s="9" t="s">
        <v>157</v>
      </c>
      <c r="F54" s="9" t="s">
        <v>21</v>
      </c>
      <c r="G54" s="9" t="s">
        <v>58</v>
      </c>
      <c r="H54" s="9" t="s">
        <v>17</v>
      </c>
      <c r="I54" s="9" t="s">
        <v>17</v>
      </c>
      <c r="J54" s="9" t="s">
        <v>158</v>
      </c>
    </row>
    <row r="55" spans="1:10" x14ac:dyDescent="0.25" outlineLevel="1" collapsed="1">
      <c r="A55" s="9" t="s">
        <v>21</v>
      </c>
      <c r="B55" s="9" t="s">
        <v>56</v>
      </c>
      <c r="C55" s="9" t="s">
        <v>17</v>
      </c>
      <c r="D55" s="9">
        <f>EXACT(G37,"CWT, CWS")</f>
      </c>
      <c r="E55" s="9" t="s">
        <v>159</v>
      </c>
      <c r="F55" s="9" t="s">
        <v>21</v>
      </c>
      <c r="G55" s="9" t="s">
        <v>58</v>
      </c>
      <c r="H55" s="9" t="s">
        <v>17</v>
      </c>
      <c r="I55" s="9" t="s">
        <v>17</v>
      </c>
      <c r="J55" s="9" t="s">
        <v>160</v>
      </c>
    </row>
    <row r="56" spans="1:10" x14ac:dyDescent="0.25" outlineLevel="1" collapsed="1">
      <c r="A56" s="9" t="s">
        <v>21</v>
      </c>
      <c r="B56" s="9" t="s">
        <v>79</v>
      </c>
      <c r="C56" s="9" t="s">
        <v>17</v>
      </c>
      <c r="D56" s="9">
        <f>EXACT(G37,"CWT, CWS")</f>
      </c>
      <c r="E56" s="9" t="s">
        <v>161</v>
      </c>
      <c r="F56" s="9" t="s">
        <v>21</v>
      </c>
      <c r="G56" s="9">
        <v>1</v>
      </c>
      <c r="H56" s="9" t="s">
        <v>17</v>
      </c>
      <c r="I56" s="9" t="s">
        <v>17</v>
      </c>
      <c r="J56" s="9" t="s">
        <v>162</v>
      </c>
    </row>
    <row r="57" spans="1:10" x14ac:dyDescent="0.25" outlineLevel="1" collapsed="1">
      <c r="A57" s="9" t="s">
        <v>21</v>
      </c>
      <c r="B57" s="9" t="s">
        <v>79</v>
      </c>
      <c r="C57" s="9" t="s">
        <v>17</v>
      </c>
      <c r="D57" s="9">
        <f>EXACT(G37,"CWT, CWS")</f>
      </c>
      <c r="E57" s="9" t="s">
        <v>163</v>
      </c>
      <c r="F57" s="9" t="s">
        <v>21</v>
      </c>
      <c r="G57" s="9">
        <v>1</v>
      </c>
      <c r="H57" s="9" t="s">
        <v>17</v>
      </c>
      <c r="I57" s="9" t="s">
        <v>17</v>
      </c>
      <c r="J57" s="9" t="s">
        <v>164</v>
      </c>
    </row>
    <row r="58" spans="1:10" x14ac:dyDescent="0.25" outlineLevel="1" collapsed="1">
      <c r="A58" s="9" t="s">
        <v>21</v>
      </c>
      <c r="B58" s="9" t="s">
        <v>56</v>
      </c>
      <c r="C58" s="9" t="s">
        <v>17</v>
      </c>
      <c r="D58" s="9">
        <f>EXACT(G37,"CWT, CWS")</f>
      </c>
      <c r="E58" s="9" t="s">
        <v>137</v>
      </c>
      <c r="F58" s="9" t="s">
        <v>21</v>
      </c>
      <c r="G58" s="9" t="s">
        <v>58</v>
      </c>
      <c r="H58" s="9" t="s">
        <v>17</v>
      </c>
      <c r="I58" s="9" t="s">
        <v>17</v>
      </c>
      <c r="J58" s="9" t="s">
        <v>165</v>
      </c>
    </row>
    <row r="59" spans="1:10" x14ac:dyDescent="0.25" outlineLevel="1" collapsed="1">
      <c r="A59" s="9" t="s">
        <v>21</v>
      </c>
      <c r="B59" s="9" t="s">
        <v>56</v>
      </c>
      <c r="C59" s="9" t="s">
        <v>17</v>
      </c>
      <c r="D59" s="9">
        <f>EXACT(G37,"CWT, CWS")</f>
      </c>
      <c r="E59" s="9" t="s">
        <v>139</v>
      </c>
      <c r="F59" s="9" t="s">
        <v>21</v>
      </c>
      <c r="G59" s="9" t="s">
        <v>58</v>
      </c>
      <c r="H59" s="9" t="s">
        <v>17</v>
      </c>
      <c r="I59" s="9" t="s">
        <v>17</v>
      </c>
      <c r="J59" s="9" t="s">
        <v>166</v>
      </c>
    </row>
    <row r="60" spans="1:10" x14ac:dyDescent="0.25" outlineLevel="1" collapsed="1">
      <c r="A60" s="9" t="s">
        <v>21</v>
      </c>
      <c r="B60" s="9" t="s">
        <v>56</v>
      </c>
      <c r="C60" s="9" t="s">
        <v>17</v>
      </c>
      <c r="D60" s="9">
        <f>EXACT(G37,"CWT, CWS")</f>
      </c>
      <c r="E60" s="9" t="s">
        <v>167</v>
      </c>
      <c r="F60" s="9" t="s">
        <v>21</v>
      </c>
      <c r="G60" s="9" t="s">
        <v>58</v>
      </c>
      <c r="H60" s="9" t="s">
        <v>17</v>
      </c>
      <c r="I60" s="9" t="s">
        <v>17</v>
      </c>
      <c r="J60" s="9" t="s">
        <v>168</v>
      </c>
    </row>
    <row r="61" spans="1:10" x14ac:dyDescent="0.25" outlineLevel="1" collapsed="1">
      <c r="A61" s="9" t="s">
        <v>21</v>
      </c>
      <c r="B61" s="9" t="s">
        <v>169</v>
      </c>
      <c r="C61" s="9" t="s">
        <v>17</v>
      </c>
      <c r="D61" s="9">
        <f>EXACT(G37,"CWT, CWS")</f>
      </c>
      <c r="E61" s="9" t="s">
        <v>170</v>
      </c>
      <c r="F61" s="9" t="s">
        <v>21</v>
      </c>
      <c r="G61" s="9" t="b">
        <v>1</v>
      </c>
      <c r="H61" s="9" t="s">
        <v>17</v>
      </c>
      <c r="I61" s="9" t="s">
        <v>17</v>
      </c>
      <c r="J61" s="9" t="s">
        <v>171</v>
      </c>
    </row>
    <row r="62" spans="1:10" x14ac:dyDescent="0.25" outlineLevel="1" collapsed="1">
      <c r="A62" s="9" t="s">
        <v>21</v>
      </c>
      <c r="B62" s="9" t="s">
        <v>56</v>
      </c>
      <c r="C62" s="9" t="s">
        <v>17</v>
      </c>
      <c r="D62" s="9">
        <f>EXACT(G37,"CWT, CWS")</f>
      </c>
      <c r="E62" s="9" t="s">
        <v>2</v>
      </c>
      <c r="F62" s="9" t="s">
        <v>21</v>
      </c>
      <c r="G62" s="9" t="s">
        <v>58</v>
      </c>
      <c r="H62" s="9" t="s">
        <v>17</v>
      </c>
      <c r="I62" s="9" t="s">
        <v>17</v>
      </c>
      <c r="J62" s="9" t="s">
        <v>172</v>
      </c>
    </row>
    <row r="63" spans="1:10" x14ac:dyDescent="0.25" outlineLevel="1" collapsed="1">
      <c r="A63" s="9" t="s">
        <v>21</v>
      </c>
      <c r="B63" s="9" t="s">
        <v>56</v>
      </c>
      <c r="C63" s="9" t="s">
        <v>17</v>
      </c>
      <c r="D63" s="9">
        <f>EXACT(G37,"CWT, CWS")</f>
      </c>
      <c r="E63" s="9" t="s">
        <v>173</v>
      </c>
      <c r="F63" s="9" t="s">
        <v>21</v>
      </c>
      <c r="G63" s="9" t="s">
        <v>58</v>
      </c>
      <c r="H63" s="9" t="s">
        <v>17</v>
      </c>
      <c r="I63" s="9" t="s">
        <v>17</v>
      </c>
      <c r="J63" s="9" t="s">
        <v>174</v>
      </c>
    </row>
    <row r="64" spans="1:10" x14ac:dyDescent="0.25" outlineLevel="1" collapsed="1">
      <c r="A64" s="9" t="s">
        <v>21</v>
      </c>
      <c r="B64" s="9" t="s">
        <v>175</v>
      </c>
      <c r="C64" s="9" t="s">
        <v>17</v>
      </c>
      <c r="D64" s="9">
        <f>EXACT(G37,"CWT, CWS")</f>
      </c>
      <c r="E64" s="9" t="s">
        <v>176</v>
      </c>
      <c r="F64" s="9" t="s">
        <v>21</v>
      </c>
      <c r="G64" s="9" t="s">
        <v>177</v>
      </c>
      <c r="H64" s="9" t="s">
        <v>17</v>
      </c>
      <c r="I64" s="9" t="s">
        <v>17</v>
      </c>
      <c r="J64" s="9" t="s">
        <v>178</v>
      </c>
    </row>
    <row r="65" spans="1:10" x14ac:dyDescent="0.25" outlineLevel="1" collapsed="1">
      <c r="A65" s="7" t="s">
        <v>21</v>
      </c>
      <c r="B65" s="8" t="s">
        <v>179</v>
      </c>
      <c r="C65" s="7" t="s">
        <v>17</v>
      </c>
      <c r="D65" s="7">
        <f>EXACT(G37,"CWT, CWS")</f>
      </c>
      <c r="E65" s="7" t="s">
        <v>180</v>
      </c>
      <c r="F65" s="7" t="s">
        <v>21</v>
      </c>
      <c r="G65" s="7" t="s">
        <v>17</v>
      </c>
      <c r="H65" s="7" t="s">
        <v>17</v>
      </c>
      <c r="I65" s="7" t="s">
        <v>17</v>
      </c>
      <c r="J65" s="7" t="s">
        <v>181</v>
      </c>
    </row>
    <row r="66" spans="1:10" x14ac:dyDescent="0.25" outlineLevel="2" collapsed="1">
      <c r="A66" s="9" t="s">
        <v>15</v>
      </c>
      <c r="B66" s="9" t="s">
        <v>169</v>
      </c>
      <c r="C66" s="9" t="s">
        <v>17</v>
      </c>
      <c r="D66" s="9"/>
      <c r="E66" s="9" t="s">
        <v>182</v>
      </c>
      <c r="F66" s="9" t="s">
        <v>21</v>
      </c>
      <c r="G66" s="9" t="b">
        <v>1</v>
      </c>
      <c r="H66" s="9" t="s">
        <v>17</v>
      </c>
      <c r="I66" s="9" t="s">
        <v>17</v>
      </c>
      <c r="J66" s="9" t="s">
        <v>183</v>
      </c>
    </row>
    <row r="67" spans="1:10" x14ac:dyDescent="0.25" outlineLevel="2" collapsed="1">
      <c r="A67" s="9" t="s">
        <v>21</v>
      </c>
      <c r="B67" s="9" t="s">
        <v>89</v>
      </c>
      <c r="C67" s="9" t="s">
        <v>17</v>
      </c>
      <c r="D67" s="9">
        <f>EXACT(G66,true)</f>
      </c>
      <c r="E67" s="9" t="s">
        <v>184</v>
      </c>
      <c r="F67" s="9" t="s">
        <v>21</v>
      </c>
      <c r="G67" s="9" t="s">
        <v>91</v>
      </c>
      <c r="H67" s="9" t="s">
        <v>17</v>
      </c>
      <c r="I67" s="9" t="s">
        <v>17</v>
      </c>
      <c r="J67" s="9" t="s">
        <v>185</v>
      </c>
    </row>
    <row r="68" spans="1:10" x14ac:dyDescent="0.25" outlineLevel="2" collapsed="1">
      <c r="A68" s="9" t="s">
        <v>21</v>
      </c>
      <c r="B68" s="9" t="s">
        <v>26</v>
      </c>
      <c r="C68" s="9" t="s">
        <v>186</v>
      </c>
      <c r="D68" s="9">
        <f>EXACT(G66,true)</f>
      </c>
      <c r="E68" s="9" t="s">
        <v>187</v>
      </c>
      <c r="F68" s="9" t="s">
        <v>21</v>
      </c>
      <c r="G68" s="9" t="s">
        <v>188</v>
      </c>
      <c r="H68" s="9" t="s">
        <v>17</v>
      </c>
      <c r="I68" s="9" t="s">
        <v>17</v>
      </c>
      <c r="J68" s="9" t="s">
        <v>189</v>
      </c>
    </row>
    <row r="69" spans="1:10" x14ac:dyDescent="0.25" outlineLevel="2" collapsed="1">
      <c r="A69" s="9" t="s">
        <v>21</v>
      </c>
      <c r="B69" s="9" t="s">
        <v>89</v>
      </c>
      <c r="C69" s="9" t="s">
        <v>17</v>
      </c>
      <c r="D69" s="9">
        <f>EXACT(G66,true)</f>
      </c>
      <c r="E69" s="9" t="s">
        <v>190</v>
      </c>
      <c r="F69" s="9" t="s">
        <v>21</v>
      </c>
      <c r="G69" s="9" t="s">
        <v>91</v>
      </c>
      <c r="H69" s="9" t="s">
        <v>17</v>
      </c>
      <c r="I69" s="9" t="s">
        <v>17</v>
      </c>
      <c r="J69" s="9" t="s">
        <v>191</v>
      </c>
    </row>
    <row r="70" spans="1:10" x14ac:dyDescent="0.25" outlineLevel="2" collapsed="1">
      <c r="A70" s="9" t="s">
        <v>21</v>
      </c>
      <c r="B70" s="9" t="s">
        <v>175</v>
      </c>
      <c r="C70" s="9" t="s">
        <v>17</v>
      </c>
      <c r="D70" s="9">
        <f>EXACT(G66,true)</f>
      </c>
      <c r="E70" s="9" t="s">
        <v>192</v>
      </c>
      <c r="F70" s="9" t="s">
        <v>21</v>
      </c>
      <c r="G70" s="9" t="s">
        <v>193</v>
      </c>
      <c r="H70" s="9" t="s">
        <v>17</v>
      </c>
      <c r="I70" s="9" t="s">
        <v>17</v>
      </c>
      <c r="J70" s="9" t="s">
        <v>194</v>
      </c>
    </row>
    <row r="71" spans="1:10" x14ac:dyDescent="0.25" outlineLevel="2" collapsed="1">
      <c r="A71" s="9" t="s">
        <v>21</v>
      </c>
      <c r="B71" s="9" t="s">
        <v>175</v>
      </c>
      <c r="C71" s="9" t="s">
        <v>17</v>
      </c>
      <c r="D71" s="9">
        <f>EXACT(G66,true)</f>
      </c>
      <c r="E71" s="9" t="s">
        <v>195</v>
      </c>
      <c r="F71" s="9" t="s">
        <v>21</v>
      </c>
      <c r="G71" s="9" t="s">
        <v>196</v>
      </c>
      <c r="H71" s="9" t="s">
        <v>17</v>
      </c>
      <c r="I71" s="9" t="s">
        <v>17</v>
      </c>
      <c r="J71" s="9" t="s">
        <v>197</v>
      </c>
    </row>
    <row r="72" spans="1:10" x14ac:dyDescent="0.25" outlineLevel="1" collapsed="1">
      <c r="A72" s="9" t="s">
        <v>15</v>
      </c>
      <c r="B72" s="9" t="s">
        <v>56</v>
      </c>
      <c r="C72" s="9" t="s">
        <v>17</v>
      </c>
      <c r="D72" s="9"/>
      <c r="E72" s="9" t="s">
        <v>198</v>
      </c>
      <c r="F72" s="9" t="s">
        <v>21</v>
      </c>
      <c r="G72" s="9" t="s">
        <v>58</v>
      </c>
      <c r="H72" s="9" t="s">
        <v>17</v>
      </c>
      <c r="I72" s="9" t="s">
        <v>17</v>
      </c>
      <c r="J72" s="9" t="s">
        <v>199</v>
      </c>
    </row>
    <row r="73" spans="1:10" x14ac:dyDescent="0.25">
      <c r="A73" s="5" t="s">
        <v>15</v>
      </c>
      <c r="B73" s="6" t="s">
        <v>200</v>
      </c>
      <c r="C73" s="5" t="s">
        <v>17</v>
      </c>
      <c r="D73" s="5"/>
      <c r="E73" s="5" t="s">
        <v>201</v>
      </c>
      <c r="F73" s="5" t="s">
        <v>21</v>
      </c>
      <c r="G73" s="5" t="s">
        <v>202</v>
      </c>
      <c r="H73" s="5" t="s">
        <v>17</v>
      </c>
      <c r="I73" s="5" t="s">
        <v>17</v>
      </c>
      <c r="J73" s="5" t="s">
        <v>203</v>
      </c>
    </row>
    <row r="74" spans="1:10" x14ac:dyDescent="0.25" outlineLevel="1" collapsed="1">
      <c r="A74" s="9" t="s">
        <v>15</v>
      </c>
      <c r="B74" s="9" t="s">
        <v>175</v>
      </c>
      <c r="C74" s="9" t="s">
        <v>17</v>
      </c>
      <c r="D74" s="9"/>
      <c r="E74" s="9" t="s">
        <v>204</v>
      </c>
      <c r="F74" s="9" t="s">
        <v>21</v>
      </c>
      <c r="G74" s="9" t="s">
        <v>205</v>
      </c>
      <c r="H74" s="9" t="s">
        <v>17</v>
      </c>
      <c r="I74" s="9" t="s">
        <v>17</v>
      </c>
      <c r="J74" s="9" t="s">
        <v>206</v>
      </c>
    </row>
    <row r="75" spans="1:10" x14ac:dyDescent="0.25" outlineLevel="1" collapsed="1">
      <c r="A75" s="9" t="s">
        <v>15</v>
      </c>
      <c r="B75" s="9" t="s">
        <v>175</v>
      </c>
      <c r="C75" s="9" t="s">
        <v>17</v>
      </c>
      <c r="D75" s="9"/>
      <c r="E75" s="9" t="s">
        <v>207</v>
      </c>
      <c r="F75" s="9" t="s">
        <v>21</v>
      </c>
      <c r="G75" s="9" t="s">
        <v>208</v>
      </c>
      <c r="H75" s="9" t="s">
        <v>17</v>
      </c>
      <c r="I75" s="9" t="s">
        <v>17</v>
      </c>
      <c r="J75" s="9" t="s">
        <v>209</v>
      </c>
    </row>
    <row r="76" spans="1:10" x14ac:dyDescent="0.25" outlineLevel="1" collapsed="1">
      <c r="A76" s="9" t="s">
        <v>15</v>
      </c>
      <c r="B76" s="9" t="s">
        <v>175</v>
      </c>
      <c r="C76" s="9" t="s">
        <v>17</v>
      </c>
      <c r="D76" s="9"/>
      <c r="E76" s="9" t="s">
        <v>210</v>
      </c>
      <c r="F76" s="9" t="s">
        <v>21</v>
      </c>
      <c r="G76" s="9" t="s">
        <v>211</v>
      </c>
      <c r="H76" s="9" t="s">
        <v>17</v>
      </c>
      <c r="I76" s="9" t="s">
        <v>17</v>
      </c>
      <c r="J76" s="9" t="s">
        <v>212</v>
      </c>
    </row>
    <row r="77" spans="1:10" x14ac:dyDescent="0.25">
      <c r="A77" s="5" t="s">
        <v>21</v>
      </c>
      <c r="B77" s="5" t="s">
        <v>56</v>
      </c>
      <c r="C77" s="5" t="s">
        <v>17</v>
      </c>
      <c r="D77" s="5"/>
      <c r="E77" s="5" t="s">
        <v>213</v>
      </c>
      <c r="F77" s="5" t="s">
        <v>21</v>
      </c>
      <c r="G77" s="5" t="s">
        <v>58</v>
      </c>
      <c r="H77" s="5" t="s">
        <v>17</v>
      </c>
      <c r="I77" s="5" t="s">
        <v>17</v>
      </c>
      <c r="J77" s="5" t="s">
        <v>214</v>
      </c>
    </row>
  </sheetData>
  <mergeCells count="3">
    <mergeCell ref="A1:J1"/>
    <mergeCell ref="B2:J2"/>
    <mergeCell ref="B3:J3"/>
  </mergeCells>
  <dataValidations count="8">
    <dataValidation type="list" allowBlank="1" sqref="G11:I11">
      <formula1>'UrbanRural Classificati (enum)'!A4:A5</formula1>
    </dataValidation>
    <dataValidation type="list" allowBlank="1" sqref="G28:I28">
      <formula1>'Project Status (enum)'!A4:A7</formula1>
    </dataValidation>
    <dataValidation type="list" allowBlank="1" sqref="G30:I30">
      <formula1>'Project Scale (enum)'!A4:A6</formula1>
    </dataValidation>
    <dataValidation type="list" allowBlank="1" sqref="G33:I33">
      <formula1>'Select the SDG (enum)'!A4:A20</formula1>
    </dataValidation>
    <dataValidation type="list" allowBlank="1" sqref="G37:I37">
      <formula1>'Treatment Technology Ca (enum)'!A4:A5</formula1>
    </dataValidation>
    <dataValidation type="list" allowBlank="1" sqref="G39:I39">
      <formula1>'Treatment Technology Su (enum)'!A4:A9</formula1>
    </dataValidation>
    <dataValidation type="list" allowBlank="1" sqref="G51:I51">
      <formula1>'Treatment Technology 2 (enum)'!A4:A9</formula1>
    </dataValidation>
    <dataValidation type="list" allowBlank="1" sqref="G7:I7">
      <formula1>'Country 3 (enum)'!A4:A256</formula1>
    </dataValidation>
  </dataValidations>
  <hyperlinks>
    <hyperlink ref="B5" r:id="rId1" location="#'Project Location Details'!A1"/>
    <hyperlink ref="B6" r:id="rId2" location="#'Country'!A1"/>
    <hyperlink ref="C7" r:id="rId3" location="#'Country 3 (enum)'!A3"/>
    <hyperlink ref="C11" r:id="rId4" location="#'UrbanRural Classificati (enum)'!A3"/>
    <hyperlink ref="B15" r:id="rId5" location="#'Project Developer Details'!A1"/>
    <hyperlink ref="B24" r:id="rId6" location="#'Project Details'!A1"/>
    <hyperlink ref="C28" r:id="rId7" location="#'Project Status (enum)'!A3"/>
    <hyperlink ref="C30" r:id="rId8" location="#'Project Scale (enum)'!A3"/>
    <hyperlink ref="B32" r:id="rId9" location="#'Contribution of the Project to'!A1"/>
    <hyperlink ref="C33" r:id="rId10" location="#'Select the SDG (enum)'!A3"/>
    <hyperlink ref="B36" r:id="rId11" location="#'Water Treatment Technology'!A1"/>
    <hyperlink ref="C37" r:id="rId12" location="#'Treatment Technology Ca (enum)'!A3"/>
    <hyperlink ref="B38" r:id="rId13" location="#'Treatment Technology Sub-type'!A1"/>
    <hyperlink ref="C39" r:id="rId14" location="#'Treatment Technology Su (enum)'!A3"/>
    <hyperlink ref="B50" r:id="rId15" location="#'Treatment Technology Sub-ty 2'!A1"/>
    <hyperlink ref="C51" r:id="rId16" location="#'Treatment Technology 2 (enum)'!A3"/>
    <hyperlink ref="B65" r:id="rId17" location="#'If the Project Installation is'!A1"/>
    <hyperlink ref="B73" r:id="rId18" location="#'Upload Supporting Compliance 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21</v>
      </c>
      <c r="B5" s="5" t="s">
        <v>56</v>
      </c>
      <c r="C5" s="5" t="s">
        <v>17</v>
      </c>
      <c r="D5" s="5"/>
      <c r="E5" s="5" t="s">
        <v>216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214</v>
      </c>
    </row>
    <row r="6" spans="1:10" x14ac:dyDescent="0.25">
      <c r="A6" s="5" t="s">
        <v>15</v>
      </c>
      <c r="B6" s="6" t="s">
        <v>217</v>
      </c>
      <c r="C6" s="5" t="s">
        <v>17</v>
      </c>
      <c r="D6" s="5"/>
      <c r="E6" s="5" t="s">
        <v>217</v>
      </c>
      <c r="F6" s="5" t="s">
        <v>21</v>
      </c>
      <c r="G6" s="5" t="s">
        <v>218</v>
      </c>
      <c r="H6" s="5" t="s">
        <v>17</v>
      </c>
      <c r="I6" s="5" t="s">
        <v>17</v>
      </c>
      <c r="J6" s="5" t="s">
        <v>219</v>
      </c>
    </row>
    <row r="7" spans="1:10" x14ac:dyDescent="0.25" outlineLevel="1" collapsed="1">
      <c r="A7" s="9" t="s">
        <v>15</v>
      </c>
      <c r="B7" s="9" t="s">
        <v>56</v>
      </c>
      <c r="C7" s="9" t="s">
        <v>17</v>
      </c>
      <c r="D7" s="9"/>
      <c r="E7" s="9" t="s">
        <v>220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203</v>
      </c>
    </row>
    <row r="8" spans="1:10" x14ac:dyDescent="0.25" outlineLevel="1" collapsed="1">
      <c r="A8" s="9" t="s">
        <v>15</v>
      </c>
      <c r="B8" s="9" t="s">
        <v>89</v>
      </c>
      <c r="C8" s="9" t="s">
        <v>17</v>
      </c>
      <c r="D8" s="9"/>
      <c r="E8" s="9" t="s">
        <v>221</v>
      </c>
      <c r="F8" s="9" t="s">
        <v>21</v>
      </c>
      <c r="G8" s="9" t="s">
        <v>91</v>
      </c>
      <c r="H8" s="9" t="s">
        <v>17</v>
      </c>
      <c r="I8" s="9" t="s">
        <v>17</v>
      </c>
      <c r="J8" s="9" t="s">
        <v>222</v>
      </c>
    </row>
    <row r="9" spans="1:10" x14ac:dyDescent="0.25">
      <c r="A9" s="5" t="s">
        <v>15</v>
      </c>
      <c r="B9" s="6" t="s">
        <v>82</v>
      </c>
      <c r="C9" s="5" t="s">
        <v>17</v>
      </c>
      <c r="D9" s="5"/>
      <c r="E9" s="5" t="s">
        <v>82</v>
      </c>
      <c r="F9" s="5" t="s">
        <v>21</v>
      </c>
      <c r="G9" s="5" t="s">
        <v>223</v>
      </c>
      <c r="H9" s="5" t="s">
        <v>17</v>
      </c>
      <c r="I9" s="5" t="s">
        <v>17</v>
      </c>
      <c r="J9" s="5" t="s">
        <v>84</v>
      </c>
    </row>
    <row r="10" spans="1:10" x14ac:dyDescent="0.25" outlineLevel="1" collapsed="1">
      <c r="A10" s="9" t="s">
        <v>15</v>
      </c>
      <c r="B10" s="9" t="s">
        <v>26</v>
      </c>
      <c r="C10" s="9" t="s">
        <v>85</v>
      </c>
      <c r="D10" s="9"/>
      <c r="E10" s="9" t="s">
        <v>86</v>
      </c>
      <c r="F10" s="9" t="s">
        <v>21</v>
      </c>
      <c r="G10" s="9" t="s">
        <v>224</v>
      </c>
      <c r="H10" s="9" t="s">
        <v>17</v>
      </c>
      <c r="I10" s="9" t="s">
        <v>17</v>
      </c>
      <c r="J10" s="9" t="s">
        <v>88</v>
      </c>
    </row>
    <row r="11" spans="1:10" x14ac:dyDescent="0.25" outlineLevel="1" collapsed="1">
      <c r="A11" s="9" t="s">
        <v>15</v>
      </c>
      <c r="B11" s="9" t="s">
        <v>89</v>
      </c>
      <c r="C11" s="9" t="s">
        <v>17</v>
      </c>
      <c r="D11" s="9"/>
      <c r="E11" s="9" t="s">
        <v>90</v>
      </c>
      <c r="F11" s="9" t="s">
        <v>21</v>
      </c>
      <c r="G11" s="9" t="s">
        <v>91</v>
      </c>
      <c r="H11" s="9" t="s">
        <v>17</v>
      </c>
      <c r="I11" s="9" t="s">
        <v>17</v>
      </c>
      <c r="J11" s="9" t="s">
        <v>92</v>
      </c>
    </row>
    <row r="12" spans="1:10" x14ac:dyDescent="0.25" outlineLevel="1" collapsed="1">
      <c r="A12" s="9" t="s">
        <v>15</v>
      </c>
      <c r="B12" s="9" t="s">
        <v>89</v>
      </c>
      <c r="C12" s="9" t="s">
        <v>17</v>
      </c>
      <c r="D12" s="9"/>
      <c r="E12" s="9" t="s">
        <v>93</v>
      </c>
      <c r="F12" s="9" t="s">
        <v>21</v>
      </c>
      <c r="G12" s="9" t="s">
        <v>91</v>
      </c>
      <c r="H12" s="9" t="s">
        <v>17</v>
      </c>
      <c r="I12" s="9" t="s">
        <v>17</v>
      </c>
      <c r="J12" s="9" t="s">
        <v>94</v>
      </c>
    </row>
    <row r="13" spans="1:10" x14ac:dyDescent="0.25" outlineLevel="1" collapsed="1">
      <c r="A13" s="9" t="s">
        <v>15</v>
      </c>
      <c r="B13" s="9" t="s">
        <v>23</v>
      </c>
      <c r="C13" s="10" t="s">
        <v>95</v>
      </c>
      <c r="D13" s="9"/>
      <c r="E13" s="9" t="s">
        <v>96</v>
      </c>
      <c r="F13" s="9" t="s">
        <v>21</v>
      </c>
      <c r="G13" s="9" t="s">
        <v>97</v>
      </c>
      <c r="H13" s="9" t="s">
        <v>17</v>
      </c>
      <c r="I13" s="9" t="s">
        <v>17</v>
      </c>
      <c r="J13" s="9" t="s">
        <v>98</v>
      </c>
    </row>
    <row r="14" spans="1:10" x14ac:dyDescent="0.25" outlineLevel="1" collapsed="1">
      <c r="A14" s="9" t="s">
        <v>15</v>
      </c>
      <c r="B14" s="9" t="s">
        <v>26</v>
      </c>
      <c r="C14" s="9" t="s">
        <v>99</v>
      </c>
      <c r="D14" s="9"/>
      <c r="E14" s="9" t="s">
        <v>100</v>
      </c>
      <c r="F14" s="9" t="s">
        <v>21</v>
      </c>
      <c r="G14" s="9" t="s">
        <v>225</v>
      </c>
      <c r="H14" s="9" t="s">
        <v>17</v>
      </c>
      <c r="I14" s="9" t="s">
        <v>17</v>
      </c>
      <c r="J14" s="9" t="s">
        <v>102</v>
      </c>
    </row>
    <row r="15" spans="1:10" x14ac:dyDescent="0.25" outlineLevel="1" collapsed="1">
      <c r="A15" s="9" t="s">
        <v>15</v>
      </c>
      <c r="B15" s="9" t="s">
        <v>23</v>
      </c>
      <c r="C15" s="10" t="s">
        <v>103</v>
      </c>
      <c r="D15" s="9"/>
      <c r="E15" s="9" t="s">
        <v>104</v>
      </c>
      <c r="F15" s="9" t="s">
        <v>21</v>
      </c>
      <c r="G15" s="9" t="s">
        <v>105</v>
      </c>
      <c r="H15" s="9" t="s">
        <v>17</v>
      </c>
      <c r="I15" s="9" t="s">
        <v>17</v>
      </c>
      <c r="J15" s="9" t="s">
        <v>106</v>
      </c>
    </row>
    <row r="16" spans="1:10" x14ac:dyDescent="0.25" outlineLevel="1" collapsed="1">
      <c r="A16" s="9" t="s">
        <v>15</v>
      </c>
      <c r="B16" s="9" t="s">
        <v>56</v>
      </c>
      <c r="C16" s="9" t="s">
        <v>17</v>
      </c>
      <c r="D16" s="9"/>
      <c r="E16" s="9" t="s">
        <v>107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108</v>
      </c>
    </row>
    <row r="17" spans="1:10" x14ac:dyDescent="0.25" outlineLevel="1" collapsed="1">
      <c r="A17" s="7" t="s">
        <v>15</v>
      </c>
      <c r="B17" s="8" t="s">
        <v>109</v>
      </c>
      <c r="C17" s="7" t="s">
        <v>17</v>
      </c>
      <c r="D17" s="7"/>
      <c r="E17" s="7" t="s">
        <v>110</v>
      </c>
      <c r="F17" s="7" t="s">
        <v>15</v>
      </c>
      <c r="G17" s="7" t="s">
        <v>17</v>
      </c>
      <c r="H17" s="7" t="s">
        <v>17</v>
      </c>
      <c r="I17" s="7" t="s">
        <v>17</v>
      </c>
      <c r="J17" s="7" t="s">
        <v>111</v>
      </c>
    </row>
    <row r="18" spans="1:10" x14ac:dyDescent="0.25" outlineLevel="2" collapsed="1">
      <c r="A18" s="9" t="s">
        <v>15</v>
      </c>
      <c r="B18" s="9" t="s">
        <v>23</v>
      </c>
      <c r="C18" s="10" t="s">
        <v>112</v>
      </c>
      <c r="D18" s="9"/>
      <c r="E18" s="9" t="s">
        <v>113</v>
      </c>
      <c r="F18" s="9" t="s">
        <v>21</v>
      </c>
      <c r="G18" s="9" t="s">
        <v>114</v>
      </c>
      <c r="H18" s="9" t="s">
        <v>17</v>
      </c>
      <c r="I18" s="9" t="s">
        <v>17</v>
      </c>
      <c r="J18" s="9" t="s">
        <v>115</v>
      </c>
    </row>
    <row r="19" spans="1:10" x14ac:dyDescent="0.25" outlineLevel="2" collapsed="1">
      <c r="A19" s="9" t="s">
        <v>15</v>
      </c>
      <c r="B19" s="9" t="s">
        <v>56</v>
      </c>
      <c r="C19" s="9" t="s">
        <v>17</v>
      </c>
      <c r="D19" s="9"/>
      <c r="E19" s="9" t="s">
        <v>116</v>
      </c>
      <c r="F19" s="9" t="s">
        <v>21</v>
      </c>
      <c r="G19" s="9" t="s">
        <v>58</v>
      </c>
      <c r="H19" s="9" t="s">
        <v>17</v>
      </c>
      <c r="I19" s="9" t="s">
        <v>17</v>
      </c>
      <c r="J19" s="9" t="s">
        <v>117</v>
      </c>
    </row>
    <row r="20" spans="1:10" x14ac:dyDescent="0.25" outlineLevel="1" collapsed="1">
      <c r="A20" s="9" t="s">
        <v>15</v>
      </c>
      <c r="B20" s="9" t="s">
        <v>56</v>
      </c>
      <c r="C20" s="9" t="s">
        <v>17</v>
      </c>
      <c r="D20" s="9"/>
      <c r="E20" s="9" t="s">
        <v>118</v>
      </c>
      <c r="F20" s="9" t="s">
        <v>21</v>
      </c>
      <c r="G20" s="9" t="s">
        <v>58</v>
      </c>
      <c r="H20" s="9" t="s">
        <v>17</v>
      </c>
      <c r="I20" s="9" t="s">
        <v>17</v>
      </c>
      <c r="J20" s="9" t="s">
        <v>119</v>
      </c>
    </row>
    <row r="21" spans="1:10" x14ac:dyDescent="0.25">
      <c r="A21" s="5" t="s">
        <v>15</v>
      </c>
      <c r="B21" s="6" t="s">
        <v>16</v>
      </c>
      <c r="C21" s="5" t="s">
        <v>17</v>
      </c>
      <c r="D21" s="5"/>
      <c r="E21" s="5" t="s">
        <v>16</v>
      </c>
      <c r="F21" s="5" t="s">
        <v>15</v>
      </c>
      <c r="G21" s="5" t="s">
        <v>226</v>
      </c>
      <c r="H21" s="5" t="s">
        <v>17</v>
      </c>
      <c r="I21" s="5" t="s">
        <v>17</v>
      </c>
      <c r="J21" s="5" t="s">
        <v>227</v>
      </c>
    </row>
    <row r="22" spans="1:10" x14ac:dyDescent="0.25" outlineLevel="1" collapsed="1">
      <c r="A22" s="7" t="s">
        <v>15</v>
      </c>
      <c r="B22" s="8" t="s">
        <v>20</v>
      </c>
      <c r="C22" s="7" t="s">
        <v>17</v>
      </c>
      <c r="D22" s="7"/>
      <c r="E22" s="7" t="s">
        <v>20</v>
      </c>
      <c r="F22" s="7" t="s">
        <v>21</v>
      </c>
      <c r="G22" s="7" t="s">
        <v>17</v>
      </c>
      <c r="H22" s="7" t="s">
        <v>17</v>
      </c>
      <c r="I22" s="7" t="s">
        <v>17</v>
      </c>
      <c r="J22" s="7" t="s">
        <v>22</v>
      </c>
    </row>
    <row r="23" spans="1:10" x14ac:dyDescent="0.25" outlineLevel="2" collapsed="1">
      <c r="A23" s="9" t="s">
        <v>15</v>
      </c>
      <c r="B23" s="9" t="s">
        <v>23</v>
      </c>
      <c r="C23" s="10" t="s">
        <v>24</v>
      </c>
      <c r="D23" s="9"/>
      <c r="E23" s="9" t="s">
        <v>20</v>
      </c>
      <c r="F23" s="9" t="s">
        <v>21</v>
      </c>
      <c r="G23" s="9" t="s">
        <v>25</v>
      </c>
      <c r="H23" s="9" t="s">
        <v>17</v>
      </c>
      <c r="I23" s="9" t="s">
        <v>17</v>
      </c>
      <c r="J23" s="9" t="s">
        <v>22</v>
      </c>
    </row>
    <row r="24" spans="1:10" x14ac:dyDescent="0.25" outlineLevel="1" collapsed="1">
      <c r="A24" s="9" t="s">
        <v>15</v>
      </c>
      <c r="B24" s="9" t="s">
        <v>26</v>
      </c>
      <c r="C24" s="9" t="s">
        <v>27</v>
      </c>
      <c r="D24" s="9"/>
      <c r="E24" s="9" t="s">
        <v>28</v>
      </c>
      <c r="F24" s="9" t="s">
        <v>21</v>
      </c>
      <c r="G24" s="9" t="s">
        <v>228</v>
      </c>
      <c r="H24" s="9" t="s">
        <v>17</v>
      </c>
      <c r="I24" s="9" t="s">
        <v>17</v>
      </c>
      <c r="J24" s="9" t="s">
        <v>30</v>
      </c>
    </row>
    <row r="25" spans="1:10" x14ac:dyDescent="0.25" outlineLevel="1" collapsed="1">
      <c r="A25" s="9" t="s">
        <v>15</v>
      </c>
      <c r="B25" s="9" t="s">
        <v>26</v>
      </c>
      <c r="C25" s="9" t="s">
        <v>31</v>
      </c>
      <c r="D25" s="9"/>
      <c r="E25" s="9" t="s">
        <v>32</v>
      </c>
      <c r="F25" s="9" t="s">
        <v>21</v>
      </c>
      <c r="G25" s="9" t="s">
        <v>229</v>
      </c>
      <c r="H25" s="9" t="s">
        <v>17</v>
      </c>
      <c r="I25" s="9" t="s">
        <v>17</v>
      </c>
      <c r="J25" s="9" t="s">
        <v>34</v>
      </c>
    </row>
    <row r="26" spans="1:10" x14ac:dyDescent="0.25" outlineLevel="1" collapsed="1">
      <c r="A26" s="9" t="s">
        <v>15</v>
      </c>
      <c r="B26" s="9" t="s">
        <v>26</v>
      </c>
      <c r="C26" s="9" t="s">
        <v>35</v>
      </c>
      <c r="D26" s="9"/>
      <c r="E26" s="9" t="s">
        <v>36</v>
      </c>
      <c r="F26" s="9" t="s">
        <v>21</v>
      </c>
      <c r="G26" s="9" t="s">
        <v>230</v>
      </c>
      <c r="H26" s="9" t="s">
        <v>17</v>
      </c>
      <c r="I26" s="9" t="s">
        <v>17</v>
      </c>
      <c r="J26" s="9" t="s">
        <v>38</v>
      </c>
    </row>
    <row r="27" spans="1:10" x14ac:dyDescent="0.25" outlineLevel="1" collapsed="1">
      <c r="A27" s="9" t="s">
        <v>15</v>
      </c>
      <c r="B27" s="9" t="s">
        <v>23</v>
      </c>
      <c r="C27" s="10" t="s">
        <v>39</v>
      </c>
      <c r="D27" s="9"/>
      <c r="E27" s="9" t="s">
        <v>40</v>
      </c>
      <c r="F27" s="9" t="s">
        <v>21</v>
      </c>
      <c r="G27" s="9" t="s">
        <v>41</v>
      </c>
      <c r="H27" s="9" t="s">
        <v>17</v>
      </c>
      <c r="I27" s="9" t="s">
        <v>17</v>
      </c>
      <c r="J27" s="9" t="s">
        <v>42</v>
      </c>
    </row>
    <row r="28" spans="1:10" x14ac:dyDescent="0.25" outlineLevel="1" collapsed="1">
      <c r="A28" s="9" t="s">
        <v>15</v>
      </c>
      <c r="B28" s="9" t="s">
        <v>43</v>
      </c>
      <c r="C28" s="9" t="s">
        <v>17</v>
      </c>
      <c r="D28" s="9"/>
      <c r="E28" s="9" t="s">
        <v>44</v>
      </c>
      <c r="F28" s="9" t="s">
        <v>21</v>
      </c>
      <c r="G28" s="9" t="s">
        <v>17</v>
      </c>
      <c r="H28" s="9" t="s">
        <v>17</v>
      </c>
      <c r="I28" s="9" t="s">
        <v>17</v>
      </c>
      <c r="J28" s="9" t="s">
        <v>19</v>
      </c>
    </row>
    <row r="29" spans="1:10" x14ac:dyDescent="0.25" outlineLevel="1" collapsed="1">
      <c r="A29" s="9" t="s">
        <v>15</v>
      </c>
      <c r="B29" s="9" t="s">
        <v>26</v>
      </c>
      <c r="C29" s="9" t="s">
        <v>45</v>
      </c>
      <c r="D29" s="9"/>
      <c r="E29" s="9" t="s">
        <v>46</v>
      </c>
      <c r="F29" s="9" t="s">
        <v>21</v>
      </c>
      <c r="G29" s="9" t="s">
        <v>231</v>
      </c>
      <c r="H29" s="9" t="s">
        <v>17</v>
      </c>
      <c r="I29" s="9" t="s">
        <v>17</v>
      </c>
      <c r="J29" s="9" t="s">
        <v>48</v>
      </c>
    </row>
    <row r="30" spans="1:10" x14ac:dyDescent="0.25" outlineLevel="1" collapsed="1">
      <c r="A30" s="9" t="s">
        <v>15</v>
      </c>
      <c r="B30" s="9" t="s">
        <v>26</v>
      </c>
      <c r="C30" s="9" t="s">
        <v>49</v>
      </c>
      <c r="D30" s="9"/>
      <c r="E30" s="9" t="s">
        <v>50</v>
      </c>
      <c r="F30" s="9" t="s">
        <v>21</v>
      </c>
      <c r="G30" s="9" t="s">
        <v>232</v>
      </c>
      <c r="H30" s="9" t="s">
        <v>17</v>
      </c>
      <c r="I30" s="9" t="s">
        <v>17</v>
      </c>
      <c r="J30" s="9" t="s">
        <v>52</v>
      </c>
    </row>
    <row r="31" spans="1:10" x14ac:dyDescent="0.25">
      <c r="A31" s="5" t="s">
        <v>15</v>
      </c>
      <c r="B31" s="6" t="s">
        <v>53</v>
      </c>
      <c r="C31" s="5" t="s">
        <v>17</v>
      </c>
      <c r="D31" s="5"/>
      <c r="E31" s="5" t="s">
        <v>53</v>
      </c>
      <c r="F31" s="5" t="s">
        <v>21</v>
      </c>
      <c r="G31" s="5" t="s">
        <v>233</v>
      </c>
      <c r="H31" s="5" t="s">
        <v>17</v>
      </c>
      <c r="I31" s="5" t="s">
        <v>17</v>
      </c>
      <c r="J31" s="5" t="s">
        <v>55</v>
      </c>
    </row>
    <row r="32" spans="1:10" x14ac:dyDescent="0.25" outlineLevel="1" collapsed="1">
      <c r="A32" s="9" t="s">
        <v>15</v>
      </c>
      <c r="B32" s="9" t="s">
        <v>56</v>
      </c>
      <c r="C32" s="9" t="s">
        <v>17</v>
      </c>
      <c r="D32" s="9"/>
      <c r="E32" s="9" t="s">
        <v>57</v>
      </c>
      <c r="F32" s="9" t="s">
        <v>21</v>
      </c>
      <c r="G32" s="9" t="s">
        <v>58</v>
      </c>
      <c r="H32" s="9" t="s">
        <v>17</v>
      </c>
      <c r="I32" s="9" t="s">
        <v>17</v>
      </c>
      <c r="J32" s="9" t="s">
        <v>59</v>
      </c>
    </row>
    <row r="33" spans="1:10" x14ac:dyDescent="0.25" outlineLevel="1" collapsed="1">
      <c r="A33" s="9" t="s">
        <v>15</v>
      </c>
      <c r="B33" s="9" t="s">
        <v>60</v>
      </c>
      <c r="C33" s="9" t="s">
        <v>17</v>
      </c>
      <c r="D33" s="9"/>
      <c r="E33" s="9" t="s">
        <v>61</v>
      </c>
      <c r="F33" s="9" t="s">
        <v>21</v>
      </c>
      <c r="G33" s="9" t="s">
        <v>62</v>
      </c>
      <c r="H33" s="9" t="s">
        <v>17</v>
      </c>
      <c r="I33" s="9" t="s">
        <v>17</v>
      </c>
      <c r="J33" s="9" t="s">
        <v>63</v>
      </c>
    </row>
    <row r="34" spans="1:10" x14ac:dyDescent="0.25" outlineLevel="1" collapsed="1">
      <c r="A34" s="9" t="s">
        <v>15</v>
      </c>
      <c r="B34" s="9" t="s">
        <v>56</v>
      </c>
      <c r="C34" s="9" t="s">
        <v>17</v>
      </c>
      <c r="D34" s="9"/>
      <c r="E34" s="9" t="s">
        <v>64</v>
      </c>
      <c r="F34" s="9" t="s">
        <v>21</v>
      </c>
      <c r="G34" s="9" t="s">
        <v>58</v>
      </c>
      <c r="H34" s="9" t="s">
        <v>17</v>
      </c>
      <c r="I34" s="9" t="s">
        <v>17</v>
      </c>
      <c r="J34" s="9" t="s">
        <v>65</v>
      </c>
    </row>
    <row r="35" spans="1:10" x14ac:dyDescent="0.25" outlineLevel="1" collapsed="1">
      <c r="A35" s="9" t="s">
        <v>15</v>
      </c>
      <c r="B35" s="9" t="s">
        <v>26</v>
      </c>
      <c r="C35" s="9" t="s">
        <v>66</v>
      </c>
      <c r="D35" s="9"/>
      <c r="E35" s="9" t="s">
        <v>67</v>
      </c>
      <c r="F35" s="9" t="s">
        <v>21</v>
      </c>
      <c r="G35" s="9" t="s">
        <v>234</v>
      </c>
      <c r="H35" s="9" t="s">
        <v>17</v>
      </c>
      <c r="I35" s="9" t="s">
        <v>17</v>
      </c>
      <c r="J35" s="9" t="s">
        <v>69</v>
      </c>
    </row>
    <row r="36" spans="1:10" x14ac:dyDescent="0.25" outlineLevel="1" collapsed="1">
      <c r="A36" s="9" t="s">
        <v>21</v>
      </c>
      <c r="B36" s="9" t="s">
        <v>26</v>
      </c>
      <c r="C36" s="9" t="s">
        <v>66</v>
      </c>
      <c r="D36" s="9"/>
      <c r="E36" s="9" t="s">
        <v>70</v>
      </c>
      <c r="F36" s="9" t="s">
        <v>21</v>
      </c>
      <c r="G36" s="9" t="s">
        <v>235</v>
      </c>
      <c r="H36" s="9" t="s">
        <v>17</v>
      </c>
      <c r="I36" s="9" t="s">
        <v>17</v>
      </c>
      <c r="J36" s="9" t="s">
        <v>72</v>
      </c>
    </row>
    <row r="37" spans="1:10" x14ac:dyDescent="0.25" outlineLevel="1" collapsed="1">
      <c r="A37" s="9" t="s">
        <v>21</v>
      </c>
      <c r="B37" s="9" t="s">
        <v>56</v>
      </c>
      <c r="C37" s="9" t="s">
        <v>17</v>
      </c>
      <c r="D37" s="9"/>
      <c r="E37" s="9" t="s">
        <v>73</v>
      </c>
      <c r="F37" s="9" t="s">
        <v>21</v>
      </c>
      <c r="G37" s="9" t="s">
        <v>58</v>
      </c>
      <c r="H37" s="9" t="s">
        <v>17</v>
      </c>
      <c r="I37" s="9" t="s">
        <v>17</v>
      </c>
      <c r="J37" s="9" t="s">
        <v>74</v>
      </c>
    </row>
    <row r="38" spans="1:10" x14ac:dyDescent="0.25" outlineLevel="1" collapsed="1">
      <c r="A38" s="9" t="s">
        <v>21</v>
      </c>
      <c r="B38" s="9" t="s">
        <v>26</v>
      </c>
      <c r="C38" s="9" t="s">
        <v>75</v>
      </c>
      <c r="D38" s="9"/>
      <c r="E38" s="9" t="s">
        <v>76</v>
      </c>
      <c r="F38" s="9" t="s">
        <v>21</v>
      </c>
      <c r="G38" s="9" t="s">
        <v>236</v>
      </c>
      <c r="H38" s="9" t="s">
        <v>17</v>
      </c>
      <c r="I38" s="9" t="s">
        <v>17</v>
      </c>
      <c r="J38" s="9" t="s">
        <v>78</v>
      </c>
    </row>
    <row r="39" spans="1:10" x14ac:dyDescent="0.25" outlineLevel="1" collapsed="1">
      <c r="A39" s="9" t="s">
        <v>15</v>
      </c>
      <c r="B39" s="9" t="s">
        <v>79</v>
      </c>
      <c r="C39" s="9" t="s">
        <v>17</v>
      </c>
      <c r="D39" s="9"/>
      <c r="E39" s="9" t="s">
        <v>80</v>
      </c>
      <c r="F39" s="9" t="s">
        <v>21</v>
      </c>
      <c r="G39" s="9">
        <v>1</v>
      </c>
      <c r="H39" s="9" t="s">
        <v>17</v>
      </c>
      <c r="I39" s="9" t="s">
        <v>17</v>
      </c>
      <c r="J39" s="9" t="s">
        <v>81</v>
      </c>
    </row>
    <row r="40" spans="1:10" x14ac:dyDescent="0.25">
      <c r="A40" s="5" t="s">
        <v>15</v>
      </c>
      <c r="B40" s="6" t="s">
        <v>120</v>
      </c>
      <c r="C40" s="5" t="s">
        <v>17</v>
      </c>
      <c r="D40" s="5"/>
      <c r="E40" s="5" t="s">
        <v>120</v>
      </c>
      <c r="F40" s="5" t="s">
        <v>21</v>
      </c>
      <c r="G40" s="5" t="s">
        <v>237</v>
      </c>
      <c r="H40" s="5" t="s">
        <v>17</v>
      </c>
      <c r="I40" s="5" t="s">
        <v>17</v>
      </c>
      <c r="J40" s="5" t="s">
        <v>121</v>
      </c>
    </row>
    <row r="41" spans="1:10" x14ac:dyDescent="0.25" outlineLevel="1" collapsed="1">
      <c r="A41" s="9" t="s">
        <v>15</v>
      </c>
      <c r="B41" s="9" t="s">
        <v>23</v>
      </c>
      <c r="C41" s="10" t="s">
        <v>122</v>
      </c>
      <c r="D41" s="9"/>
      <c r="E41" s="9" t="s">
        <v>123</v>
      </c>
      <c r="F41" s="9" t="s">
        <v>21</v>
      </c>
      <c r="G41" s="9" t="s">
        <v>124</v>
      </c>
      <c r="H41" s="9" t="s">
        <v>17</v>
      </c>
      <c r="I41" s="9" t="s">
        <v>17</v>
      </c>
      <c r="J41" s="9" t="s">
        <v>125</v>
      </c>
    </row>
    <row r="42" spans="1:10" x14ac:dyDescent="0.25" outlineLevel="1" collapsed="1">
      <c r="A42" s="7" t="s">
        <v>21</v>
      </c>
      <c r="B42" s="8" t="s">
        <v>126</v>
      </c>
      <c r="C42" s="7" t="s">
        <v>17</v>
      </c>
      <c r="D42" s="7">
        <f>EXACT(G41,"HWT, IWT")</f>
      </c>
      <c r="E42" s="7" t="s">
        <v>126</v>
      </c>
      <c r="F42" s="7" t="s">
        <v>21</v>
      </c>
      <c r="G42" s="7" t="s">
        <v>17</v>
      </c>
      <c r="H42" s="7" t="s">
        <v>17</v>
      </c>
      <c r="I42" s="7" t="s">
        <v>17</v>
      </c>
      <c r="J42" s="7" t="s">
        <v>127</v>
      </c>
    </row>
    <row r="43" spans="1:10" x14ac:dyDescent="0.25" outlineLevel="2" collapsed="1">
      <c r="A43" s="9" t="s">
        <v>15</v>
      </c>
      <c r="B43" s="9" t="s">
        <v>23</v>
      </c>
      <c r="C43" s="10" t="s">
        <v>128</v>
      </c>
      <c r="D43" s="9"/>
      <c r="E43" s="9" t="s">
        <v>126</v>
      </c>
      <c r="F43" s="9" t="s">
        <v>21</v>
      </c>
      <c r="G43" s="9" t="s">
        <v>129</v>
      </c>
      <c r="H43" s="9" t="s">
        <v>17</v>
      </c>
      <c r="I43" s="9" t="s">
        <v>17</v>
      </c>
      <c r="J43" s="9" t="s">
        <v>130</v>
      </c>
    </row>
    <row r="44" spans="1:10" x14ac:dyDescent="0.25" outlineLevel="2" collapsed="1">
      <c r="A44" s="9" t="s">
        <v>21</v>
      </c>
      <c r="B44" s="9" t="s">
        <v>56</v>
      </c>
      <c r="C44" s="9" t="s">
        <v>17</v>
      </c>
      <c r="D44" s="9">
        <f>EXACT(G43,"Other (specify)")</f>
      </c>
      <c r="E44" s="9" t="s">
        <v>131</v>
      </c>
      <c r="F44" s="9" t="s">
        <v>21</v>
      </c>
      <c r="G44" s="9" t="s">
        <v>58</v>
      </c>
      <c r="H44" s="9" t="s">
        <v>17</v>
      </c>
      <c r="I44" s="9" t="s">
        <v>17</v>
      </c>
      <c r="J44" s="9" t="s">
        <v>132</v>
      </c>
    </row>
    <row r="45" spans="1:10" x14ac:dyDescent="0.25" outlineLevel="1" collapsed="1">
      <c r="A45" s="9" t="s">
        <v>21</v>
      </c>
      <c r="B45" s="9" t="s">
        <v>56</v>
      </c>
      <c r="C45" s="9" t="s">
        <v>17</v>
      </c>
      <c r="D45" s="9">
        <f>EXACT(G41,"HWT, IWT")</f>
      </c>
      <c r="E45" s="9" t="s">
        <v>133</v>
      </c>
      <c r="F45" s="9" t="s">
        <v>21</v>
      </c>
      <c r="G45" s="9" t="s">
        <v>58</v>
      </c>
      <c r="H45" s="9" t="s">
        <v>17</v>
      </c>
      <c r="I45" s="9" t="s">
        <v>17</v>
      </c>
      <c r="J45" s="9" t="s">
        <v>134</v>
      </c>
    </row>
    <row r="46" spans="1:10" x14ac:dyDescent="0.25" outlineLevel="1" collapsed="1">
      <c r="A46" s="9" t="s">
        <v>21</v>
      </c>
      <c r="B46" s="9" t="s">
        <v>56</v>
      </c>
      <c r="C46" s="9" t="s">
        <v>17</v>
      </c>
      <c r="D46" s="9">
        <f>EXACT(G41,"HWT, IWT")</f>
      </c>
      <c r="E46" s="9" t="s">
        <v>135</v>
      </c>
      <c r="F46" s="9" t="s">
        <v>21</v>
      </c>
      <c r="G46" s="9" t="s">
        <v>58</v>
      </c>
      <c r="H46" s="9" t="s">
        <v>17</v>
      </c>
      <c r="I46" s="9" t="s">
        <v>17</v>
      </c>
      <c r="J46" s="9" t="s">
        <v>136</v>
      </c>
    </row>
    <row r="47" spans="1:10" x14ac:dyDescent="0.25" outlineLevel="1" collapsed="1">
      <c r="A47" s="9" t="s">
        <v>21</v>
      </c>
      <c r="B47" s="9" t="s">
        <v>56</v>
      </c>
      <c r="C47" s="9" t="s">
        <v>17</v>
      </c>
      <c r="D47" s="9">
        <f>EXACT(G41,"HWT, IWT")</f>
      </c>
      <c r="E47" s="9" t="s">
        <v>137</v>
      </c>
      <c r="F47" s="9" t="s">
        <v>21</v>
      </c>
      <c r="G47" s="9" t="s">
        <v>58</v>
      </c>
      <c r="H47" s="9" t="s">
        <v>17</v>
      </c>
      <c r="I47" s="9" t="s">
        <v>17</v>
      </c>
      <c r="J47" s="9" t="s">
        <v>138</v>
      </c>
    </row>
    <row r="48" spans="1:10" x14ac:dyDescent="0.25" outlineLevel="1" collapsed="1">
      <c r="A48" s="9" t="s">
        <v>21</v>
      </c>
      <c r="B48" s="9" t="s">
        <v>56</v>
      </c>
      <c r="C48" s="9" t="s">
        <v>17</v>
      </c>
      <c r="D48" s="9">
        <f>EXACT(G41,"HWT, IWT")</f>
      </c>
      <c r="E48" s="9" t="s">
        <v>139</v>
      </c>
      <c r="F48" s="9" t="s">
        <v>21</v>
      </c>
      <c r="G48" s="9" t="s">
        <v>58</v>
      </c>
      <c r="H48" s="9" t="s">
        <v>17</v>
      </c>
      <c r="I48" s="9" t="s">
        <v>17</v>
      </c>
      <c r="J48" s="9" t="s">
        <v>140</v>
      </c>
    </row>
    <row r="49" spans="1:10" x14ac:dyDescent="0.25" outlineLevel="1" collapsed="1">
      <c r="A49" s="9" t="s">
        <v>21</v>
      </c>
      <c r="B49" s="9" t="s">
        <v>79</v>
      </c>
      <c r="C49" s="9" t="s">
        <v>17</v>
      </c>
      <c r="D49" s="9">
        <f>EXACT(G41,"HWT, IWT")</f>
      </c>
      <c r="E49" s="9" t="s">
        <v>141</v>
      </c>
      <c r="F49" s="9" t="s">
        <v>21</v>
      </c>
      <c r="G49" s="9">
        <v>1</v>
      </c>
      <c r="H49" s="9" t="s">
        <v>17</v>
      </c>
      <c r="I49" s="9" t="s">
        <v>17</v>
      </c>
      <c r="J49" s="9" t="s">
        <v>142</v>
      </c>
    </row>
    <row r="50" spans="1:10" x14ac:dyDescent="0.25" outlineLevel="1" collapsed="1">
      <c r="A50" s="9" t="s">
        <v>21</v>
      </c>
      <c r="B50" s="9" t="s">
        <v>56</v>
      </c>
      <c r="C50" s="9" t="s">
        <v>17</v>
      </c>
      <c r="D50" s="9">
        <f>EXACT(G41,"HWT, IWT")</f>
      </c>
      <c r="E50" s="9" t="s">
        <v>143</v>
      </c>
      <c r="F50" s="9" t="s">
        <v>21</v>
      </c>
      <c r="G50" s="9" t="s">
        <v>58</v>
      </c>
      <c r="H50" s="9" t="s">
        <v>17</v>
      </c>
      <c r="I50" s="9" t="s">
        <v>17</v>
      </c>
      <c r="J50" s="9" t="s">
        <v>144</v>
      </c>
    </row>
    <row r="51" spans="1:10" x14ac:dyDescent="0.25" outlineLevel="1" collapsed="1">
      <c r="A51" s="9" t="s">
        <v>21</v>
      </c>
      <c r="B51" s="9" t="s">
        <v>79</v>
      </c>
      <c r="C51" s="9" t="s">
        <v>17</v>
      </c>
      <c r="D51" s="9">
        <f>EXACT(G41,"HWT, IWT")</f>
      </c>
      <c r="E51" s="9" t="s">
        <v>145</v>
      </c>
      <c r="F51" s="9" t="s">
        <v>21</v>
      </c>
      <c r="G51" s="9">
        <v>1</v>
      </c>
      <c r="H51" s="9" t="s">
        <v>17</v>
      </c>
      <c r="I51" s="9" t="s">
        <v>17</v>
      </c>
      <c r="J51" s="9" t="s">
        <v>146</v>
      </c>
    </row>
    <row r="52" spans="1:10" x14ac:dyDescent="0.25" outlineLevel="1" collapsed="1">
      <c r="A52" s="9" t="s">
        <v>21</v>
      </c>
      <c r="B52" s="9" t="s">
        <v>79</v>
      </c>
      <c r="C52" s="9" t="s">
        <v>17</v>
      </c>
      <c r="D52" s="9">
        <f>EXACT(G41,"HWT, IWT")</f>
      </c>
      <c r="E52" s="9" t="s">
        <v>147</v>
      </c>
      <c r="F52" s="9" t="s">
        <v>21</v>
      </c>
      <c r="G52" s="9">
        <v>1</v>
      </c>
      <c r="H52" s="9" t="s">
        <v>17</v>
      </c>
      <c r="I52" s="9" t="s">
        <v>17</v>
      </c>
      <c r="J52" s="9" t="s">
        <v>148</v>
      </c>
    </row>
    <row r="53" spans="1:10" x14ac:dyDescent="0.25" outlineLevel="1" collapsed="1">
      <c r="A53" s="9" t="s">
        <v>21</v>
      </c>
      <c r="B53" s="9" t="s">
        <v>56</v>
      </c>
      <c r="C53" s="9" t="s">
        <v>17</v>
      </c>
      <c r="D53" s="9">
        <f>EXACT(G41,"HWT, IWT")</f>
      </c>
      <c r="E53" s="9" t="s">
        <v>149</v>
      </c>
      <c r="F53" s="9" t="s">
        <v>21</v>
      </c>
      <c r="G53" s="9" t="s">
        <v>58</v>
      </c>
      <c r="H53" s="9" t="s">
        <v>17</v>
      </c>
      <c r="I53" s="9" t="s">
        <v>17</v>
      </c>
      <c r="J53" s="9" t="s">
        <v>150</v>
      </c>
    </row>
    <row r="54" spans="1:10" x14ac:dyDescent="0.25" outlineLevel="1" collapsed="1">
      <c r="A54" s="7" t="s">
        <v>21</v>
      </c>
      <c r="B54" s="8" t="s">
        <v>151</v>
      </c>
      <c r="C54" s="7" t="s">
        <v>17</v>
      </c>
      <c r="D54" s="7">
        <f>EXACT(G41,"CWT, CWS")</f>
      </c>
      <c r="E54" s="7" t="s">
        <v>126</v>
      </c>
      <c r="F54" s="7" t="s">
        <v>21</v>
      </c>
      <c r="G54" s="7" t="s">
        <v>17</v>
      </c>
      <c r="H54" s="7" t="s">
        <v>17</v>
      </c>
      <c r="I54" s="7" t="s">
        <v>17</v>
      </c>
      <c r="J54" s="7" t="s">
        <v>152</v>
      </c>
    </row>
    <row r="55" spans="1:10" x14ac:dyDescent="0.25" outlineLevel="2" collapsed="1">
      <c r="A55" s="9" t="s">
        <v>15</v>
      </c>
      <c r="B55" s="9" t="s">
        <v>23</v>
      </c>
      <c r="C55" s="10" t="s">
        <v>153</v>
      </c>
      <c r="D55" s="9"/>
      <c r="E55" s="9" t="s">
        <v>126</v>
      </c>
      <c r="F55" s="9" t="s">
        <v>21</v>
      </c>
      <c r="G55" s="9" t="s">
        <v>154</v>
      </c>
      <c r="H55" s="9" t="s">
        <v>17</v>
      </c>
      <c r="I55" s="9" t="s">
        <v>17</v>
      </c>
      <c r="J55" s="9" t="s">
        <v>155</v>
      </c>
    </row>
    <row r="56" spans="1:10" x14ac:dyDescent="0.25" outlineLevel="2" collapsed="1">
      <c r="A56" s="9" t="s">
        <v>21</v>
      </c>
      <c r="B56" s="9" t="s">
        <v>56</v>
      </c>
      <c r="C56" s="9" t="s">
        <v>17</v>
      </c>
      <c r="D56" s="9">
        <f>EXACT(G55,"Other (specify)")</f>
      </c>
      <c r="E56" s="9" t="s">
        <v>131</v>
      </c>
      <c r="F56" s="9" t="s">
        <v>21</v>
      </c>
      <c r="G56" s="9" t="s">
        <v>58</v>
      </c>
      <c r="H56" s="9" t="s">
        <v>17</v>
      </c>
      <c r="I56" s="9" t="s">
        <v>17</v>
      </c>
      <c r="J56" s="9" t="s">
        <v>132</v>
      </c>
    </row>
    <row r="57" spans="1:10" x14ac:dyDescent="0.25" outlineLevel="1" collapsed="1">
      <c r="A57" s="9" t="s">
        <v>21</v>
      </c>
      <c r="B57" s="9" t="s">
        <v>56</v>
      </c>
      <c r="C57" s="9" t="s">
        <v>17</v>
      </c>
      <c r="D57" s="9">
        <f>EXACT(G41,"CWT, CWS")</f>
      </c>
      <c r="E57" s="9" t="s">
        <v>133</v>
      </c>
      <c r="F57" s="9" t="s">
        <v>21</v>
      </c>
      <c r="G57" s="9" t="s">
        <v>58</v>
      </c>
      <c r="H57" s="9" t="s">
        <v>17</v>
      </c>
      <c r="I57" s="9" t="s">
        <v>17</v>
      </c>
      <c r="J57" s="9" t="s">
        <v>156</v>
      </c>
    </row>
    <row r="58" spans="1:10" x14ac:dyDescent="0.25" outlineLevel="1" collapsed="1">
      <c r="A58" s="9" t="s">
        <v>21</v>
      </c>
      <c r="B58" s="9" t="s">
        <v>56</v>
      </c>
      <c r="C58" s="9" t="s">
        <v>17</v>
      </c>
      <c r="D58" s="9">
        <f>EXACT(G41,"CWT, CWS")</f>
      </c>
      <c r="E58" s="9" t="s">
        <v>157</v>
      </c>
      <c r="F58" s="9" t="s">
        <v>21</v>
      </c>
      <c r="G58" s="9" t="s">
        <v>58</v>
      </c>
      <c r="H58" s="9" t="s">
        <v>17</v>
      </c>
      <c r="I58" s="9" t="s">
        <v>17</v>
      </c>
      <c r="J58" s="9" t="s">
        <v>158</v>
      </c>
    </row>
    <row r="59" spans="1:10" x14ac:dyDescent="0.25" outlineLevel="1" collapsed="1">
      <c r="A59" s="9" t="s">
        <v>21</v>
      </c>
      <c r="B59" s="9" t="s">
        <v>56</v>
      </c>
      <c r="C59" s="9" t="s">
        <v>17</v>
      </c>
      <c r="D59" s="9">
        <f>EXACT(G41,"CWT, CWS")</f>
      </c>
      <c r="E59" s="9" t="s">
        <v>159</v>
      </c>
      <c r="F59" s="9" t="s">
        <v>21</v>
      </c>
      <c r="G59" s="9" t="s">
        <v>58</v>
      </c>
      <c r="H59" s="9" t="s">
        <v>17</v>
      </c>
      <c r="I59" s="9" t="s">
        <v>17</v>
      </c>
      <c r="J59" s="9" t="s">
        <v>160</v>
      </c>
    </row>
    <row r="60" spans="1:10" x14ac:dyDescent="0.25" outlineLevel="1" collapsed="1">
      <c r="A60" s="9" t="s">
        <v>21</v>
      </c>
      <c r="B60" s="9" t="s">
        <v>79</v>
      </c>
      <c r="C60" s="9" t="s">
        <v>17</v>
      </c>
      <c r="D60" s="9">
        <f>EXACT(G41,"CWT, CWS")</f>
      </c>
      <c r="E60" s="9" t="s">
        <v>161</v>
      </c>
      <c r="F60" s="9" t="s">
        <v>21</v>
      </c>
      <c r="G60" s="9">
        <v>1</v>
      </c>
      <c r="H60" s="9" t="s">
        <v>17</v>
      </c>
      <c r="I60" s="9" t="s">
        <v>17</v>
      </c>
      <c r="J60" s="9" t="s">
        <v>162</v>
      </c>
    </row>
    <row r="61" spans="1:10" x14ac:dyDescent="0.25" outlineLevel="1" collapsed="1">
      <c r="A61" s="9" t="s">
        <v>21</v>
      </c>
      <c r="B61" s="9" t="s">
        <v>79</v>
      </c>
      <c r="C61" s="9" t="s">
        <v>17</v>
      </c>
      <c r="D61" s="9">
        <f>EXACT(G41,"CWT, CWS")</f>
      </c>
      <c r="E61" s="9" t="s">
        <v>163</v>
      </c>
      <c r="F61" s="9" t="s">
        <v>21</v>
      </c>
      <c r="G61" s="9">
        <v>1</v>
      </c>
      <c r="H61" s="9" t="s">
        <v>17</v>
      </c>
      <c r="I61" s="9" t="s">
        <v>17</v>
      </c>
      <c r="J61" s="9" t="s">
        <v>164</v>
      </c>
    </row>
    <row r="62" spans="1:10" x14ac:dyDescent="0.25" outlineLevel="1" collapsed="1">
      <c r="A62" s="9" t="s">
        <v>21</v>
      </c>
      <c r="B62" s="9" t="s">
        <v>56</v>
      </c>
      <c r="C62" s="9" t="s">
        <v>17</v>
      </c>
      <c r="D62" s="9">
        <f>EXACT(G41,"CWT, CWS")</f>
      </c>
      <c r="E62" s="9" t="s">
        <v>137</v>
      </c>
      <c r="F62" s="9" t="s">
        <v>21</v>
      </c>
      <c r="G62" s="9" t="s">
        <v>58</v>
      </c>
      <c r="H62" s="9" t="s">
        <v>17</v>
      </c>
      <c r="I62" s="9" t="s">
        <v>17</v>
      </c>
      <c r="J62" s="9" t="s">
        <v>165</v>
      </c>
    </row>
    <row r="63" spans="1:10" x14ac:dyDescent="0.25" outlineLevel="1" collapsed="1">
      <c r="A63" s="9" t="s">
        <v>21</v>
      </c>
      <c r="B63" s="9" t="s">
        <v>56</v>
      </c>
      <c r="C63" s="9" t="s">
        <v>17</v>
      </c>
      <c r="D63" s="9">
        <f>EXACT(G41,"CWT, CWS")</f>
      </c>
      <c r="E63" s="9" t="s">
        <v>139</v>
      </c>
      <c r="F63" s="9" t="s">
        <v>21</v>
      </c>
      <c r="G63" s="9" t="s">
        <v>58</v>
      </c>
      <c r="H63" s="9" t="s">
        <v>17</v>
      </c>
      <c r="I63" s="9" t="s">
        <v>17</v>
      </c>
      <c r="J63" s="9" t="s">
        <v>166</v>
      </c>
    </row>
    <row r="64" spans="1:10" x14ac:dyDescent="0.25" outlineLevel="1" collapsed="1">
      <c r="A64" s="9" t="s">
        <v>21</v>
      </c>
      <c r="B64" s="9" t="s">
        <v>56</v>
      </c>
      <c r="C64" s="9" t="s">
        <v>17</v>
      </c>
      <c r="D64" s="9">
        <f>EXACT(G41,"CWT, CWS")</f>
      </c>
      <c r="E64" s="9" t="s">
        <v>167</v>
      </c>
      <c r="F64" s="9" t="s">
        <v>21</v>
      </c>
      <c r="G64" s="9" t="s">
        <v>58</v>
      </c>
      <c r="H64" s="9" t="s">
        <v>17</v>
      </c>
      <c r="I64" s="9" t="s">
        <v>17</v>
      </c>
      <c r="J64" s="9" t="s">
        <v>168</v>
      </c>
    </row>
    <row r="65" spans="1:10" x14ac:dyDescent="0.25" outlineLevel="1" collapsed="1">
      <c r="A65" s="9" t="s">
        <v>21</v>
      </c>
      <c r="B65" s="9" t="s">
        <v>169</v>
      </c>
      <c r="C65" s="9" t="s">
        <v>17</v>
      </c>
      <c r="D65" s="9">
        <f>EXACT(G41,"CWT, CWS")</f>
      </c>
      <c r="E65" s="9" t="s">
        <v>170</v>
      </c>
      <c r="F65" s="9" t="s">
        <v>21</v>
      </c>
      <c r="G65" s="9" t="b">
        <v>1</v>
      </c>
      <c r="H65" s="9" t="s">
        <v>17</v>
      </c>
      <c r="I65" s="9" t="s">
        <v>17</v>
      </c>
      <c r="J65" s="9" t="s">
        <v>171</v>
      </c>
    </row>
    <row r="66" spans="1:10" x14ac:dyDescent="0.25" outlineLevel="1" collapsed="1">
      <c r="A66" s="9" t="s">
        <v>21</v>
      </c>
      <c r="B66" s="9" t="s">
        <v>56</v>
      </c>
      <c r="C66" s="9" t="s">
        <v>17</v>
      </c>
      <c r="D66" s="9">
        <f>EXACT(G41,"CWT, CWS")</f>
      </c>
      <c r="E66" s="9" t="s">
        <v>2</v>
      </c>
      <c r="F66" s="9" t="s">
        <v>21</v>
      </c>
      <c r="G66" s="9" t="s">
        <v>58</v>
      </c>
      <c r="H66" s="9" t="s">
        <v>17</v>
      </c>
      <c r="I66" s="9" t="s">
        <v>17</v>
      </c>
      <c r="J66" s="9" t="s">
        <v>172</v>
      </c>
    </row>
    <row r="67" spans="1:10" x14ac:dyDescent="0.25" outlineLevel="1" collapsed="1">
      <c r="A67" s="9" t="s">
        <v>21</v>
      </c>
      <c r="B67" s="9" t="s">
        <v>56</v>
      </c>
      <c r="C67" s="9" t="s">
        <v>17</v>
      </c>
      <c r="D67" s="9">
        <f>EXACT(G41,"CWT, CWS")</f>
      </c>
      <c r="E67" s="9" t="s">
        <v>173</v>
      </c>
      <c r="F67" s="9" t="s">
        <v>21</v>
      </c>
      <c r="G67" s="9" t="s">
        <v>58</v>
      </c>
      <c r="H67" s="9" t="s">
        <v>17</v>
      </c>
      <c r="I67" s="9" t="s">
        <v>17</v>
      </c>
      <c r="J67" s="9" t="s">
        <v>174</v>
      </c>
    </row>
    <row r="68" spans="1:10" x14ac:dyDescent="0.25" outlineLevel="1" collapsed="1">
      <c r="A68" s="9" t="s">
        <v>21</v>
      </c>
      <c r="B68" s="9" t="s">
        <v>175</v>
      </c>
      <c r="C68" s="9" t="s">
        <v>17</v>
      </c>
      <c r="D68" s="9">
        <f>EXACT(G41,"CWT, CWS")</f>
      </c>
      <c r="E68" s="9" t="s">
        <v>176</v>
      </c>
      <c r="F68" s="9" t="s">
        <v>21</v>
      </c>
      <c r="G68" s="9" t="s">
        <v>238</v>
      </c>
      <c r="H68" s="9" t="s">
        <v>17</v>
      </c>
      <c r="I68" s="9" t="s">
        <v>17</v>
      </c>
      <c r="J68" s="9" t="s">
        <v>178</v>
      </c>
    </row>
    <row r="69" spans="1:10" x14ac:dyDescent="0.25" outlineLevel="1" collapsed="1">
      <c r="A69" s="7" t="s">
        <v>21</v>
      </c>
      <c r="B69" s="8" t="s">
        <v>179</v>
      </c>
      <c r="C69" s="7" t="s">
        <v>17</v>
      </c>
      <c r="D69" s="7">
        <f>EXACT(G41,"CWT, CWS")</f>
      </c>
      <c r="E69" s="7" t="s">
        <v>180</v>
      </c>
      <c r="F69" s="7" t="s">
        <v>21</v>
      </c>
      <c r="G69" s="7" t="s">
        <v>17</v>
      </c>
      <c r="H69" s="7" t="s">
        <v>17</v>
      </c>
      <c r="I69" s="7" t="s">
        <v>17</v>
      </c>
      <c r="J69" s="7" t="s">
        <v>181</v>
      </c>
    </row>
    <row r="70" spans="1:10" x14ac:dyDescent="0.25" outlineLevel="2" collapsed="1">
      <c r="A70" s="9" t="s">
        <v>15</v>
      </c>
      <c r="B70" s="9" t="s">
        <v>169</v>
      </c>
      <c r="C70" s="9" t="s">
        <v>17</v>
      </c>
      <c r="D70" s="9"/>
      <c r="E70" s="9" t="s">
        <v>182</v>
      </c>
      <c r="F70" s="9" t="s">
        <v>21</v>
      </c>
      <c r="G70" s="9" t="b">
        <v>1</v>
      </c>
      <c r="H70" s="9" t="s">
        <v>17</v>
      </c>
      <c r="I70" s="9" t="s">
        <v>17</v>
      </c>
      <c r="J70" s="9" t="s">
        <v>183</v>
      </c>
    </row>
    <row r="71" spans="1:10" x14ac:dyDescent="0.25" outlineLevel="2" collapsed="1">
      <c r="A71" s="9" t="s">
        <v>21</v>
      </c>
      <c r="B71" s="9" t="s">
        <v>89</v>
      </c>
      <c r="C71" s="9" t="s">
        <v>17</v>
      </c>
      <c r="D71" s="9">
        <f>EXACT(G70,true)</f>
      </c>
      <c r="E71" s="9" t="s">
        <v>184</v>
      </c>
      <c r="F71" s="9" t="s">
        <v>21</v>
      </c>
      <c r="G71" s="9" t="s">
        <v>91</v>
      </c>
      <c r="H71" s="9" t="s">
        <v>17</v>
      </c>
      <c r="I71" s="9" t="s">
        <v>17</v>
      </c>
      <c r="J71" s="9" t="s">
        <v>185</v>
      </c>
    </row>
    <row r="72" spans="1:10" x14ac:dyDescent="0.25" outlineLevel="2" collapsed="1">
      <c r="A72" s="9" t="s">
        <v>21</v>
      </c>
      <c r="B72" s="9" t="s">
        <v>26</v>
      </c>
      <c r="C72" s="9" t="s">
        <v>186</v>
      </c>
      <c r="D72" s="9">
        <f>EXACT(G70,true)</f>
      </c>
      <c r="E72" s="9" t="s">
        <v>187</v>
      </c>
      <c r="F72" s="9" t="s">
        <v>21</v>
      </c>
      <c r="G72" s="9" t="s">
        <v>239</v>
      </c>
      <c r="H72" s="9" t="s">
        <v>17</v>
      </c>
      <c r="I72" s="9" t="s">
        <v>17</v>
      </c>
      <c r="J72" s="9" t="s">
        <v>189</v>
      </c>
    </row>
    <row r="73" spans="1:10" x14ac:dyDescent="0.25" outlineLevel="2" collapsed="1">
      <c r="A73" s="9" t="s">
        <v>21</v>
      </c>
      <c r="B73" s="9" t="s">
        <v>89</v>
      </c>
      <c r="C73" s="9" t="s">
        <v>17</v>
      </c>
      <c r="D73" s="9">
        <f>EXACT(G70,true)</f>
      </c>
      <c r="E73" s="9" t="s">
        <v>190</v>
      </c>
      <c r="F73" s="9" t="s">
        <v>21</v>
      </c>
      <c r="G73" s="9" t="s">
        <v>91</v>
      </c>
      <c r="H73" s="9" t="s">
        <v>17</v>
      </c>
      <c r="I73" s="9" t="s">
        <v>17</v>
      </c>
      <c r="J73" s="9" t="s">
        <v>191</v>
      </c>
    </row>
    <row r="74" spans="1:10" x14ac:dyDescent="0.25" outlineLevel="2" collapsed="1">
      <c r="A74" s="9" t="s">
        <v>21</v>
      </c>
      <c r="B74" s="9" t="s">
        <v>175</v>
      </c>
      <c r="C74" s="9" t="s">
        <v>17</v>
      </c>
      <c r="D74" s="9">
        <f>EXACT(G70,true)</f>
      </c>
      <c r="E74" s="9" t="s">
        <v>192</v>
      </c>
      <c r="F74" s="9" t="s">
        <v>21</v>
      </c>
      <c r="G74" s="9" t="s">
        <v>240</v>
      </c>
      <c r="H74" s="9" t="s">
        <v>17</v>
      </c>
      <c r="I74" s="9" t="s">
        <v>17</v>
      </c>
      <c r="J74" s="9" t="s">
        <v>194</v>
      </c>
    </row>
    <row r="75" spans="1:10" x14ac:dyDescent="0.25" outlineLevel="2" collapsed="1">
      <c r="A75" s="9" t="s">
        <v>21</v>
      </c>
      <c r="B75" s="9" t="s">
        <v>175</v>
      </c>
      <c r="C75" s="9" t="s">
        <v>17</v>
      </c>
      <c r="D75" s="9">
        <f>EXACT(G70,true)</f>
      </c>
      <c r="E75" s="9" t="s">
        <v>195</v>
      </c>
      <c r="F75" s="9" t="s">
        <v>21</v>
      </c>
      <c r="G75" s="9" t="s">
        <v>241</v>
      </c>
      <c r="H75" s="9" t="s">
        <v>17</v>
      </c>
      <c r="I75" s="9" t="s">
        <v>17</v>
      </c>
      <c r="J75" s="9" t="s">
        <v>197</v>
      </c>
    </row>
    <row r="76" spans="1:10" x14ac:dyDescent="0.25" outlineLevel="1" collapsed="1">
      <c r="A76" s="9" t="s">
        <v>15</v>
      </c>
      <c r="B76" s="9" t="s">
        <v>56</v>
      </c>
      <c r="C76" s="9" t="s">
        <v>17</v>
      </c>
      <c r="D76" s="9"/>
      <c r="E76" s="9" t="s">
        <v>198</v>
      </c>
      <c r="F76" s="9" t="s">
        <v>21</v>
      </c>
      <c r="G76" s="9" t="s">
        <v>58</v>
      </c>
      <c r="H76" s="9" t="s">
        <v>17</v>
      </c>
      <c r="I76" s="9" t="s">
        <v>17</v>
      </c>
      <c r="J76" s="9" t="s">
        <v>199</v>
      </c>
    </row>
    <row r="77" spans="1:10" x14ac:dyDescent="0.25">
      <c r="A77" s="5" t="s">
        <v>15</v>
      </c>
      <c r="B77" s="6" t="s">
        <v>242</v>
      </c>
      <c r="C77" s="5" t="s">
        <v>17</v>
      </c>
      <c r="D77" s="5"/>
      <c r="E77" s="5" t="s">
        <v>243</v>
      </c>
      <c r="F77" s="5" t="s">
        <v>21</v>
      </c>
      <c r="G77" s="5" t="s">
        <v>244</v>
      </c>
      <c r="H77" s="5" t="s">
        <v>17</v>
      </c>
      <c r="I77" s="5" t="s">
        <v>17</v>
      </c>
      <c r="J77" s="5" t="s">
        <v>245</v>
      </c>
    </row>
    <row r="78" spans="1:10" x14ac:dyDescent="0.25" outlineLevel="1" collapsed="1">
      <c r="A78" s="9" t="s">
        <v>15</v>
      </c>
      <c r="B78" s="9" t="s">
        <v>56</v>
      </c>
      <c r="C78" s="9" t="s">
        <v>17</v>
      </c>
      <c r="D78" s="9"/>
      <c r="E78" s="9" t="s">
        <v>246</v>
      </c>
      <c r="F78" s="9" t="s">
        <v>21</v>
      </c>
      <c r="G78" s="9" t="s">
        <v>247</v>
      </c>
      <c r="H78" s="9" t="s">
        <v>17</v>
      </c>
      <c r="I78" s="9" t="s">
        <v>17</v>
      </c>
      <c r="J78" s="9" t="s">
        <v>245</v>
      </c>
    </row>
    <row r="79" spans="1:10" x14ac:dyDescent="0.25" outlineLevel="1" collapsed="1">
      <c r="A79" s="9" t="s">
        <v>15</v>
      </c>
      <c r="B79" s="9" t="s">
        <v>56</v>
      </c>
      <c r="C79" s="9" t="s">
        <v>17</v>
      </c>
      <c r="D79" s="9"/>
      <c r="E79" s="9" t="s">
        <v>248</v>
      </c>
      <c r="F79" s="9" t="s">
        <v>21</v>
      </c>
      <c r="G79" s="9" t="s">
        <v>249</v>
      </c>
      <c r="H79" s="9" t="s">
        <v>17</v>
      </c>
      <c r="I79" s="9" t="s">
        <v>17</v>
      </c>
      <c r="J79" s="9" t="s">
        <v>250</v>
      </c>
    </row>
    <row r="80" spans="1:10" x14ac:dyDescent="0.25" outlineLevel="1" collapsed="1">
      <c r="A80" s="9" t="s">
        <v>15</v>
      </c>
      <c r="B80" s="9" t="s">
        <v>56</v>
      </c>
      <c r="C80" s="9" t="s">
        <v>17</v>
      </c>
      <c r="D80" s="9"/>
      <c r="E80" s="9" t="s">
        <v>251</v>
      </c>
      <c r="F80" s="9" t="s">
        <v>21</v>
      </c>
      <c r="G80" s="9" t="s">
        <v>252</v>
      </c>
      <c r="H80" s="9" t="s">
        <v>17</v>
      </c>
      <c r="I80" s="9" t="s">
        <v>17</v>
      </c>
      <c r="J80" s="9" t="s">
        <v>253</v>
      </c>
    </row>
    <row r="81" spans="1:10" x14ac:dyDescent="0.25" outlineLevel="1" collapsed="1">
      <c r="A81" s="9" t="s">
        <v>21</v>
      </c>
      <c r="B81" s="9" t="s">
        <v>175</v>
      </c>
      <c r="C81" s="9" t="s">
        <v>17</v>
      </c>
      <c r="D81" s="9"/>
      <c r="E81" s="9" t="s">
        <v>254</v>
      </c>
      <c r="F81" s="9" t="s">
        <v>21</v>
      </c>
      <c r="G81" s="9" t="s">
        <v>255</v>
      </c>
      <c r="H81" s="9" t="s">
        <v>17</v>
      </c>
      <c r="I81" s="9" t="s">
        <v>17</v>
      </c>
      <c r="J81" s="9" t="s">
        <v>256</v>
      </c>
    </row>
    <row r="82" spans="1:10" x14ac:dyDescent="0.25">
      <c r="A82" s="5" t="s">
        <v>15</v>
      </c>
      <c r="B82" s="6" t="s">
        <v>257</v>
      </c>
      <c r="C82" s="5" t="s">
        <v>17</v>
      </c>
      <c r="D82" s="5"/>
      <c r="E82" s="5" t="s">
        <v>258</v>
      </c>
      <c r="F82" s="5" t="s">
        <v>21</v>
      </c>
      <c r="G82" s="5" t="s">
        <v>259</v>
      </c>
      <c r="H82" s="5" t="s">
        <v>17</v>
      </c>
      <c r="I82" s="5" t="s">
        <v>17</v>
      </c>
      <c r="J82" s="5" t="s">
        <v>260</v>
      </c>
    </row>
    <row r="83" spans="1:10" x14ac:dyDescent="0.25" outlineLevel="1" collapsed="1">
      <c r="A83" s="9" t="s">
        <v>15</v>
      </c>
      <c r="B83" s="9" t="s">
        <v>175</v>
      </c>
      <c r="C83" s="9" t="s">
        <v>17</v>
      </c>
      <c r="D83" s="9"/>
      <c r="E83" s="9" t="s">
        <v>261</v>
      </c>
      <c r="F83" s="9" t="s">
        <v>21</v>
      </c>
      <c r="G83" s="9" t="s">
        <v>262</v>
      </c>
      <c r="H83" s="9" t="s">
        <v>17</v>
      </c>
      <c r="I83" s="9" t="s">
        <v>17</v>
      </c>
      <c r="J83" s="9" t="s">
        <v>263</v>
      </c>
    </row>
    <row r="84" spans="1:10" x14ac:dyDescent="0.25" outlineLevel="1" collapsed="1">
      <c r="A84" s="9" t="s">
        <v>15</v>
      </c>
      <c r="B84" s="9" t="s">
        <v>175</v>
      </c>
      <c r="C84" s="9" t="s">
        <v>17</v>
      </c>
      <c r="D84" s="9"/>
      <c r="E84" s="9" t="s">
        <v>264</v>
      </c>
      <c r="F84" s="9" t="s">
        <v>21</v>
      </c>
      <c r="G84" s="9" t="s">
        <v>262</v>
      </c>
      <c r="H84" s="9" t="s">
        <v>17</v>
      </c>
      <c r="I84" s="9" t="s">
        <v>17</v>
      </c>
      <c r="J84" s="9" t="s">
        <v>265</v>
      </c>
    </row>
    <row r="85" spans="1:10" x14ac:dyDescent="0.25" outlineLevel="1" collapsed="1">
      <c r="A85" s="7" t="s">
        <v>15</v>
      </c>
      <c r="B85" s="8" t="s">
        <v>266</v>
      </c>
      <c r="C85" s="7" t="s">
        <v>17</v>
      </c>
      <c r="D85" s="7"/>
      <c r="E85" s="7" t="s">
        <v>267</v>
      </c>
      <c r="F85" s="7" t="s">
        <v>21</v>
      </c>
      <c r="G85" s="7" t="s">
        <v>17</v>
      </c>
      <c r="H85" s="7" t="s">
        <v>17</v>
      </c>
      <c r="I85" s="7" t="s">
        <v>17</v>
      </c>
      <c r="J85" s="7" t="s">
        <v>268</v>
      </c>
    </row>
    <row r="86" spans="1:10" x14ac:dyDescent="0.25" outlineLevel="2" collapsed="1">
      <c r="A86" s="7" t="s">
        <v>15</v>
      </c>
      <c r="B86" s="8" t="s">
        <v>267</v>
      </c>
      <c r="C86" s="7" t="s">
        <v>17</v>
      </c>
      <c r="D86" s="7"/>
      <c r="E86" s="7" t="s">
        <v>269</v>
      </c>
      <c r="F86" s="7" t="s">
        <v>15</v>
      </c>
      <c r="G86" s="7" t="s">
        <v>17</v>
      </c>
      <c r="H86" s="7" t="s">
        <v>17</v>
      </c>
      <c r="I86" s="7" t="s">
        <v>17</v>
      </c>
      <c r="J86" s="7" t="s">
        <v>270</v>
      </c>
    </row>
    <row r="87" spans="1:10" x14ac:dyDescent="0.25" outlineLevel="3" collapsed="1">
      <c r="A87" s="9" t="s">
        <v>15</v>
      </c>
      <c r="B87" s="9" t="s">
        <v>43</v>
      </c>
      <c r="C87" s="9" t="s">
        <v>17</v>
      </c>
      <c r="D87" s="9"/>
      <c r="E87" s="9" t="s">
        <v>271</v>
      </c>
      <c r="F87" s="9" t="s">
        <v>21</v>
      </c>
      <c r="G87" s="9" t="s">
        <v>17</v>
      </c>
      <c r="H87" s="9" t="s">
        <v>17</v>
      </c>
      <c r="I87" s="9" t="s">
        <v>17</v>
      </c>
      <c r="J87" s="9" t="s">
        <v>272</v>
      </c>
    </row>
    <row r="88" spans="1:10" x14ac:dyDescent="0.25" outlineLevel="3" collapsed="1">
      <c r="A88" s="9" t="s">
        <v>15</v>
      </c>
      <c r="B88" s="9" t="s">
        <v>26</v>
      </c>
      <c r="C88" s="9" t="s">
        <v>273</v>
      </c>
      <c r="D88" s="9"/>
      <c r="E88" s="9" t="s">
        <v>274</v>
      </c>
      <c r="F88" s="9" t="s">
        <v>21</v>
      </c>
      <c r="G88" s="9" t="s">
        <v>275</v>
      </c>
      <c r="H88" s="9" t="s">
        <v>17</v>
      </c>
      <c r="I88" s="9" t="s">
        <v>17</v>
      </c>
      <c r="J88" s="9" t="s">
        <v>276</v>
      </c>
    </row>
    <row r="89" spans="1:10" x14ac:dyDescent="0.25" outlineLevel="3" collapsed="1">
      <c r="A89" s="9" t="s">
        <v>15</v>
      </c>
      <c r="B89" s="9" t="s">
        <v>26</v>
      </c>
      <c r="C89" s="9" t="s">
        <v>273</v>
      </c>
      <c r="D89" s="9"/>
      <c r="E89" s="9" t="s">
        <v>277</v>
      </c>
      <c r="F89" s="9" t="s">
        <v>21</v>
      </c>
      <c r="G89" s="9" t="s">
        <v>278</v>
      </c>
      <c r="H89" s="9" t="s">
        <v>17</v>
      </c>
      <c r="I89" s="9" t="s">
        <v>17</v>
      </c>
      <c r="J89" s="9" t="s">
        <v>279</v>
      </c>
    </row>
    <row r="90" spans="1:10" x14ac:dyDescent="0.25" outlineLevel="3" collapsed="1">
      <c r="A90" s="7" t="s">
        <v>15</v>
      </c>
      <c r="B90" s="8" t="s">
        <v>280</v>
      </c>
      <c r="C90" s="7" t="s">
        <v>17</v>
      </c>
      <c r="D90" s="7"/>
      <c r="E90" s="7" t="s">
        <v>280</v>
      </c>
      <c r="F90" s="7" t="s">
        <v>15</v>
      </c>
      <c r="G90" s="7" t="s">
        <v>17</v>
      </c>
      <c r="H90" s="7" t="s">
        <v>17</v>
      </c>
      <c r="I90" s="7" t="s">
        <v>17</v>
      </c>
      <c r="J90" s="7" t="s">
        <v>281</v>
      </c>
    </row>
    <row r="91" spans="1:10" x14ac:dyDescent="0.25" outlineLevel="4" collapsed="1">
      <c r="A91" s="9" t="s">
        <v>15</v>
      </c>
      <c r="B91" s="9" t="s">
        <v>56</v>
      </c>
      <c r="C91" s="9" t="s">
        <v>17</v>
      </c>
      <c r="D91" s="9"/>
      <c r="E91" s="9" t="s">
        <v>282</v>
      </c>
      <c r="F91" s="9" t="s">
        <v>21</v>
      </c>
      <c r="G91" s="9" t="s">
        <v>58</v>
      </c>
      <c r="H91" s="9" t="s">
        <v>17</v>
      </c>
      <c r="I91" s="9" t="s">
        <v>17</v>
      </c>
      <c r="J91" s="9" t="s">
        <v>283</v>
      </c>
    </row>
    <row r="92" spans="1:10" x14ac:dyDescent="0.25" outlineLevel="4" collapsed="1">
      <c r="A92" s="9" t="s">
        <v>15</v>
      </c>
      <c r="B92" s="9" t="s">
        <v>26</v>
      </c>
      <c r="C92" s="9" t="s">
        <v>284</v>
      </c>
      <c r="D92" s="9"/>
      <c r="E92" s="9" t="s">
        <v>285</v>
      </c>
      <c r="F92" s="9" t="s">
        <v>21</v>
      </c>
      <c r="G92" s="9" t="s">
        <v>286</v>
      </c>
      <c r="H92" s="9" t="s">
        <v>17</v>
      </c>
      <c r="I92" s="9" t="s">
        <v>17</v>
      </c>
      <c r="J92" s="9" t="s">
        <v>287</v>
      </c>
    </row>
    <row r="93" spans="1:10" x14ac:dyDescent="0.25" outlineLevel="2" collapsed="1">
      <c r="A93" s="9" t="s">
        <v>15</v>
      </c>
      <c r="B93" s="9" t="s">
        <v>175</v>
      </c>
      <c r="C93" s="9" t="s">
        <v>17</v>
      </c>
      <c r="D93" s="9"/>
      <c r="E93" s="9" t="s">
        <v>288</v>
      </c>
      <c r="F93" s="9" t="s">
        <v>21</v>
      </c>
      <c r="G93" s="9" t="s">
        <v>289</v>
      </c>
      <c r="H93" s="9" t="s">
        <v>17</v>
      </c>
      <c r="I93" s="9" t="s">
        <v>17</v>
      </c>
      <c r="J93" s="9" t="s">
        <v>290</v>
      </c>
    </row>
    <row r="94" spans="1:10" x14ac:dyDescent="0.25" outlineLevel="1" collapsed="1">
      <c r="A94" s="7" t="s">
        <v>15</v>
      </c>
      <c r="B94" s="8" t="s">
        <v>291</v>
      </c>
      <c r="C94" s="7" t="s">
        <v>17</v>
      </c>
      <c r="D94" s="7"/>
      <c r="E94" s="7" t="s">
        <v>292</v>
      </c>
      <c r="F94" s="7" t="s">
        <v>21</v>
      </c>
      <c r="G94" s="7" t="s">
        <v>17</v>
      </c>
      <c r="H94" s="7" t="s">
        <v>17</v>
      </c>
      <c r="I94" s="7" t="s">
        <v>17</v>
      </c>
      <c r="J94" s="7" t="s">
        <v>293</v>
      </c>
    </row>
    <row r="95" spans="1:10" x14ac:dyDescent="0.25" outlineLevel="2" collapsed="1">
      <c r="A95" s="9" t="s">
        <v>15</v>
      </c>
      <c r="B95" s="9" t="s">
        <v>43</v>
      </c>
      <c r="C95" s="9" t="s">
        <v>17</v>
      </c>
      <c r="D95" s="9"/>
      <c r="E95" s="9" t="s">
        <v>271</v>
      </c>
      <c r="F95" s="9" t="s">
        <v>21</v>
      </c>
      <c r="G95" s="9" t="s">
        <v>17</v>
      </c>
      <c r="H95" s="9" t="s">
        <v>17</v>
      </c>
      <c r="I95" s="9" t="s">
        <v>17</v>
      </c>
      <c r="J95" s="9" t="s">
        <v>272</v>
      </c>
    </row>
    <row r="96" spans="1:10" x14ac:dyDescent="0.25" outlineLevel="2" collapsed="1">
      <c r="A96" s="7" t="s">
        <v>15</v>
      </c>
      <c r="B96" s="8" t="s">
        <v>294</v>
      </c>
      <c r="C96" s="7" t="s">
        <v>17</v>
      </c>
      <c r="D96" s="7"/>
      <c r="E96" s="7" t="s">
        <v>292</v>
      </c>
      <c r="F96" s="7" t="s">
        <v>15</v>
      </c>
      <c r="G96" s="7" t="s">
        <v>17</v>
      </c>
      <c r="H96" s="7" t="s">
        <v>17</v>
      </c>
      <c r="I96" s="7" t="s">
        <v>17</v>
      </c>
      <c r="J96" s="7" t="s">
        <v>293</v>
      </c>
    </row>
    <row r="97" spans="1:10" x14ac:dyDescent="0.25" outlineLevel="3" collapsed="1">
      <c r="A97" s="9" t="s">
        <v>15</v>
      </c>
      <c r="B97" s="9" t="s">
        <v>56</v>
      </c>
      <c r="C97" s="9" t="s">
        <v>17</v>
      </c>
      <c r="D97" s="9"/>
      <c r="E97" s="9" t="s">
        <v>295</v>
      </c>
      <c r="F97" s="9" t="s">
        <v>21</v>
      </c>
      <c r="G97" s="9" t="s">
        <v>58</v>
      </c>
      <c r="H97" s="9" t="s">
        <v>17</v>
      </c>
      <c r="I97" s="9" t="s">
        <v>17</v>
      </c>
      <c r="J97" s="9" t="s">
        <v>296</v>
      </c>
    </row>
    <row r="98" spans="1:10" x14ac:dyDescent="0.25" outlineLevel="3" collapsed="1">
      <c r="A98" s="9" t="s">
        <v>15</v>
      </c>
      <c r="B98" s="9" t="s">
        <v>26</v>
      </c>
      <c r="C98" s="9" t="s">
        <v>284</v>
      </c>
      <c r="D98" s="9"/>
      <c r="E98" s="9" t="s">
        <v>297</v>
      </c>
      <c r="F98" s="9" t="s">
        <v>21</v>
      </c>
      <c r="G98" s="9" t="s">
        <v>298</v>
      </c>
      <c r="H98" s="9" t="s">
        <v>17</v>
      </c>
      <c r="I98" s="9" t="s">
        <v>17</v>
      </c>
      <c r="J98" s="9" t="s">
        <v>299</v>
      </c>
    </row>
    <row r="99" spans="1:10" x14ac:dyDescent="0.25" outlineLevel="1" collapsed="1">
      <c r="A99" s="7" t="s">
        <v>15</v>
      </c>
      <c r="B99" s="8" t="s">
        <v>300</v>
      </c>
      <c r="C99" s="7" t="s">
        <v>17</v>
      </c>
      <c r="D99" s="7"/>
      <c r="E99" s="7" t="s">
        <v>301</v>
      </c>
      <c r="F99" s="7" t="s">
        <v>15</v>
      </c>
      <c r="G99" s="7" t="s">
        <v>17</v>
      </c>
      <c r="H99" s="7" t="s">
        <v>17</v>
      </c>
      <c r="I99" s="7" t="s">
        <v>17</v>
      </c>
      <c r="J99" s="7" t="s">
        <v>302</v>
      </c>
    </row>
    <row r="100" spans="1:10" x14ac:dyDescent="0.25" outlineLevel="2" collapsed="1">
      <c r="A100" s="9" t="s">
        <v>15</v>
      </c>
      <c r="B100" s="9" t="s">
        <v>43</v>
      </c>
      <c r="C100" s="9" t="s">
        <v>17</v>
      </c>
      <c r="D100" s="9"/>
      <c r="E100" s="9" t="s">
        <v>271</v>
      </c>
      <c r="F100" s="9" t="s">
        <v>21</v>
      </c>
      <c r="G100" s="9" t="s">
        <v>17</v>
      </c>
      <c r="H100" s="9" t="s">
        <v>17</v>
      </c>
      <c r="I100" s="9" t="s">
        <v>17</v>
      </c>
      <c r="J100" s="9" t="s">
        <v>272</v>
      </c>
    </row>
    <row r="101" spans="1:10" x14ac:dyDescent="0.25" outlineLevel="2" collapsed="1">
      <c r="A101" s="7" t="s">
        <v>15</v>
      </c>
      <c r="B101" s="8" t="s">
        <v>303</v>
      </c>
      <c r="C101" s="7" t="s">
        <v>17</v>
      </c>
      <c r="D101" s="7"/>
      <c r="E101" s="7" t="s">
        <v>301</v>
      </c>
      <c r="F101" s="7" t="s">
        <v>15</v>
      </c>
      <c r="G101" s="7" t="s">
        <v>17</v>
      </c>
      <c r="H101" s="7" t="s">
        <v>17</v>
      </c>
      <c r="I101" s="7" t="s">
        <v>17</v>
      </c>
      <c r="J101" s="7" t="s">
        <v>302</v>
      </c>
    </row>
    <row r="102" spans="1:10" x14ac:dyDescent="0.25" outlineLevel="3" collapsed="1">
      <c r="A102" s="9" t="s">
        <v>15</v>
      </c>
      <c r="B102" s="9" t="s">
        <v>56</v>
      </c>
      <c r="C102" s="9" t="s">
        <v>17</v>
      </c>
      <c r="D102" s="9"/>
      <c r="E102" s="9" t="s">
        <v>304</v>
      </c>
      <c r="F102" s="9" t="s">
        <v>21</v>
      </c>
      <c r="G102" s="9" t="s">
        <v>58</v>
      </c>
      <c r="H102" s="9" t="s">
        <v>17</v>
      </c>
      <c r="I102" s="9" t="s">
        <v>17</v>
      </c>
      <c r="J102" s="9" t="s">
        <v>305</v>
      </c>
    </row>
    <row r="103" spans="1:10" x14ac:dyDescent="0.25" outlineLevel="3" collapsed="1">
      <c r="A103" s="9" t="s">
        <v>15</v>
      </c>
      <c r="B103" s="9" t="s">
        <v>26</v>
      </c>
      <c r="C103" s="9" t="s">
        <v>284</v>
      </c>
      <c r="D103" s="9"/>
      <c r="E103" s="9" t="s">
        <v>297</v>
      </c>
      <c r="F103" s="9" t="s">
        <v>21</v>
      </c>
      <c r="G103" s="9" t="s">
        <v>306</v>
      </c>
      <c r="H103" s="9" t="s">
        <v>17</v>
      </c>
      <c r="I103" s="9" t="s">
        <v>17</v>
      </c>
      <c r="J103" s="9" t="s">
        <v>299</v>
      </c>
    </row>
    <row r="104" spans="1:10" x14ac:dyDescent="0.25" outlineLevel="1" collapsed="1">
      <c r="A104" s="7" t="s">
        <v>15</v>
      </c>
      <c r="B104" s="8" t="s">
        <v>307</v>
      </c>
      <c r="C104" s="7" t="s">
        <v>17</v>
      </c>
      <c r="D104" s="7"/>
      <c r="E104" s="7" t="s">
        <v>308</v>
      </c>
      <c r="F104" s="7" t="s">
        <v>21</v>
      </c>
      <c r="G104" s="7" t="s">
        <v>17</v>
      </c>
      <c r="H104" s="7" t="s">
        <v>17</v>
      </c>
      <c r="I104" s="7" t="s">
        <v>17</v>
      </c>
      <c r="J104" s="7" t="s">
        <v>309</v>
      </c>
    </row>
    <row r="105" spans="1:10" x14ac:dyDescent="0.25" outlineLevel="2" collapsed="1">
      <c r="A105" s="9" t="s">
        <v>15</v>
      </c>
      <c r="B105" s="9" t="s">
        <v>43</v>
      </c>
      <c r="C105" s="9" t="s">
        <v>17</v>
      </c>
      <c r="D105" s="9"/>
      <c r="E105" s="9" t="s">
        <v>271</v>
      </c>
      <c r="F105" s="9" t="s">
        <v>21</v>
      </c>
      <c r="G105" s="9" t="s">
        <v>17</v>
      </c>
      <c r="H105" s="9" t="s">
        <v>17</v>
      </c>
      <c r="I105" s="9" t="s">
        <v>17</v>
      </c>
      <c r="J105" s="9" t="s">
        <v>272</v>
      </c>
    </row>
    <row r="106" spans="1:10" x14ac:dyDescent="0.25" outlineLevel="2" collapsed="1">
      <c r="A106" s="9" t="s">
        <v>15</v>
      </c>
      <c r="B106" s="9" t="s">
        <v>79</v>
      </c>
      <c r="C106" s="9" t="s">
        <v>17</v>
      </c>
      <c r="D106" s="9"/>
      <c r="E106" s="9" t="s">
        <v>310</v>
      </c>
      <c r="F106" s="9" t="s">
        <v>21</v>
      </c>
      <c r="G106" s="9">
        <v>1</v>
      </c>
      <c r="H106" s="9" t="s">
        <v>17</v>
      </c>
      <c r="I106" s="9" t="s">
        <v>17</v>
      </c>
      <c r="J106" s="9" t="s">
        <v>311</v>
      </c>
    </row>
    <row r="107" spans="1:10" x14ac:dyDescent="0.25" outlineLevel="2" collapsed="1">
      <c r="A107" s="9" t="s">
        <v>21</v>
      </c>
      <c r="B107" s="9" t="s">
        <v>175</v>
      </c>
      <c r="C107" s="9" t="s">
        <v>17</v>
      </c>
      <c r="D107" s="9"/>
      <c r="E107" s="9" t="s">
        <v>312</v>
      </c>
      <c r="F107" s="9" t="s">
        <v>15</v>
      </c>
      <c r="G107" s="9" t="s">
        <v>313</v>
      </c>
      <c r="H107" s="9" t="s">
        <v>17</v>
      </c>
      <c r="I107" s="9" t="s">
        <v>17</v>
      </c>
      <c r="J107" s="9" t="s">
        <v>314</v>
      </c>
    </row>
    <row r="108" spans="1:10" x14ac:dyDescent="0.25">
      <c r="A108" s="5" t="s">
        <v>15</v>
      </c>
      <c r="B108" s="6" t="s">
        <v>315</v>
      </c>
      <c r="C108" s="5" t="s">
        <v>17</v>
      </c>
      <c r="D108" s="5"/>
      <c r="E108" s="5" t="s">
        <v>316</v>
      </c>
      <c r="F108" s="5" t="s">
        <v>21</v>
      </c>
      <c r="G108" s="5" t="s">
        <v>317</v>
      </c>
      <c r="H108" s="5" t="s">
        <v>17</v>
      </c>
      <c r="I108" s="5" t="s">
        <v>17</v>
      </c>
      <c r="J108" s="5" t="s">
        <v>318</v>
      </c>
    </row>
    <row r="109" spans="1:10" x14ac:dyDescent="0.25" outlineLevel="1" collapsed="1">
      <c r="A109" s="7" t="s">
        <v>15</v>
      </c>
      <c r="B109" s="8" t="s">
        <v>319</v>
      </c>
      <c r="C109" s="7" t="s">
        <v>17</v>
      </c>
      <c r="D109" s="7"/>
      <c r="E109" s="7" t="s">
        <v>320</v>
      </c>
      <c r="F109" s="7" t="s">
        <v>21</v>
      </c>
      <c r="G109" s="7" t="s">
        <v>17</v>
      </c>
      <c r="H109" s="7" t="s">
        <v>17</v>
      </c>
      <c r="I109" s="7" t="s">
        <v>17</v>
      </c>
      <c r="J109" s="7" t="s">
        <v>321</v>
      </c>
    </row>
    <row r="110" spans="1:10" x14ac:dyDescent="0.25" outlineLevel="2" collapsed="1">
      <c r="A110" s="9" t="s">
        <v>15</v>
      </c>
      <c r="B110" s="9" t="s">
        <v>56</v>
      </c>
      <c r="C110" s="9" t="s">
        <v>17</v>
      </c>
      <c r="D110" s="9"/>
      <c r="E110" s="9" t="s">
        <v>322</v>
      </c>
      <c r="F110" s="9" t="s">
        <v>21</v>
      </c>
      <c r="G110" s="9" t="s">
        <v>58</v>
      </c>
      <c r="H110" s="9" t="s">
        <v>17</v>
      </c>
      <c r="I110" s="9" t="s">
        <v>17</v>
      </c>
      <c r="J110" s="9" t="s">
        <v>323</v>
      </c>
    </row>
    <row r="111" spans="1:10" x14ac:dyDescent="0.25" outlineLevel="2" collapsed="1">
      <c r="A111" s="7" t="s">
        <v>15</v>
      </c>
      <c r="B111" s="8" t="s">
        <v>324</v>
      </c>
      <c r="C111" s="7" t="s">
        <v>17</v>
      </c>
      <c r="D111" s="7"/>
      <c r="E111" s="7" t="s">
        <v>325</v>
      </c>
      <c r="F111" s="7" t="s">
        <v>21</v>
      </c>
      <c r="G111" s="7" t="s">
        <v>17</v>
      </c>
      <c r="H111" s="7" t="s">
        <v>17</v>
      </c>
      <c r="I111" s="7" t="s">
        <v>17</v>
      </c>
      <c r="J111" s="7" t="s">
        <v>326</v>
      </c>
    </row>
    <row r="112" spans="1:10" x14ac:dyDescent="0.25" outlineLevel="3" collapsed="1">
      <c r="A112" s="9" t="s">
        <v>15</v>
      </c>
      <c r="B112" s="9" t="s">
        <v>56</v>
      </c>
      <c r="C112" s="9" t="s">
        <v>17</v>
      </c>
      <c r="D112" s="9"/>
      <c r="E112" s="9" t="s">
        <v>327</v>
      </c>
      <c r="F112" s="9" t="s">
        <v>21</v>
      </c>
      <c r="G112" s="9" t="s">
        <v>58</v>
      </c>
      <c r="H112" s="9" t="s">
        <v>17</v>
      </c>
      <c r="I112" s="9" t="s">
        <v>17</v>
      </c>
      <c r="J112" s="9" t="s">
        <v>328</v>
      </c>
    </row>
    <row r="113" spans="1:10" x14ac:dyDescent="0.25" outlineLevel="3" collapsed="1">
      <c r="A113" s="9" t="s">
        <v>15</v>
      </c>
      <c r="B113" s="9" t="s">
        <v>56</v>
      </c>
      <c r="C113" s="9" t="s">
        <v>17</v>
      </c>
      <c r="D113" s="9"/>
      <c r="E113" s="9" t="s">
        <v>329</v>
      </c>
      <c r="F113" s="9" t="s">
        <v>21</v>
      </c>
      <c r="G113" s="9" t="s">
        <v>58</v>
      </c>
      <c r="H113" s="9" t="s">
        <v>17</v>
      </c>
      <c r="I113" s="9" t="s">
        <v>17</v>
      </c>
      <c r="J113" s="9" t="s">
        <v>330</v>
      </c>
    </row>
    <row r="114" spans="1:10" x14ac:dyDescent="0.25" outlineLevel="3" collapsed="1">
      <c r="A114" s="9" t="s">
        <v>15</v>
      </c>
      <c r="B114" s="9" t="s">
        <v>56</v>
      </c>
      <c r="C114" s="9" t="s">
        <v>17</v>
      </c>
      <c r="D114" s="9"/>
      <c r="E114" s="9" t="s">
        <v>1</v>
      </c>
      <c r="F114" s="9" t="s">
        <v>21</v>
      </c>
      <c r="G114" s="9" t="s">
        <v>58</v>
      </c>
      <c r="H114" s="9" t="s">
        <v>17</v>
      </c>
      <c r="I114" s="9" t="s">
        <v>17</v>
      </c>
      <c r="J114" s="9" t="s">
        <v>331</v>
      </c>
    </row>
    <row r="115" spans="1:10" x14ac:dyDescent="0.25" outlineLevel="3" collapsed="1">
      <c r="A115" s="9" t="s">
        <v>15</v>
      </c>
      <c r="B115" s="9" t="s">
        <v>56</v>
      </c>
      <c r="C115" s="9" t="s">
        <v>17</v>
      </c>
      <c r="D115" s="9"/>
      <c r="E115" s="9" t="s">
        <v>332</v>
      </c>
      <c r="F115" s="9" t="s">
        <v>21</v>
      </c>
      <c r="G115" s="9" t="s">
        <v>58</v>
      </c>
      <c r="H115" s="9" t="s">
        <v>17</v>
      </c>
      <c r="I115" s="9" t="s">
        <v>17</v>
      </c>
      <c r="J115" s="9" t="s">
        <v>333</v>
      </c>
    </row>
    <row r="116" spans="1:10" x14ac:dyDescent="0.25" outlineLevel="3" collapsed="1">
      <c r="A116" s="9" t="s">
        <v>15</v>
      </c>
      <c r="B116" s="9" t="s">
        <v>56</v>
      </c>
      <c r="C116" s="9" t="s">
        <v>17</v>
      </c>
      <c r="D116" s="9"/>
      <c r="E116" s="9" t="s">
        <v>334</v>
      </c>
      <c r="F116" s="9" t="s">
        <v>21</v>
      </c>
      <c r="G116" s="9" t="s">
        <v>58</v>
      </c>
      <c r="H116" s="9" t="s">
        <v>17</v>
      </c>
      <c r="I116" s="9" t="s">
        <v>17</v>
      </c>
      <c r="J116" s="9" t="s">
        <v>335</v>
      </c>
    </row>
    <row r="117" spans="1:10" x14ac:dyDescent="0.25" outlineLevel="3" collapsed="1">
      <c r="A117" s="9" t="s">
        <v>15</v>
      </c>
      <c r="B117" s="9" t="s">
        <v>56</v>
      </c>
      <c r="C117" s="9" t="s">
        <v>17</v>
      </c>
      <c r="D117" s="9"/>
      <c r="E117" s="9" t="s">
        <v>336</v>
      </c>
      <c r="F117" s="9" t="s">
        <v>21</v>
      </c>
      <c r="G117" s="9" t="s">
        <v>58</v>
      </c>
      <c r="H117" s="9" t="s">
        <v>17</v>
      </c>
      <c r="I117" s="9" t="s">
        <v>17</v>
      </c>
      <c r="J117" s="9" t="s">
        <v>337</v>
      </c>
    </row>
    <row r="118" spans="1:10" x14ac:dyDescent="0.25" outlineLevel="3" collapsed="1">
      <c r="A118" s="9" t="s">
        <v>15</v>
      </c>
      <c r="B118" s="9" t="s">
        <v>56</v>
      </c>
      <c r="C118" s="9" t="s">
        <v>17</v>
      </c>
      <c r="D118" s="9"/>
      <c r="E118" s="9" t="s">
        <v>338</v>
      </c>
      <c r="F118" s="9" t="s">
        <v>21</v>
      </c>
      <c r="G118" s="9" t="s">
        <v>58</v>
      </c>
      <c r="H118" s="9" t="s">
        <v>17</v>
      </c>
      <c r="I118" s="9" t="s">
        <v>17</v>
      </c>
      <c r="J118" s="9" t="s">
        <v>339</v>
      </c>
    </row>
    <row r="119" spans="1:10" x14ac:dyDescent="0.25" outlineLevel="3" collapsed="1">
      <c r="A119" s="9" t="s">
        <v>15</v>
      </c>
      <c r="B119" s="9" t="s">
        <v>56</v>
      </c>
      <c r="C119" s="9" t="s">
        <v>17</v>
      </c>
      <c r="D119" s="9"/>
      <c r="E119" s="9" t="s">
        <v>340</v>
      </c>
      <c r="F119" s="9" t="s">
        <v>21</v>
      </c>
      <c r="G119" s="9" t="s">
        <v>58</v>
      </c>
      <c r="H119" s="9" t="s">
        <v>17</v>
      </c>
      <c r="I119" s="9" t="s">
        <v>17</v>
      </c>
      <c r="J119" s="9" t="s">
        <v>341</v>
      </c>
    </row>
    <row r="120" spans="1:10" x14ac:dyDescent="0.25" outlineLevel="2" collapsed="1">
      <c r="A120" s="7" t="s">
        <v>15</v>
      </c>
      <c r="B120" s="8" t="s">
        <v>342</v>
      </c>
      <c r="C120" s="7" t="s">
        <v>17</v>
      </c>
      <c r="D120" s="7"/>
      <c r="E120" s="7" t="s">
        <v>343</v>
      </c>
      <c r="F120" s="7" t="s">
        <v>15</v>
      </c>
      <c r="G120" s="7" t="s">
        <v>17</v>
      </c>
      <c r="H120" s="7" t="s">
        <v>17</v>
      </c>
      <c r="I120" s="7" t="s">
        <v>17</v>
      </c>
      <c r="J120" s="7" t="s">
        <v>344</v>
      </c>
    </row>
    <row r="121" spans="1:10" x14ac:dyDescent="0.25" outlineLevel="3" collapsed="1">
      <c r="A121" s="9" t="s">
        <v>15</v>
      </c>
      <c r="B121" s="9" t="s">
        <v>26</v>
      </c>
      <c r="C121" s="9" t="s">
        <v>345</v>
      </c>
      <c r="D121" s="9"/>
      <c r="E121" s="9" t="s">
        <v>346</v>
      </c>
      <c r="F121" s="9" t="s">
        <v>21</v>
      </c>
      <c r="G121" s="9" t="s">
        <v>347</v>
      </c>
      <c r="H121" s="9" t="s">
        <v>17</v>
      </c>
      <c r="I121" s="9" t="s">
        <v>17</v>
      </c>
      <c r="J121" s="9" t="s">
        <v>348</v>
      </c>
    </row>
    <row r="122" spans="1:10" x14ac:dyDescent="0.25" outlineLevel="3" collapsed="1">
      <c r="A122" s="9" t="s">
        <v>15</v>
      </c>
      <c r="B122" s="9" t="s">
        <v>79</v>
      </c>
      <c r="C122" s="9" t="s">
        <v>17</v>
      </c>
      <c r="D122" s="9"/>
      <c r="E122" s="9" t="s">
        <v>349</v>
      </c>
      <c r="F122" s="9" t="s">
        <v>21</v>
      </c>
      <c r="G122" s="9">
        <v>1</v>
      </c>
      <c r="H122" s="9" t="s">
        <v>17</v>
      </c>
      <c r="I122" s="9" t="s">
        <v>17</v>
      </c>
      <c r="J122" s="9" t="s">
        <v>350</v>
      </c>
    </row>
    <row r="123" spans="1:10" x14ac:dyDescent="0.25" outlineLevel="3" collapsed="1">
      <c r="A123" s="9" t="s">
        <v>15</v>
      </c>
      <c r="B123" s="9" t="s">
        <v>79</v>
      </c>
      <c r="C123" s="9" t="s">
        <v>17</v>
      </c>
      <c r="D123" s="9"/>
      <c r="E123" s="9" t="s">
        <v>351</v>
      </c>
      <c r="F123" s="9" t="s">
        <v>21</v>
      </c>
      <c r="G123" s="9">
        <v>1</v>
      </c>
      <c r="H123" s="9" t="s">
        <v>17</v>
      </c>
      <c r="I123" s="9" t="s">
        <v>17</v>
      </c>
      <c r="J123" s="9" t="s">
        <v>352</v>
      </c>
    </row>
    <row r="124" spans="1:10" x14ac:dyDescent="0.25" outlineLevel="3" collapsed="1">
      <c r="A124" s="9" t="s">
        <v>15</v>
      </c>
      <c r="B124" s="9" t="s">
        <v>79</v>
      </c>
      <c r="C124" s="9" t="s">
        <v>17</v>
      </c>
      <c r="D124" s="9"/>
      <c r="E124" s="9" t="s">
        <v>353</v>
      </c>
      <c r="F124" s="9" t="s">
        <v>21</v>
      </c>
      <c r="G124" s="9">
        <v>1</v>
      </c>
      <c r="H124" s="9" t="s">
        <v>17</v>
      </c>
      <c r="I124" s="9" t="s">
        <v>17</v>
      </c>
      <c r="J124" s="9" t="s">
        <v>354</v>
      </c>
    </row>
    <row r="125" spans="1:10" x14ac:dyDescent="0.25" outlineLevel="1" collapsed="1">
      <c r="A125" s="7" t="s">
        <v>21</v>
      </c>
      <c r="B125" s="8" t="s">
        <v>355</v>
      </c>
      <c r="C125" s="7" t="s">
        <v>17</v>
      </c>
      <c r="D125" s="7"/>
      <c r="E125" s="7" t="s">
        <v>356</v>
      </c>
      <c r="F125" s="7" t="s">
        <v>15</v>
      </c>
      <c r="G125" s="7" t="s">
        <v>17</v>
      </c>
      <c r="H125" s="7" t="s">
        <v>17</v>
      </c>
      <c r="I125" s="7" t="s">
        <v>17</v>
      </c>
      <c r="J125" s="7" t="s">
        <v>357</v>
      </c>
    </row>
    <row r="126" spans="1:10" x14ac:dyDescent="0.25" outlineLevel="2" collapsed="1">
      <c r="A126" s="9" t="s">
        <v>15</v>
      </c>
      <c r="B126" s="9" t="s">
        <v>23</v>
      </c>
      <c r="C126" s="10" t="s">
        <v>358</v>
      </c>
      <c r="D126" s="9"/>
      <c r="E126" s="9" t="s">
        <v>359</v>
      </c>
      <c r="F126" s="9" t="s">
        <v>21</v>
      </c>
      <c r="G126" s="9" t="s">
        <v>114</v>
      </c>
      <c r="H126" s="9" t="s">
        <v>17</v>
      </c>
      <c r="I126" s="9" t="s">
        <v>17</v>
      </c>
      <c r="J126" s="9" t="s">
        <v>115</v>
      </c>
    </row>
    <row r="127" spans="1:10" x14ac:dyDescent="0.25" outlineLevel="2" collapsed="1">
      <c r="A127" s="9" t="s">
        <v>15</v>
      </c>
      <c r="B127" s="9" t="s">
        <v>56</v>
      </c>
      <c r="C127" s="9" t="s">
        <v>17</v>
      </c>
      <c r="D127" s="9"/>
      <c r="E127" s="9" t="s">
        <v>360</v>
      </c>
      <c r="F127" s="9" t="s">
        <v>21</v>
      </c>
      <c r="G127" s="9" t="s">
        <v>58</v>
      </c>
      <c r="H127" s="9" t="s">
        <v>17</v>
      </c>
      <c r="I127" s="9" t="s">
        <v>17</v>
      </c>
      <c r="J127" s="9" t="s">
        <v>323</v>
      </c>
    </row>
    <row r="128" spans="1:10" x14ac:dyDescent="0.25" outlineLevel="2" collapsed="1">
      <c r="A128" s="7" t="s">
        <v>15</v>
      </c>
      <c r="B128" s="8" t="s">
        <v>324</v>
      </c>
      <c r="C128" s="7" t="s">
        <v>17</v>
      </c>
      <c r="D128" s="7"/>
      <c r="E128" s="7" t="s">
        <v>361</v>
      </c>
      <c r="F128" s="7" t="s">
        <v>21</v>
      </c>
      <c r="G128" s="7" t="s">
        <v>17</v>
      </c>
      <c r="H128" s="7" t="s">
        <v>17</v>
      </c>
      <c r="I128" s="7" t="s">
        <v>17</v>
      </c>
      <c r="J128" s="7" t="s">
        <v>326</v>
      </c>
    </row>
    <row r="129" spans="1:10" x14ac:dyDescent="0.25" outlineLevel="3" collapsed="1">
      <c r="A129" s="9" t="s">
        <v>15</v>
      </c>
      <c r="B129" s="9" t="s">
        <v>56</v>
      </c>
      <c r="C129" s="9" t="s">
        <v>17</v>
      </c>
      <c r="D129" s="9"/>
      <c r="E129" s="9" t="s">
        <v>327</v>
      </c>
      <c r="F129" s="9" t="s">
        <v>21</v>
      </c>
      <c r="G129" s="9" t="s">
        <v>58</v>
      </c>
      <c r="H129" s="9" t="s">
        <v>17</v>
      </c>
      <c r="I129" s="9" t="s">
        <v>17</v>
      </c>
      <c r="J129" s="9" t="s">
        <v>328</v>
      </c>
    </row>
    <row r="130" spans="1:10" x14ac:dyDescent="0.25" outlineLevel="3" collapsed="1">
      <c r="A130" s="9" t="s">
        <v>15</v>
      </c>
      <c r="B130" s="9" t="s">
        <v>56</v>
      </c>
      <c r="C130" s="9" t="s">
        <v>17</v>
      </c>
      <c r="D130" s="9"/>
      <c r="E130" s="9" t="s">
        <v>329</v>
      </c>
      <c r="F130" s="9" t="s">
        <v>21</v>
      </c>
      <c r="G130" s="9" t="s">
        <v>58</v>
      </c>
      <c r="H130" s="9" t="s">
        <v>17</v>
      </c>
      <c r="I130" s="9" t="s">
        <v>17</v>
      </c>
      <c r="J130" s="9" t="s">
        <v>330</v>
      </c>
    </row>
    <row r="131" spans="1:10" x14ac:dyDescent="0.25" outlineLevel="3" collapsed="1">
      <c r="A131" s="9" t="s">
        <v>15</v>
      </c>
      <c r="B131" s="9" t="s">
        <v>56</v>
      </c>
      <c r="C131" s="9" t="s">
        <v>17</v>
      </c>
      <c r="D131" s="9"/>
      <c r="E131" s="9" t="s">
        <v>1</v>
      </c>
      <c r="F131" s="9" t="s">
        <v>21</v>
      </c>
      <c r="G131" s="9" t="s">
        <v>58</v>
      </c>
      <c r="H131" s="9" t="s">
        <v>17</v>
      </c>
      <c r="I131" s="9" t="s">
        <v>17</v>
      </c>
      <c r="J131" s="9" t="s">
        <v>331</v>
      </c>
    </row>
    <row r="132" spans="1:10" x14ac:dyDescent="0.25" outlineLevel="3" collapsed="1">
      <c r="A132" s="9" t="s">
        <v>15</v>
      </c>
      <c r="B132" s="9" t="s">
        <v>56</v>
      </c>
      <c r="C132" s="9" t="s">
        <v>17</v>
      </c>
      <c r="D132" s="9"/>
      <c r="E132" s="9" t="s">
        <v>332</v>
      </c>
      <c r="F132" s="9" t="s">
        <v>21</v>
      </c>
      <c r="G132" s="9" t="s">
        <v>58</v>
      </c>
      <c r="H132" s="9" t="s">
        <v>17</v>
      </c>
      <c r="I132" s="9" t="s">
        <v>17</v>
      </c>
      <c r="J132" s="9" t="s">
        <v>333</v>
      </c>
    </row>
    <row r="133" spans="1:10" x14ac:dyDescent="0.25" outlineLevel="3" collapsed="1">
      <c r="A133" s="9" t="s">
        <v>15</v>
      </c>
      <c r="B133" s="9" t="s">
        <v>56</v>
      </c>
      <c r="C133" s="9" t="s">
        <v>17</v>
      </c>
      <c r="D133" s="9"/>
      <c r="E133" s="9" t="s">
        <v>334</v>
      </c>
      <c r="F133" s="9" t="s">
        <v>21</v>
      </c>
      <c r="G133" s="9" t="s">
        <v>58</v>
      </c>
      <c r="H133" s="9" t="s">
        <v>17</v>
      </c>
      <c r="I133" s="9" t="s">
        <v>17</v>
      </c>
      <c r="J133" s="9" t="s">
        <v>335</v>
      </c>
    </row>
    <row r="134" spans="1:10" x14ac:dyDescent="0.25" outlineLevel="3" collapsed="1">
      <c r="A134" s="9" t="s">
        <v>15</v>
      </c>
      <c r="B134" s="9" t="s">
        <v>56</v>
      </c>
      <c r="C134" s="9" t="s">
        <v>17</v>
      </c>
      <c r="D134" s="9"/>
      <c r="E134" s="9" t="s">
        <v>336</v>
      </c>
      <c r="F134" s="9" t="s">
        <v>21</v>
      </c>
      <c r="G134" s="9" t="s">
        <v>58</v>
      </c>
      <c r="H134" s="9" t="s">
        <v>17</v>
      </c>
      <c r="I134" s="9" t="s">
        <v>17</v>
      </c>
      <c r="J134" s="9" t="s">
        <v>337</v>
      </c>
    </row>
    <row r="135" spans="1:10" x14ac:dyDescent="0.25" outlineLevel="3" collapsed="1">
      <c r="A135" s="9" t="s">
        <v>15</v>
      </c>
      <c r="B135" s="9" t="s">
        <v>56</v>
      </c>
      <c r="C135" s="9" t="s">
        <v>17</v>
      </c>
      <c r="D135" s="9"/>
      <c r="E135" s="9" t="s">
        <v>338</v>
      </c>
      <c r="F135" s="9" t="s">
        <v>21</v>
      </c>
      <c r="G135" s="9" t="s">
        <v>58</v>
      </c>
      <c r="H135" s="9" t="s">
        <v>17</v>
      </c>
      <c r="I135" s="9" t="s">
        <v>17</v>
      </c>
      <c r="J135" s="9" t="s">
        <v>339</v>
      </c>
    </row>
    <row r="136" spans="1:10" x14ac:dyDescent="0.25" outlineLevel="3" collapsed="1">
      <c r="A136" s="9" t="s">
        <v>15</v>
      </c>
      <c r="B136" s="9" t="s">
        <v>56</v>
      </c>
      <c r="C136" s="9" t="s">
        <v>17</v>
      </c>
      <c r="D136" s="9"/>
      <c r="E136" s="9" t="s">
        <v>340</v>
      </c>
      <c r="F136" s="9" t="s">
        <v>21</v>
      </c>
      <c r="G136" s="9" t="s">
        <v>58</v>
      </c>
      <c r="H136" s="9" t="s">
        <v>17</v>
      </c>
      <c r="I136" s="9" t="s">
        <v>17</v>
      </c>
      <c r="J136" s="9" t="s">
        <v>341</v>
      </c>
    </row>
    <row r="137" spans="1:10" x14ac:dyDescent="0.25" outlineLevel="2" collapsed="1">
      <c r="A137" s="7" t="s">
        <v>15</v>
      </c>
      <c r="B137" s="8" t="s">
        <v>342</v>
      </c>
      <c r="C137" s="7" t="s">
        <v>17</v>
      </c>
      <c r="D137" s="7"/>
      <c r="E137" s="7" t="s">
        <v>343</v>
      </c>
      <c r="F137" s="7" t="s">
        <v>15</v>
      </c>
      <c r="G137" s="7" t="s">
        <v>17</v>
      </c>
      <c r="H137" s="7" t="s">
        <v>17</v>
      </c>
      <c r="I137" s="7" t="s">
        <v>17</v>
      </c>
      <c r="J137" s="7" t="s">
        <v>344</v>
      </c>
    </row>
    <row r="138" spans="1:10" x14ac:dyDescent="0.25" outlineLevel="3" collapsed="1">
      <c r="A138" s="9" t="s">
        <v>15</v>
      </c>
      <c r="B138" s="9" t="s">
        <v>26</v>
      </c>
      <c r="C138" s="9" t="s">
        <v>345</v>
      </c>
      <c r="D138" s="9"/>
      <c r="E138" s="9" t="s">
        <v>346</v>
      </c>
      <c r="F138" s="9" t="s">
        <v>21</v>
      </c>
      <c r="G138" s="9" t="s">
        <v>362</v>
      </c>
      <c r="H138" s="9" t="s">
        <v>17</v>
      </c>
      <c r="I138" s="9" t="s">
        <v>17</v>
      </c>
      <c r="J138" s="9" t="s">
        <v>348</v>
      </c>
    </row>
    <row r="139" spans="1:10" x14ac:dyDescent="0.25" outlineLevel="3" collapsed="1">
      <c r="A139" s="9" t="s">
        <v>15</v>
      </c>
      <c r="B139" s="9" t="s">
        <v>79</v>
      </c>
      <c r="C139" s="9" t="s">
        <v>17</v>
      </c>
      <c r="D139" s="9"/>
      <c r="E139" s="9" t="s">
        <v>349</v>
      </c>
      <c r="F139" s="9" t="s">
        <v>21</v>
      </c>
      <c r="G139" s="9">
        <v>1</v>
      </c>
      <c r="H139" s="9" t="s">
        <v>17</v>
      </c>
      <c r="I139" s="9" t="s">
        <v>17</v>
      </c>
      <c r="J139" s="9" t="s">
        <v>350</v>
      </c>
    </row>
    <row r="140" spans="1:10" x14ac:dyDescent="0.25" outlineLevel="3" collapsed="1">
      <c r="A140" s="9" t="s">
        <v>15</v>
      </c>
      <c r="B140" s="9" t="s">
        <v>79</v>
      </c>
      <c r="C140" s="9" t="s">
        <v>17</v>
      </c>
      <c r="D140" s="9"/>
      <c r="E140" s="9" t="s">
        <v>351</v>
      </c>
      <c r="F140" s="9" t="s">
        <v>21</v>
      </c>
      <c r="G140" s="9">
        <v>1</v>
      </c>
      <c r="H140" s="9" t="s">
        <v>17</v>
      </c>
      <c r="I140" s="9" t="s">
        <v>17</v>
      </c>
      <c r="J140" s="9" t="s">
        <v>352</v>
      </c>
    </row>
    <row r="141" spans="1:10" x14ac:dyDescent="0.25" outlineLevel="3" collapsed="1">
      <c r="A141" s="9" t="s">
        <v>15</v>
      </c>
      <c r="B141" s="9" t="s">
        <v>79</v>
      </c>
      <c r="C141" s="9" t="s">
        <v>17</v>
      </c>
      <c r="D141" s="9"/>
      <c r="E141" s="9" t="s">
        <v>353</v>
      </c>
      <c r="F141" s="9" t="s">
        <v>21</v>
      </c>
      <c r="G141" s="9">
        <v>1</v>
      </c>
      <c r="H141" s="9" t="s">
        <v>17</v>
      </c>
      <c r="I141" s="9" t="s">
        <v>17</v>
      </c>
      <c r="J141" s="9" t="s">
        <v>354</v>
      </c>
    </row>
    <row r="142" spans="1:10" x14ac:dyDescent="0.25">
      <c r="A142" s="5" t="s">
        <v>15</v>
      </c>
      <c r="B142" s="6" t="s">
        <v>363</v>
      </c>
      <c r="C142" s="5" t="s">
        <v>17</v>
      </c>
      <c r="D142" s="5"/>
      <c r="E142" s="5" t="s">
        <v>364</v>
      </c>
      <c r="F142" s="5" t="s">
        <v>21</v>
      </c>
      <c r="G142" s="5" t="s">
        <v>365</v>
      </c>
      <c r="H142" s="5" t="s">
        <v>17</v>
      </c>
      <c r="I142" s="5" t="s">
        <v>17</v>
      </c>
      <c r="J142" s="5" t="s">
        <v>366</v>
      </c>
    </row>
    <row r="143" spans="1:10" x14ac:dyDescent="0.25" outlineLevel="1" collapsed="1">
      <c r="A143" s="9" t="s">
        <v>15</v>
      </c>
      <c r="B143" s="9" t="s">
        <v>89</v>
      </c>
      <c r="C143" s="9" t="s">
        <v>17</v>
      </c>
      <c r="D143" s="9"/>
      <c r="E143" s="9" t="s">
        <v>367</v>
      </c>
      <c r="F143" s="9" t="s">
        <v>21</v>
      </c>
      <c r="G143" s="9" t="s">
        <v>91</v>
      </c>
      <c r="H143" s="9" t="s">
        <v>17</v>
      </c>
      <c r="I143" s="9" t="s">
        <v>17</v>
      </c>
      <c r="J143" s="9" t="s">
        <v>92</v>
      </c>
    </row>
    <row r="144" spans="1:10" x14ac:dyDescent="0.25" outlineLevel="1" collapsed="1">
      <c r="A144" s="7" t="s">
        <v>15</v>
      </c>
      <c r="B144" s="8" t="s">
        <v>368</v>
      </c>
      <c r="C144" s="7" t="s">
        <v>17</v>
      </c>
      <c r="D144" s="7"/>
      <c r="E144" s="7" t="s">
        <v>369</v>
      </c>
      <c r="F144" s="7" t="s">
        <v>21</v>
      </c>
      <c r="G144" s="7" t="s">
        <v>17</v>
      </c>
      <c r="H144" s="7" t="s">
        <v>17</v>
      </c>
      <c r="I144" s="7" t="s">
        <v>17</v>
      </c>
      <c r="J144" s="7" t="s">
        <v>370</v>
      </c>
    </row>
    <row r="145" spans="1:10" x14ac:dyDescent="0.25" outlineLevel="2" collapsed="1">
      <c r="A145" s="9" t="s">
        <v>15</v>
      </c>
      <c r="B145" s="9" t="s">
        <v>89</v>
      </c>
      <c r="C145" s="9" t="s">
        <v>17</v>
      </c>
      <c r="D145" s="9"/>
      <c r="E145" s="9" t="s">
        <v>371</v>
      </c>
      <c r="F145" s="9" t="s">
        <v>21</v>
      </c>
      <c r="G145" s="9" t="s">
        <v>91</v>
      </c>
      <c r="H145" s="9" t="s">
        <v>17</v>
      </c>
      <c r="I145" s="9" t="s">
        <v>17</v>
      </c>
      <c r="J145" s="9" t="s">
        <v>372</v>
      </c>
    </row>
    <row r="146" spans="1:10" x14ac:dyDescent="0.25" outlineLevel="2" collapsed="1">
      <c r="A146" s="9" t="s">
        <v>15</v>
      </c>
      <c r="B146" s="9" t="s">
        <v>89</v>
      </c>
      <c r="C146" s="9" t="s">
        <v>17</v>
      </c>
      <c r="D146" s="9"/>
      <c r="E146" s="9" t="s">
        <v>373</v>
      </c>
      <c r="F146" s="9" t="s">
        <v>21</v>
      </c>
      <c r="G146" s="9" t="s">
        <v>91</v>
      </c>
      <c r="H146" s="9" t="s">
        <v>17</v>
      </c>
      <c r="I146" s="9" t="s">
        <v>17</v>
      </c>
      <c r="J146" s="9" t="s">
        <v>374</v>
      </c>
    </row>
    <row r="147" spans="1:10" x14ac:dyDescent="0.25" outlineLevel="1" collapsed="1">
      <c r="A147" s="9" t="s">
        <v>21</v>
      </c>
      <c r="B147" s="9" t="s">
        <v>56</v>
      </c>
      <c r="C147" s="9" t="s">
        <v>17</v>
      </c>
      <c r="D147" s="9" t="s">
        <v>375</v>
      </c>
      <c r="E147" s="9" t="s">
        <v>376</v>
      </c>
      <c r="F147" s="9" t="s">
        <v>21</v>
      </c>
      <c r="G147" s="9" t="s">
        <v>58</v>
      </c>
      <c r="H147" s="9" t="s">
        <v>17</v>
      </c>
      <c r="I147" s="9" t="s">
        <v>17</v>
      </c>
      <c r="J147" s="9" t="s">
        <v>377</v>
      </c>
    </row>
    <row r="148" spans="1:10" x14ac:dyDescent="0.25" outlineLevel="1" collapsed="1">
      <c r="A148" s="9" t="s">
        <v>15</v>
      </c>
      <c r="B148" s="9" t="s">
        <v>23</v>
      </c>
      <c r="C148" s="10" t="s">
        <v>378</v>
      </c>
      <c r="D148" s="9"/>
      <c r="E148" s="9" t="s">
        <v>379</v>
      </c>
      <c r="F148" s="9" t="s">
        <v>21</v>
      </c>
      <c r="G148" s="9" t="s">
        <v>380</v>
      </c>
      <c r="H148" s="9" t="s">
        <v>17</v>
      </c>
      <c r="I148" s="9" t="s">
        <v>17</v>
      </c>
      <c r="J148" s="9" t="s">
        <v>381</v>
      </c>
    </row>
    <row r="149" spans="1:10" x14ac:dyDescent="0.25">
      <c r="A149" s="5" t="s">
        <v>15</v>
      </c>
      <c r="B149" s="6" t="s">
        <v>382</v>
      </c>
      <c r="C149" s="5" t="s">
        <v>17</v>
      </c>
      <c r="D149" s="5"/>
      <c r="E149" s="5" t="s">
        <v>383</v>
      </c>
      <c r="F149" s="5" t="s">
        <v>21</v>
      </c>
      <c r="G149" s="5" t="s">
        <v>384</v>
      </c>
      <c r="H149" s="5" t="s">
        <v>17</v>
      </c>
      <c r="I149" s="5" t="s">
        <v>17</v>
      </c>
      <c r="J149" s="5" t="s">
        <v>385</v>
      </c>
    </row>
    <row r="150" spans="1:10" x14ac:dyDescent="0.25" outlineLevel="1" collapsed="1">
      <c r="A150" s="9" t="s">
        <v>15</v>
      </c>
      <c r="B150" s="9" t="s">
        <v>386</v>
      </c>
      <c r="C150" s="9" t="s">
        <v>17</v>
      </c>
      <c r="D150" s="9"/>
      <c r="E150" s="9" t="s">
        <v>387</v>
      </c>
      <c r="F150" s="9" t="s">
        <v>21</v>
      </c>
      <c r="G150" s="9">
        <v>1</v>
      </c>
      <c r="H150" s="9" t="s">
        <v>17</v>
      </c>
      <c r="I150" s="9" t="s">
        <v>17</v>
      </c>
      <c r="J150" s="9" t="s">
        <v>388</v>
      </c>
    </row>
    <row r="151" spans="1:10" x14ac:dyDescent="0.25" outlineLevel="1" collapsed="1">
      <c r="A151" s="9" t="s">
        <v>15</v>
      </c>
      <c r="B151" s="9" t="s">
        <v>386</v>
      </c>
      <c r="C151" s="9" t="s">
        <v>17</v>
      </c>
      <c r="D151" s="9"/>
      <c r="E151" s="9" t="s">
        <v>389</v>
      </c>
      <c r="F151" s="9" t="s">
        <v>21</v>
      </c>
      <c r="G151" s="9">
        <v>1</v>
      </c>
      <c r="H151" s="9" t="s">
        <v>17</v>
      </c>
      <c r="I151" s="9" t="s">
        <v>17</v>
      </c>
      <c r="J151" s="9" t="s">
        <v>390</v>
      </c>
    </row>
    <row r="152" spans="1:10" x14ac:dyDescent="0.25" outlineLevel="1" collapsed="1">
      <c r="A152" s="9" t="s">
        <v>15</v>
      </c>
      <c r="B152" s="9" t="s">
        <v>169</v>
      </c>
      <c r="C152" s="9" t="s">
        <v>17</v>
      </c>
      <c r="D152" s="9"/>
      <c r="E152" s="9" t="s">
        <v>391</v>
      </c>
      <c r="F152" s="9" t="s">
        <v>21</v>
      </c>
      <c r="G152" s="9" t="b">
        <v>1</v>
      </c>
      <c r="H152" s="9" t="s">
        <v>17</v>
      </c>
      <c r="I152" s="9" t="s">
        <v>17</v>
      </c>
      <c r="J152" s="9" t="s">
        <v>392</v>
      </c>
    </row>
    <row r="153" spans="1:10" x14ac:dyDescent="0.25" outlineLevel="1" collapsed="1">
      <c r="A153" s="9" t="s">
        <v>15</v>
      </c>
      <c r="B153" s="9" t="s">
        <v>169</v>
      </c>
      <c r="C153" s="9" t="s">
        <v>17</v>
      </c>
      <c r="D153" s="9"/>
      <c r="E153" s="9" t="s">
        <v>393</v>
      </c>
      <c r="F153" s="9" t="s">
        <v>21</v>
      </c>
      <c r="G153" s="9" t="b">
        <v>1</v>
      </c>
      <c r="H153" s="9" t="s">
        <v>17</v>
      </c>
      <c r="I153" s="9" t="s">
        <v>17</v>
      </c>
      <c r="J153" s="9" t="s">
        <v>394</v>
      </c>
    </row>
    <row r="154" spans="1:10" x14ac:dyDescent="0.25" outlineLevel="1" collapsed="1">
      <c r="A154" s="9" t="s">
        <v>15</v>
      </c>
      <c r="B154" s="9" t="s">
        <v>56</v>
      </c>
      <c r="C154" s="9" t="s">
        <v>17</v>
      </c>
      <c r="D154" s="9"/>
      <c r="E154" s="9" t="s">
        <v>395</v>
      </c>
      <c r="F154" s="9" t="s">
        <v>21</v>
      </c>
      <c r="G154" s="9" t="s">
        <v>58</v>
      </c>
      <c r="H154" s="9" t="s">
        <v>17</v>
      </c>
      <c r="I154" s="9" t="s">
        <v>17</v>
      </c>
      <c r="J154" s="9" t="s">
        <v>396</v>
      </c>
    </row>
    <row r="155" spans="1:10" x14ac:dyDescent="0.25" outlineLevel="1" collapsed="1">
      <c r="A155" s="9" t="s">
        <v>15</v>
      </c>
      <c r="B155" s="9" t="s">
        <v>79</v>
      </c>
      <c r="C155" s="9" t="s">
        <v>17</v>
      </c>
      <c r="D155" s="9"/>
      <c r="E155" s="9" t="s">
        <v>397</v>
      </c>
      <c r="F155" s="9" t="s">
        <v>15</v>
      </c>
      <c r="G155" s="9">
        <v>1</v>
      </c>
      <c r="H155" s="9" t="s">
        <v>17</v>
      </c>
      <c r="I155" s="9" t="s">
        <v>17</v>
      </c>
      <c r="J155" s="9" t="s">
        <v>398</v>
      </c>
    </row>
    <row r="156" spans="1:10" x14ac:dyDescent="0.25" outlineLevel="1" collapsed="1">
      <c r="A156" s="9" t="s">
        <v>15</v>
      </c>
      <c r="B156" s="9" t="s">
        <v>79</v>
      </c>
      <c r="C156" s="9" t="s">
        <v>17</v>
      </c>
      <c r="D156" s="9"/>
      <c r="E156" s="9" t="s">
        <v>399</v>
      </c>
      <c r="F156" s="9" t="s">
        <v>15</v>
      </c>
      <c r="G156" s="9">
        <v>1</v>
      </c>
      <c r="H156" s="9" t="s">
        <v>17</v>
      </c>
      <c r="I156" s="9" t="s">
        <v>17</v>
      </c>
      <c r="J156" s="9" t="s">
        <v>400</v>
      </c>
    </row>
    <row r="157" spans="1:10" x14ac:dyDescent="0.25" outlineLevel="1" collapsed="1">
      <c r="A157" s="7" t="s">
        <v>15</v>
      </c>
      <c r="B157" s="8" t="s">
        <v>401</v>
      </c>
      <c r="C157" s="7" t="s">
        <v>17</v>
      </c>
      <c r="D157" s="7"/>
      <c r="E157" s="7" t="s">
        <v>397</v>
      </c>
      <c r="F157" s="7" t="s">
        <v>21</v>
      </c>
      <c r="G157" s="7" t="s">
        <v>17</v>
      </c>
      <c r="H157" s="7" t="s">
        <v>17</v>
      </c>
      <c r="I157" s="7" t="s">
        <v>17</v>
      </c>
      <c r="J157" s="7" t="s">
        <v>203</v>
      </c>
    </row>
    <row r="158" spans="1:10" x14ac:dyDescent="0.25" outlineLevel="2" collapsed="1">
      <c r="A158" s="7" t="s">
        <v>15</v>
      </c>
      <c r="B158" s="8" t="s">
        <v>402</v>
      </c>
      <c r="C158" s="7" t="s">
        <v>17</v>
      </c>
      <c r="D158" s="7"/>
      <c r="E158" s="7" t="s">
        <v>402</v>
      </c>
      <c r="F158" s="7" t="s">
        <v>15</v>
      </c>
      <c r="G158" s="7" t="s">
        <v>17</v>
      </c>
      <c r="H158" s="7" t="s">
        <v>17</v>
      </c>
      <c r="I158" s="7" t="s">
        <v>17</v>
      </c>
      <c r="J158" s="7" t="s">
        <v>403</v>
      </c>
    </row>
    <row r="159" spans="1:10" x14ac:dyDescent="0.25" outlineLevel="3" collapsed="1">
      <c r="A159" s="9" t="s">
        <v>15</v>
      </c>
      <c r="B159" s="9" t="s">
        <v>56</v>
      </c>
      <c r="C159" s="9" t="s">
        <v>17</v>
      </c>
      <c r="D159" s="9"/>
      <c r="E159" s="9" t="s">
        <v>402</v>
      </c>
      <c r="F159" s="9" t="s">
        <v>21</v>
      </c>
      <c r="G159" s="9" t="s">
        <v>58</v>
      </c>
      <c r="H159" s="9" t="s">
        <v>17</v>
      </c>
      <c r="I159" s="9" t="s">
        <v>17</v>
      </c>
      <c r="J159" s="9" t="s">
        <v>404</v>
      </c>
    </row>
    <row r="160" spans="1:10" x14ac:dyDescent="0.25" outlineLevel="3" collapsed="1">
      <c r="A160" s="7" t="s">
        <v>15</v>
      </c>
      <c r="B160" s="8" t="s">
        <v>405</v>
      </c>
      <c r="C160" s="7" t="s">
        <v>17</v>
      </c>
      <c r="D160" s="7"/>
      <c r="E160" s="7" t="s">
        <v>406</v>
      </c>
      <c r="F160" s="7" t="s">
        <v>15</v>
      </c>
      <c r="G160" s="7" t="s">
        <v>17</v>
      </c>
      <c r="H160" s="7" t="s">
        <v>17</v>
      </c>
      <c r="I160" s="7" t="s">
        <v>17</v>
      </c>
      <c r="J160" s="7" t="s">
        <v>407</v>
      </c>
    </row>
    <row r="161" spans="1:10" x14ac:dyDescent="0.25" outlineLevel="4" collapsed="1">
      <c r="A161" s="9" t="s">
        <v>15</v>
      </c>
      <c r="B161" s="9" t="s">
        <v>56</v>
      </c>
      <c r="C161" s="9" t="s">
        <v>17</v>
      </c>
      <c r="D161" s="9"/>
      <c r="E161" s="9" t="s">
        <v>408</v>
      </c>
      <c r="F161" s="9" t="s">
        <v>21</v>
      </c>
      <c r="G161" s="9" t="s">
        <v>58</v>
      </c>
      <c r="H161" s="9" t="s">
        <v>17</v>
      </c>
      <c r="I161" s="9" t="s">
        <v>17</v>
      </c>
      <c r="J161" s="9" t="s">
        <v>409</v>
      </c>
    </row>
    <row r="162" spans="1:10" x14ac:dyDescent="0.25" outlineLevel="4" collapsed="1">
      <c r="A162" s="9" t="s">
        <v>15</v>
      </c>
      <c r="B162" s="9" t="s">
        <v>169</v>
      </c>
      <c r="C162" s="9" t="s">
        <v>17</v>
      </c>
      <c r="D162" s="9"/>
      <c r="E162" s="9" t="s">
        <v>410</v>
      </c>
      <c r="F162" s="9" t="s">
        <v>21</v>
      </c>
      <c r="G162" s="9" t="b">
        <v>1</v>
      </c>
      <c r="H162" s="9" t="s">
        <v>17</v>
      </c>
      <c r="I162" s="9" t="s">
        <v>17</v>
      </c>
      <c r="J162" s="9" t="s">
        <v>411</v>
      </c>
    </row>
    <row r="163" spans="1:10" x14ac:dyDescent="0.25" outlineLevel="4" collapsed="1">
      <c r="A163" s="9" t="s">
        <v>15</v>
      </c>
      <c r="B163" s="9" t="s">
        <v>56</v>
      </c>
      <c r="C163" s="9" t="s">
        <v>17</v>
      </c>
      <c r="D163" s="9"/>
      <c r="E163" s="9" t="s">
        <v>412</v>
      </c>
      <c r="F163" s="9" t="s">
        <v>21</v>
      </c>
      <c r="G163" s="9" t="s">
        <v>58</v>
      </c>
      <c r="H163" s="9" t="s">
        <v>17</v>
      </c>
      <c r="I163" s="9" t="s">
        <v>17</v>
      </c>
      <c r="J163" s="9" t="s">
        <v>413</v>
      </c>
    </row>
    <row r="164" spans="1:10" x14ac:dyDescent="0.25" outlineLevel="1" collapsed="1">
      <c r="A164" s="7" t="s">
        <v>15</v>
      </c>
      <c r="B164" s="8" t="s">
        <v>414</v>
      </c>
      <c r="C164" s="7" t="s">
        <v>17</v>
      </c>
      <c r="D164" s="7"/>
      <c r="E164" s="7" t="s">
        <v>399</v>
      </c>
      <c r="F164" s="7" t="s">
        <v>21</v>
      </c>
      <c r="G164" s="7" t="s">
        <v>17</v>
      </c>
      <c r="H164" s="7" t="s">
        <v>17</v>
      </c>
      <c r="I164" s="7" t="s">
        <v>17</v>
      </c>
      <c r="J164" s="7" t="s">
        <v>222</v>
      </c>
    </row>
    <row r="165" spans="1:10" x14ac:dyDescent="0.25" outlineLevel="2" collapsed="1">
      <c r="A165" s="7" t="s">
        <v>15</v>
      </c>
      <c r="B165" s="8" t="s">
        <v>402</v>
      </c>
      <c r="C165" s="7" t="s">
        <v>17</v>
      </c>
      <c r="D165" s="7"/>
      <c r="E165" s="7" t="s">
        <v>402</v>
      </c>
      <c r="F165" s="7" t="s">
        <v>15</v>
      </c>
      <c r="G165" s="7" t="s">
        <v>17</v>
      </c>
      <c r="H165" s="7" t="s">
        <v>17</v>
      </c>
      <c r="I165" s="7" t="s">
        <v>17</v>
      </c>
      <c r="J165" s="7" t="s">
        <v>415</v>
      </c>
    </row>
    <row r="166" spans="1:10" x14ac:dyDescent="0.25" outlineLevel="3" collapsed="1">
      <c r="A166" s="9" t="s">
        <v>15</v>
      </c>
      <c r="B166" s="9" t="s">
        <v>56</v>
      </c>
      <c r="C166" s="9" t="s">
        <v>17</v>
      </c>
      <c r="D166" s="9"/>
      <c r="E166" s="9" t="s">
        <v>402</v>
      </c>
      <c r="F166" s="9" t="s">
        <v>21</v>
      </c>
      <c r="G166" s="9" t="s">
        <v>58</v>
      </c>
      <c r="H166" s="9" t="s">
        <v>17</v>
      </c>
      <c r="I166" s="9" t="s">
        <v>17</v>
      </c>
      <c r="J166" s="9" t="s">
        <v>404</v>
      </c>
    </row>
    <row r="167" spans="1:10" x14ac:dyDescent="0.25" outlineLevel="3" collapsed="1">
      <c r="A167" s="7" t="s">
        <v>15</v>
      </c>
      <c r="B167" s="8" t="s">
        <v>405</v>
      </c>
      <c r="C167" s="7" t="s">
        <v>17</v>
      </c>
      <c r="D167" s="7"/>
      <c r="E167" s="7" t="s">
        <v>406</v>
      </c>
      <c r="F167" s="7" t="s">
        <v>15</v>
      </c>
      <c r="G167" s="7" t="s">
        <v>17</v>
      </c>
      <c r="H167" s="7" t="s">
        <v>17</v>
      </c>
      <c r="I167" s="7" t="s">
        <v>17</v>
      </c>
      <c r="J167" s="7" t="s">
        <v>407</v>
      </c>
    </row>
    <row r="168" spans="1:10" x14ac:dyDescent="0.25" outlineLevel="4" collapsed="1">
      <c r="A168" s="9" t="s">
        <v>15</v>
      </c>
      <c r="B168" s="9" t="s">
        <v>56</v>
      </c>
      <c r="C168" s="9" t="s">
        <v>17</v>
      </c>
      <c r="D168" s="9"/>
      <c r="E168" s="9" t="s">
        <v>408</v>
      </c>
      <c r="F168" s="9" t="s">
        <v>21</v>
      </c>
      <c r="G168" s="9" t="s">
        <v>58</v>
      </c>
      <c r="H168" s="9" t="s">
        <v>17</v>
      </c>
      <c r="I168" s="9" t="s">
        <v>17</v>
      </c>
      <c r="J168" s="9" t="s">
        <v>409</v>
      </c>
    </row>
    <row r="169" spans="1:10" x14ac:dyDescent="0.25" outlineLevel="4" collapsed="1">
      <c r="A169" s="9" t="s">
        <v>15</v>
      </c>
      <c r="B169" s="9" t="s">
        <v>169</v>
      </c>
      <c r="C169" s="9" t="s">
        <v>17</v>
      </c>
      <c r="D169" s="9"/>
      <c r="E169" s="9" t="s">
        <v>410</v>
      </c>
      <c r="F169" s="9" t="s">
        <v>21</v>
      </c>
      <c r="G169" s="9" t="b">
        <v>1</v>
      </c>
      <c r="H169" s="9" t="s">
        <v>17</v>
      </c>
      <c r="I169" s="9" t="s">
        <v>17</v>
      </c>
      <c r="J169" s="9" t="s">
        <v>411</v>
      </c>
    </row>
    <row r="170" spans="1:10" x14ac:dyDescent="0.25" outlineLevel="4" collapsed="1">
      <c r="A170" s="9" t="s">
        <v>15</v>
      </c>
      <c r="B170" s="9" t="s">
        <v>56</v>
      </c>
      <c r="C170" s="9" t="s">
        <v>17</v>
      </c>
      <c r="D170" s="9"/>
      <c r="E170" s="9" t="s">
        <v>412</v>
      </c>
      <c r="F170" s="9" t="s">
        <v>21</v>
      </c>
      <c r="G170" s="9" t="s">
        <v>58</v>
      </c>
      <c r="H170" s="9" t="s">
        <v>17</v>
      </c>
      <c r="I170" s="9" t="s">
        <v>17</v>
      </c>
      <c r="J170" s="9" t="s">
        <v>413</v>
      </c>
    </row>
    <row r="171" spans="1:10" x14ac:dyDescent="0.25" outlineLevel="1" collapsed="1">
      <c r="A171" s="9" t="s">
        <v>15</v>
      </c>
      <c r="B171" s="9" t="s">
        <v>56</v>
      </c>
      <c r="C171" s="9" t="s">
        <v>17</v>
      </c>
      <c r="D171" s="9"/>
      <c r="E171" s="9" t="s">
        <v>416</v>
      </c>
      <c r="F171" s="9" t="s">
        <v>21</v>
      </c>
      <c r="G171" s="9" t="s">
        <v>58</v>
      </c>
      <c r="H171" s="9" t="s">
        <v>17</v>
      </c>
      <c r="I171" s="9" t="s">
        <v>17</v>
      </c>
      <c r="J171" s="9" t="s">
        <v>417</v>
      </c>
    </row>
    <row r="172" spans="1:10" x14ac:dyDescent="0.25" outlineLevel="1" collapsed="1">
      <c r="A172" s="9" t="s">
        <v>15</v>
      </c>
      <c r="B172" s="9" t="s">
        <v>175</v>
      </c>
      <c r="C172" s="9" t="s">
        <v>17</v>
      </c>
      <c r="D172" s="9"/>
      <c r="E172" s="9" t="s">
        <v>418</v>
      </c>
      <c r="F172" s="9" t="s">
        <v>21</v>
      </c>
      <c r="G172" s="9" t="s">
        <v>419</v>
      </c>
      <c r="H172" s="9" t="s">
        <v>17</v>
      </c>
      <c r="I172" s="9" t="s">
        <v>17</v>
      </c>
      <c r="J172" s="9" t="s">
        <v>420</v>
      </c>
    </row>
    <row r="173" spans="1:10" x14ac:dyDescent="0.25">
      <c r="A173" s="5" t="s">
        <v>15</v>
      </c>
      <c r="B173" s="6" t="s">
        <v>421</v>
      </c>
      <c r="C173" s="5" t="s">
        <v>17</v>
      </c>
      <c r="D173" s="5"/>
      <c r="E173" s="5" t="s">
        <v>422</v>
      </c>
      <c r="F173" s="5" t="s">
        <v>21</v>
      </c>
      <c r="G173" s="5" t="s">
        <v>423</v>
      </c>
      <c r="H173" s="5" t="s">
        <v>17</v>
      </c>
      <c r="I173" s="5" t="s">
        <v>17</v>
      </c>
      <c r="J173" s="5" t="s">
        <v>424</v>
      </c>
    </row>
    <row r="174" spans="1:10" x14ac:dyDescent="0.25" outlineLevel="1" collapsed="1">
      <c r="A174" s="9" t="s">
        <v>15</v>
      </c>
      <c r="B174" s="9" t="s">
        <v>56</v>
      </c>
      <c r="C174" s="9" t="s">
        <v>17</v>
      </c>
      <c r="D174" s="9"/>
      <c r="E174" s="9" t="s">
        <v>425</v>
      </c>
      <c r="F174" s="9" t="s">
        <v>21</v>
      </c>
      <c r="G174" s="9" t="s">
        <v>58</v>
      </c>
      <c r="H174" s="9" t="s">
        <v>17</v>
      </c>
      <c r="I174" s="9" t="s">
        <v>17</v>
      </c>
      <c r="J174" s="9" t="s">
        <v>426</v>
      </c>
    </row>
    <row r="175" spans="1:10" x14ac:dyDescent="0.25" outlineLevel="1" collapsed="1">
      <c r="A175" s="9" t="s">
        <v>15</v>
      </c>
      <c r="B175" s="9" t="s">
        <v>56</v>
      </c>
      <c r="C175" s="9" t="s">
        <v>17</v>
      </c>
      <c r="D175" s="9"/>
      <c r="E175" s="9" t="s">
        <v>427</v>
      </c>
      <c r="F175" s="9" t="s">
        <v>21</v>
      </c>
      <c r="G175" s="9" t="s">
        <v>58</v>
      </c>
      <c r="H175" s="9" t="s">
        <v>17</v>
      </c>
      <c r="I175" s="9" t="s">
        <v>17</v>
      </c>
      <c r="J175" s="9" t="s">
        <v>428</v>
      </c>
    </row>
    <row r="176" spans="1:10" x14ac:dyDescent="0.25" outlineLevel="1" collapsed="1">
      <c r="A176" s="9" t="s">
        <v>15</v>
      </c>
      <c r="B176" s="9" t="s">
        <v>56</v>
      </c>
      <c r="C176" s="9" t="s">
        <v>17</v>
      </c>
      <c r="D176" s="9"/>
      <c r="E176" s="9" t="s">
        <v>429</v>
      </c>
      <c r="F176" s="9" t="s">
        <v>21</v>
      </c>
      <c r="G176" s="9" t="s">
        <v>58</v>
      </c>
      <c r="H176" s="9" t="s">
        <v>17</v>
      </c>
      <c r="I176" s="9" t="s">
        <v>17</v>
      </c>
      <c r="J176" s="9" t="s">
        <v>430</v>
      </c>
    </row>
    <row r="177" spans="1:10" x14ac:dyDescent="0.25" outlineLevel="1" collapsed="1">
      <c r="A177" s="9" t="s">
        <v>15</v>
      </c>
      <c r="B177" s="9" t="s">
        <v>56</v>
      </c>
      <c r="C177" s="9" t="s">
        <v>17</v>
      </c>
      <c r="D177" s="9"/>
      <c r="E177" s="9" t="s">
        <v>431</v>
      </c>
      <c r="F177" s="9" t="s">
        <v>21</v>
      </c>
      <c r="G177" s="9" t="s">
        <v>58</v>
      </c>
      <c r="H177" s="9" t="s">
        <v>17</v>
      </c>
      <c r="I177" s="9" t="s">
        <v>17</v>
      </c>
      <c r="J177" s="9" t="s">
        <v>432</v>
      </c>
    </row>
    <row r="178" spans="1:10" x14ac:dyDescent="0.25" outlineLevel="1" collapsed="1">
      <c r="A178" s="9" t="s">
        <v>15</v>
      </c>
      <c r="B178" s="9" t="s">
        <v>56</v>
      </c>
      <c r="C178" s="9" t="s">
        <v>17</v>
      </c>
      <c r="D178" s="9"/>
      <c r="E178" s="9" t="s">
        <v>433</v>
      </c>
      <c r="F178" s="9" t="s">
        <v>21</v>
      </c>
      <c r="G178" s="9" t="s">
        <v>58</v>
      </c>
      <c r="H178" s="9" t="s">
        <v>17</v>
      </c>
      <c r="I178" s="9" t="s">
        <v>17</v>
      </c>
      <c r="J178" s="9" t="s">
        <v>434</v>
      </c>
    </row>
    <row r="179" spans="1:10" x14ac:dyDescent="0.25" outlineLevel="1" collapsed="1">
      <c r="A179" s="9" t="s">
        <v>21</v>
      </c>
      <c r="B179" s="9" t="s">
        <v>175</v>
      </c>
      <c r="C179" s="9" t="s">
        <v>17</v>
      </c>
      <c r="D179" s="9"/>
      <c r="E179" s="9" t="s">
        <v>435</v>
      </c>
      <c r="F179" s="9" t="s">
        <v>21</v>
      </c>
      <c r="G179" s="9" t="s">
        <v>436</v>
      </c>
      <c r="H179" s="9" t="s">
        <v>17</v>
      </c>
      <c r="I179" s="9" t="s">
        <v>17</v>
      </c>
      <c r="J179" s="9" t="s">
        <v>437</v>
      </c>
    </row>
    <row r="180" spans="1:10" x14ac:dyDescent="0.25">
      <c r="A180" s="5" t="s">
        <v>15</v>
      </c>
      <c r="B180" s="6" t="s">
        <v>438</v>
      </c>
      <c r="C180" s="5" t="s">
        <v>17</v>
      </c>
      <c r="D180" s="5"/>
      <c r="E180" s="5" t="s">
        <v>438</v>
      </c>
      <c r="F180" s="5" t="s">
        <v>21</v>
      </c>
      <c r="G180" s="5" t="s">
        <v>439</v>
      </c>
      <c r="H180" s="5" t="s">
        <v>17</v>
      </c>
      <c r="I180" s="5" t="s">
        <v>17</v>
      </c>
      <c r="J180" s="5" t="s">
        <v>440</v>
      </c>
    </row>
    <row r="181" spans="1:10" x14ac:dyDescent="0.25" outlineLevel="1" collapsed="1">
      <c r="A181" s="7" t="s">
        <v>15</v>
      </c>
      <c r="B181" s="8" t="s">
        <v>441</v>
      </c>
      <c r="C181" s="7" t="s">
        <v>17</v>
      </c>
      <c r="D181" s="7"/>
      <c r="E181" s="7" t="s">
        <v>442</v>
      </c>
      <c r="F181" s="7" t="s">
        <v>15</v>
      </c>
      <c r="G181" s="7" t="s">
        <v>17</v>
      </c>
      <c r="H181" s="7" t="s">
        <v>17</v>
      </c>
      <c r="I181" s="7" t="s">
        <v>17</v>
      </c>
      <c r="J181" s="7" t="s">
        <v>443</v>
      </c>
    </row>
    <row r="182" spans="1:10" x14ac:dyDescent="0.25" outlineLevel="2" collapsed="1">
      <c r="A182" s="9" t="s">
        <v>15</v>
      </c>
      <c r="B182" s="9" t="s">
        <v>23</v>
      </c>
      <c r="C182" s="10" t="s">
        <v>444</v>
      </c>
      <c r="D182" s="9"/>
      <c r="E182" s="9" t="s">
        <v>445</v>
      </c>
      <c r="F182" s="9" t="s">
        <v>21</v>
      </c>
      <c r="G182" s="9" t="s">
        <v>114</v>
      </c>
      <c r="H182" s="9" t="s">
        <v>17</v>
      </c>
      <c r="I182" s="9" t="s">
        <v>17</v>
      </c>
      <c r="J182" s="9" t="s">
        <v>446</v>
      </c>
    </row>
    <row r="183" spans="1:10" x14ac:dyDescent="0.25" outlineLevel="2" collapsed="1">
      <c r="A183" s="7" t="s">
        <v>15</v>
      </c>
      <c r="B183" s="8" t="s">
        <v>447</v>
      </c>
      <c r="C183" s="7" t="s">
        <v>17</v>
      </c>
      <c r="D183" s="7"/>
      <c r="E183" s="7" t="s">
        <v>448</v>
      </c>
      <c r="F183" s="7" t="s">
        <v>15</v>
      </c>
      <c r="G183" s="7" t="s">
        <v>17</v>
      </c>
      <c r="H183" s="7" t="s">
        <v>17</v>
      </c>
      <c r="I183" s="7" t="s">
        <v>17</v>
      </c>
      <c r="J183" s="7" t="s">
        <v>449</v>
      </c>
    </row>
    <row r="184" spans="1:10" x14ac:dyDescent="0.25" outlineLevel="3" collapsed="1">
      <c r="A184" s="9" t="s">
        <v>15</v>
      </c>
      <c r="B184" s="9" t="s">
        <v>56</v>
      </c>
      <c r="C184" s="9" t="s">
        <v>17</v>
      </c>
      <c r="D184" s="9"/>
      <c r="E184" s="9" t="s">
        <v>448</v>
      </c>
      <c r="F184" s="9" t="s">
        <v>21</v>
      </c>
      <c r="G184" s="9" t="s">
        <v>58</v>
      </c>
      <c r="H184" s="9" t="s">
        <v>17</v>
      </c>
      <c r="I184" s="9" t="s">
        <v>17</v>
      </c>
      <c r="J184" s="9" t="s">
        <v>449</v>
      </c>
    </row>
    <row r="185" spans="1:10" x14ac:dyDescent="0.25" outlineLevel="3" collapsed="1">
      <c r="A185" s="9" t="s">
        <v>15</v>
      </c>
      <c r="B185" s="9" t="s">
        <v>56</v>
      </c>
      <c r="C185" s="9" t="s">
        <v>17</v>
      </c>
      <c r="D185" s="9"/>
      <c r="E185" s="9" t="s">
        <v>329</v>
      </c>
      <c r="F185" s="9" t="s">
        <v>21</v>
      </c>
      <c r="G185" s="9" t="s">
        <v>58</v>
      </c>
      <c r="H185" s="9" t="s">
        <v>17</v>
      </c>
      <c r="I185" s="9" t="s">
        <v>17</v>
      </c>
      <c r="J185" s="9" t="s">
        <v>330</v>
      </c>
    </row>
    <row r="186" spans="1:10" x14ac:dyDescent="0.25" outlineLevel="3" collapsed="1">
      <c r="A186" s="9" t="s">
        <v>15</v>
      </c>
      <c r="B186" s="9" t="s">
        <v>56</v>
      </c>
      <c r="C186" s="9" t="s">
        <v>17</v>
      </c>
      <c r="D186" s="9"/>
      <c r="E186" s="9" t="s">
        <v>1</v>
      </c>
      <c r="F186" s="9" t="s">
        <v>21</v>
      </c>
      <c r="G186" s="9" t="s">
        <v>58</v>
      </c>
      <c r="H186" s="9" t="s">
        <v>17</v>
      </c>
      <c r="I186" s="9" t="s">
        <v>17</v>
      </c>
      <c r="J186" s="9" t="s">
        <v>331</v>
      </c>
    </row>
    <row r="187" spans="1:10" x14ac:dyDescent="0.25" outlineLevel="3" collapsed="1">
      <c r="A187" s="9" t="s">
        <v>15</v>
      </c>
      <c r="B187" s="9" t="s">
        <v>56</v>
      </c>
      <c r="C187" s="9" t="s">
        <v>17</v>
      </c>
      <c r="D187" s="9"/>
      <c r="E187" s="9" t="s">
        <v>332</v>
      </c>
      <c r="F187" s="9" t="s">
        <v>21</v>
      </c>
      <c r="G187" s="9" t="s">
        <v>58</v>
      </c>
      <c r="H187" s="9" t="s">
        <v>17</v>
      </c>
      <c r="I187" s="9" t="s">
        <v>17</v>
      </c>
      <c r="J187" s="9" t="s">
        <v>333</v>
      </c>
    </row>
    <row r="188" spans="1:10" x14ac:dyDescent="0.25" outlineLevel="3" collapsed="1">
      <c r="A188" s="9" t="s">
        <v>15</v>
      </c>
      <c r="B188" s="9" t="s">
        <v>56</v>
      </c>
      <c r="C188" s="9" t="s">
        <v>17</v>
      </c>
      <c r="D188" s="9"/>
      <c r="E188" s="9" t="s">
        <v>450</v>
      </c>
      <c r="F188" s="9" t="s">
        <v>21</v>
      </c>
      <c r="G188" s="9" t="s">
        <v>58</v>
      </c>
      <c r="H188" s="9" t="s">
        <v>17</v>
      </c>
      <c r="I188" s="9" t="s">
        <v>17</v>
      </c>
      <c r="J188" s="9" t="s">
        <v>451</v>
      </c>
    </row>
    <row r="189" spans="1:10" x14ac:dyDescent="0.25" outlineLevel="3" collapsed="1">
      <c r="A189" s="9" t="s">
        <v>15</v>
      </c>
      <c r="B189" s="9" t="s">
        <v>56</v>
      </c>
      <c r="C189" s="9" t="s">
        <v>17</v>
      </c>
      <c r="D189" s="9"/>
      <c r="E189" s="9" t="s">
        <v>452</v>
      </c>
      <c r="F189" s="9" t="s">
        <v>21</v>
      </c>
      <c r="G189" s="9" t="s">
        <v>58</v>
      </c>
      <c r="H189" s="9" t="s">
        <v>17</v>
      </c>
      <c r="I189" s="9" t="s">
        <v>17</v>
      </c>
      <c r="J189" s="9" t="s">
        <v>453</v>
      </c>
    </row>
    <row r="190" spans="1:10" x14ac:dyDescent="0.25" outlineLevel="3" collapsed="1">
      <c r="A190" s="9" t="s">
        <v>15</v>
      </c>
      <c r="B190" s="9" t="s">
        <v>56</v>
      </c>
      <c r="C190" s="9" t="s">
        <v>17</v>
      </c>
      <c r="D190" s="9"/>
      <c r="E190" s="9" t="s">
        <v>454</v>
      </c>
      <c r="F190" s="9" t="s">
        <v>21</v>
      </c>
      <c r="G190" s="9" t="s">
        <v>58</v>
      </c>
      <c r="H190" s="9" t="s">
        <v>17</v>
      </c>
      <c r="I190" s="9" t="s">
        <v>17</v>
      </c>
      <c r="J190" s="9" t="s">
        <v>455</v>
      </c>
    </row>
    <row r="191" spans="1:10" x14ac:dyDescent="0.25" outlineLevel="3" collapsed="1">
      <c r="A191" s="9" t="s">
        <v>15</v>
      </c>
      <c r="B191" s="9" t="s">
        <v>56</v>
      </c>
      <c r="C191" s="9" t="s">
        <v>17</v>
      </c>
      <c r="D191" s="9"/>
      <c r="E191" s="9" t="s">
        <v>338</v>
      </c>
      <c r="F191" s="9" t="s">
        <v>21</v>
      </c>
      <c r="G191" s="9" t="s">
        <v>58</v>
      </c>
      <c r="H191" s="9" t="s">
        <v>17</v>
      </c>
      <c r="I191" s="9" t="s">
        <v>17</v>
      </c>
      <c r="J191" s="9" t="s">
        <v>339</v>
      </c>
    </row>
    <row r="192" spans="1:10" x14ac:dyDescent="0.25" outlineLevel="3" collapsed="1">
      <c r="A192" s="9" t="s">
        <v>15</v>
      </c>
      <c r="B192" s="9" t="s">
        <v>56</v>
      </c>
      <c r="C192" s="9" t="s">
        <v>17</v>
      </c>
      <c r="D192" s="9"/>
      <c r="E192" s="9" t="s">
        <v>340</v>
      </c>
      <c r="F192" s="9" t="s">
        <v>21</v>
      </c>
      <c r="G192" s="9" t="s">
        <v>58</v>
      </c>
      <c r="H192" s="9" t="s">
        <v>17</v>
      </c>
      <c r="I192" s="9" t="s">
        <v>17</v>
      </c>
      <c r="J192" s="9" t="s">
        <v>341</v>
      </c>
    </row>
    <row r="193" spans="1:10" x14ac:dyDescent="0.25" outlineLevel="2" collapsed="1">
      <c r="A193" s="9" t="s">
        <v>15</v>
      </c>
      <c r="B193" s="9" t="s">
        <v>175</v>
      </c>
      <c r="C193" s="9" t="s">
        <v>17</v>
      </c>
      <c r="D193" s="9"/>
      <c r="E193" s="9" t="s">
        <v>456</v>
      </c>
      <c r="F193" s="9" t="s">
        <v>21</v>
      </c>
      <c r="G193" s="9" t="s">
        <v>457</v>
      </c>
      <c r="H193" s="9" t="s">
        <v>17</v>
      </c>
      <c r="I193" s="9" t="s">
        <v>17</v>
      </c>
      <c r="J193" s="9" t="s">
        <v>458</v>
      </c>
    </row>
    <row r="194" spans="1:10" x14ac:dyDescent="0.25" outlineLevel="2" collapsed="1">
      <c r="A194" s="9" t="s">
        <v>15</v>
      </c>
      <c r="B194" s="9" t="s">
        <v>175</v>
      </c>
      <c r="C194" s="9" t="s">
        <v>17</v>
      </c>
      <c r="D194" s="9"/>
      <c r="E194" s="9" t="s">
        <v>459</v>
      </c>
      <c r="F194" s="9" t="s">
        <v>21</v>
      </c>
      <c r="G194" s="9" t="s">
        <v>460</v>
      </c>
      <c r="H194" s="9" t="s">
        <v>17</v>
      </c>
      <c r="I194" s="9" t="s">
        <v>17</v>
      </c>
      <c r="J194" s="9" t="s">
        <v>461</v>
      </c>
    </row>
    <row r="195" spans="1:10" x14ac:dyDescent="0.25" outlineLevel="2" collapsed="1">
      <c r="A195" s="7" t="s">
        <v>15</v>
      </c>
      <c r="B195" s="8" t="s">
        <v>462</v>
      </c>
      <c r="C195" s="7" t="s">
        <v>17</v>
      </c>
      <c r="D195" s="7"/>
      <c r="E195" s="7" t="s">
        <v>463</v>
      </c>
      <c r="F195" s="7" t="s">
        <v>21</v>
      </c>
      <c r="G195" s="7" t="s">
        <v>17</v>
      </c>
      <c r="H195" s="7" t="s">
        <v>17</v>
      </c>
      <c r="I195" s="7" t="s">
        <v>17</v>
      </c>
      <c r="J195" s="7" t="s">
        <v>464</v>
      </c>
    </row>
    <row r="196" spans="1:10" x14ac:dyDescent="0.25" outlineLevel="3" collapsed="1">
      <c r="A196" s="9" t="s">
        <v>15</v>
      </c>
      <c r="B196" s="9" t="s">
        <v>23</v>
      </c>
      <c r="C196" s="10" t="s">
        <v>465</v>
      </c>
      <c r="D196" s="9"/>
      <c r="E196" s="9" t="s">
        <v>123</v>
      </c>
      <c r="F196" s="9" t="s">
        <v>21</v>
      </c>
      <c r="G196" s="9" t="s">
        <v>124</v>
      </c>
      <c r="H196" s="9" t="s">
        <v>17</v>
      </c>
      <c r="I196" s="9" t="s">
        <v>17</v>
      </c>
      <c r="J196" s="9" t="s">
        <v>125</v>
      </c>
    </row>
    <row r="197" spans="1:10" x14ac:dyDescent="0.25" outlineLevel="3" collapsed="1">
      <c r="A197" s="9" t="s">
        <v>21</v>
      </c>
      <c r="B197" s="9" t="s">
        <v>466</v>
      </c>
      <c r="C197" s="11" t="s">
        <v>467</v>
      </c>
      <c r="D197" s="9">
        <f>EXACT(G196,"HWT, IWT")</f>
      </c>
      <c r="E197" s="12" t="s">
        <v>468</v>
      </c>
      <c r="F197" s="9" t="s">
        <v>21</v>
      </c>
      <c r="G197" s="9" t="s">
        <v>17</v>
      </c>
      <c r="H197" s="9" t="s">
        <v>17</v>
      </c>
      <c r="I197" s="9" t="s">
        <v>17</v>
      </c>
      <c r="J197" s="9" t="s">
        <v>222</v>
      </c>
    </row>
    <row r="198" spans="1:10" x14ac:dyDescent="0.25" outlineLevel="3" collapsed="1">
      <c r="A198" s="7" t="s">
        <v>21</v>
      </c>
      <c r="B198" s="8" t="s">
        <v>469</v>
      </c>
      <c r="C198" s="7" t="s">
        <v>17</v>
      </c>
      <c r="D198" s="7">
        <f>EXACT(G196,"CWT, CWS")</f>
      </c>
      <c r="E198" s="7" t="s">
        <v>470</v>
      </c>
      <c r="F198" s="7" t="s">
        <v>21</v>
      </c>
      <c r="G198" s="7" t="s">
        <v>17</v>
      </c>
      <c r="H198" s="7" t="s">
        <v>17</v>
      </c>
      <c r="I198" s="7" t="s">
        <v>17</v>
      </c>
      <c r="J198" s="7" t="s">
        <v>471</v>
      </c>
    </row>
    <row r="199" spans="1:10" x14ac:dyDescent="0.25" outlineLevel="4" collapsed="1">
      <c r="A199" s="9" t="s">
        <v>15</v>
      </c>
      <c r="B199" s="9" t="s">
        <v>56</v>
      </c>
      <c r="C199" s="9" t="s">
        <v>17</v>
      </c>
      <c r="D199" s="9"/>
      <c r="E199" s="9" t="s">
        <v>472</v>
      </c>
      <c r="F199" s="9" t="s">
        <v>21</v>
      </c>
      <c r="G199" s="9" t="s">
        <v>58</v>
      </c>
      <c r="H199" s="9" t="s">
        <v>17</v>
      </c>
      <c r="I199" s="9" t="s">
        <v>17</v>
      </c>
      <c r="J199" s="9" t="s">
        <v>473</v>
      </c>
    </row>
    <row r="200" spans="1:10" x14ac:dyDescent="0.25" outlineLevel="4" collapsed="1">
      <c r="A200" s="9" t="s">
        <v>15</v>
      </c>
      <c r="B200" s="9" t="s">
        <v>56</v>
      </c>
      <c r="C200" s="9" t="s">
        <v>17</v>
      </c>
      <c r="D200" s="9"/>
      <c r="E200" s="9" t="s">
        <v>474</v>
      </c>
      <c r="F200" s="9" t="s">
        <v>21</v>
      </c>
      <c r="G200" s="9" t="s">
        <v>58</v>
      </c>
      <c r="H200" s="9" t="s">
        <v>17</v>
      </c>
      <c r="I200" s="9" t="s">
        <v>17</v>
      </c>
      <c r="J200" s="9" t="s">
        <v>475</v>
      </c>
    </row>
    <row r="201" spans="1:10" x14ac:dyDescent="0.25" outlineLevel="4" collapsed="1">
      <c r="A201" s="9" t="s">
        <v>15</v>
      </c>
      <c r="B201" s="9" t="s">
        <v>56</v>
      </c>
      <c r="C201" s="9" t="s">
        <v>17</v>
      </c>
      <c r="D201" s="9"/>
      <c r="E201" s="9" t="s">
        <v>476</v>
      </c>
      <c r="F201" s="9" t="s">
        <v>21</v>
      </c>
      <c r="G201" s="9" t="s">
        <v>58</v>
      </c>
      <c r="H201" s="9" t="s">
        <v>17</v>
      </c>
      <c r="I201" s="9" t="s">
        <v>17</v>
      </c>
      <c r="J201" s="9" t="s">
        <v>477</v>
      </c>
    </row>
    <row r="202" spans="1:10" x14ac:dyDescent="0.25" outlineLevel="4" collapsed="1">
      <c r="A202" s="9" t="s">
        <v>15</v>
      </c>
      <c r="B202" s="9" t="s">
        <v>56</v>
      </c>
      <c r="C202" s="9" t="s">
        <v>17</v>
      </c>
      <c r="D202" s="9"/>
      <c r="E202" s="9" t="s">
        <v>478</v>
      </c>
      <c r="F202" s="9" t="s">
        <v>21</v>
      </c>
      <c r="G202" s="9" t="s">
        <v>58</v>
      </c>
      <c r="H202" s="9" t="s">
        <v>17</v>
      </c>
      <c r="I202" s="9" t="s">
        <v>17</v>
      </c>
      <c r="J202" s="9" t="s">
        <v>479</v>
      </c>
    </row>
    <row r="203" spans="1:10" x14ac:dyDescent="0.25" outlineLevel="4" collapsed="1">
      <c r="A203" s="9" t="s">
        <v>15</v>
      </c>
      <c r="B203" s="9" t="s">
        <v>175</v>
      </c>
      <c r="C203" s="9" t="s">
        <v>17</v>
      </c>
      <c r="D203" s="9"/>
      <c r="E203" s="9" t="s">
        <v>480</v>
      </c>
      <c r="F203" s="9" t="s">
        <v>21</v>
      </c>
      <c r="G203" s="9" t="s">
        <v>481</v>
      </c>
      <c r="H203" s="9" t="s">
        <v>17</v>
      </c>
      <c r="I203" s="9" t="s">
        <v>17</v>
      </c>
      <c r="J203" s="9" t="s">
        <v>482</v>
      </c>
    </row>
    <row r="204" spans="1:10" x14ac:dyDescent="0.25">
      <c r="A204" s="5" t="s">
        <v>15</v>
      </c>
      <c r="B204" s="6" t="s">
        <v>462</v>
      </c>
      <c r="C204" s="5" t="s">
        <v>17</v>
      </c>
      <c r="D204" s="5"/>
      <c r="E204" s="5" t="s">
        <v>462</v>
      </c>
      <c r="F204" s="5" t="s">
        <v>21</v>
      </c>
      <c r="G204" s="5" t="s">
        <v>483</v>
      </c>
      <c r="H204" s="5" t="s">
        <v>17</v>
      </c>
      <c r="I204" s="5" t="s">
        <v>17</v>
      </c>
      <c r="J204" s="5" t="s">
        <v>203</v>
      </c>
    </row>
    <row r="205" spans="1:10" x14ac:dyDescent="0.25" outlineLevel="1" collapsed="1">
      <c r="A205" s="9" t="s">
        <v>15</v>
      </c>
      <c r="B205" s="9" t="s">
        <v>23</v>
      </c>
      <c r="C205" s="10" t="s">
        <v>465</v>
      </c>
      <c r="D205" s="9"/>
      <c r="E205" s="9" t="s">
        <v>123</v>
      </c>
      <c r="F205" s="9" t="s">
        <v>21</v>
      </c>
      <c r="G205" s="9" t="s">
        <v>124</v>
      </c>
      <c r="H205" s="9" t="s">
        <v>17</v>
      </c>
      <c r="I205" s="9" t="s">
        <v>17</v>
      </c>
      <c r="J205" s="9" t="s">
        <v>125</v>
      </c>
    </row>
    <row r="206" spans="1:10" x14ac:dyDescent="0.25" outlineLevel="1" collapsed="1">
      <c r="A206" s="9" t="s">
        <v>21</v>
      </c>
      <c r="B206" s="9" t="s">
        <v>466</v>
      </c>
      <c r="C206" s="11" t="s">
        <v>467</v>
      </c>
      <c r="D206" s="9">
        <f>EXACT(G205,"HWT, IWT")</f>
      </c>
      <c r="E206" s="12" t="s">
        <v>468</v>
      </c>
      <c r="F206" s="9" t="s">
        <v>21</v>
      </c>
      <c r="G206" s="9" t="s">
        <v>17</v>
      </c>
      <c r="H206" s="9" t="s">
        <v>17</v>
      </c>
      <c r="I206" s="9" t="s">
        <v>17</v>
      </c>
      <c r="J206" s="9" t="s">
        <v>222</v>
      </c>
    </row>
    <row r="207" spans="1:10" x14ac:dyDescent="0.25" outlineLevel="1" collapsed="1">
      <c r="A207" s="7" t="s">
        <v>21</v>
      </c>
      <c r="B207" s="8" t="s">
        <v>469</v>
      </c>
      <c r="C207" s="7" t="s">
        <v>17</v>
      </c>
      <c r="D207" s="7">
        <f>EXACT(G205,"CWT, CWS")</f>
      </c>
      <c r="E207" s="7" t="s">
        <v>470</v>
      </c>
      <c r="F207" s="7" t="s">
        <v>21</v>
      </c>
      <c r="G207" s="7" t="s">
        <v>17</v>
      </c>
      <c r="H207" s="7" t="s">
        <v>17</v>
      </c>
      <c r="I207" s="7" t="s">
        <v>17</v>
      </c>
      <c r="J207" s="7" t="s">
        <v>471</v>
      </c>
    </row>
    <row r="208" spans="1:10" x14ac:dyDescent="0.25" outlineLevel="2" collapsed="1">
      <c r="A208" s="9" t="s">
        <v>15</v>
      </c>
      <c r="B208" s="9" t="s">
        <v>56</v>
      </c>
      <c r="C208" s="9" t="s">
        <v>17</v>
      </c>
      <c r="D208" s="9"/>
      <c r="E208" s="9" t="s">
        <v>472</v>
      </c>
      <c r="F208" s="9" t="s">
        <v>21</v>
      </c>
      <c r="G208" s="9" t="s">
        <v>58</v>
      </c>
      <c r="H208" s="9" t="s">
        <v>17</v>
      </c>
      <c r="I208" s="9" t="s">
        <v>17</v>
      </c>
      <c r="J208" s="9" t="s">
        <v>473</v>
      </c>
    </row>
    <row r="209" spans="1:10" x14ac:dyDescent="0.25" outlineLevel="2" collapsed="1">
      <c r="A209" s="9" t="s">
        <v>15</v>
      </c>
      <c r="B209" s="9" t="s">
        <v>56</v>
      </c>
      <c r="C209" s="9" t="s">
        <v>17</v>
      </c>
      <c r="D209" s="9"/>
      <c r="E209" s="9" t="s">
        <v>474</v>
      </c>
      <c r="F209" s="9" t="s">
        <v>21</v>
      </c>
      <c r="G209" s="9" t="s">
        <v>58</v>
      </c>
      <c r="H209" s="9" t="s">
        <v>17</v>
      </c>
      <c r="I209" s="9" t="s">
        <v>17</v>
      </c>
      <c r="J209" s="9" t="s">
        <v>475</v>
      </c>
    </row>
    <row r="210" spans="1:10" x14ac:dyDescent="0.25" outlineLevel="2" collapsed="1">
      <c r="A210" s="9" t="s">
        <v>15</v>
      </c>
      <c r="B210" s="9" t="s">
        <v>56</v>
      </c>
      <c r="C210" s="9" t="s">
        <v>17</v>
      </c>
      <c r="D210" s="9"/>
      <c r="E210" s="9" t="s">
        <v>476</v>
      </c>
      <c r="F210" s="9" t="s">
        <v>21</v>
      </c>
      <c r="G210" s="9" t="s">
        <v>58</v>
      </c>
      <c r="H210" s="9" t="s">
        <v>17</v>
      </c>
      <c r="I210" s="9" t="s">
        <v>17</v>
      </c>
      <c r="J210" s="9" t="s">
        <v>477</v>
      </c>
    </row>
    <row r="211" spans="1:10" x14ac:dyDescent="0.25" outlineLevel="2" collapsed="1">
      <c r="A211" s="9" t="s">
        <v>15</v>
      </c>
      <c r="B211" s="9" t="s">
        <v>56</v>
      </c>
      <c r="C211" s="9" t="s">
        <v>17</v>
      </c>
      <c r="D211" s="9"/>
      <c r="E211" s="9" t="s">
        <v>478</v>
      </c>
      <c r="F211" s="9" t="s">
        <v>21</v>
      </c>
      <c r="G211" s="9" t="s">
        <v>58</v>
      </c>
      <c r="H211" s="9" t="s">
        <v>17</v>
      </c>
      <c r="I211" s="9" t="s">
        <v>17</v>
      </c>
      <c r="J211" s="9" t="s">
        <v>479</v>
      </c>
    </row>
    <row r="212" spans="1:10" x14ac:dyDescent="0.25" outlineLevel="2" collapsed="1">
      <c r="A212" s="9" t="s">
        <v>15</v>
      </c>
      <c r="B212" s="9" t="s">
        <v>175</v>
      </c>
      <c r="C212" s="9" t="s">
        <v>17</v>
      </c>
      <c r="D212" s="9"/>
      <c r="E212" s="9" t="s">
        <v>480</v>
      </c>
      <c r="F212" s="9" t="s">
        <v>21</v>
      </c>
      <c r="G212" s="9" t="s">
        <v>484</v>
      </c>
      <c r="H212" s="9" t="s">
        <v>17</v>
      </c>
      <c r="I212" s="9" t="s">
        <v>17</v>
      </c>
      <c r="J212" s="9" t="s">
        <v>482</v>
      </c>
    </row>
  </sheetData>
  <mergeCells count="3">
    <mergeCell ref="A1:J1"/>
    <mergeCell ref="B2:J2"/>
    <mergeCell ref="B3:J3"/>
  </mergeCells>
  <dataValidations count="13">
    <dataValidation type="list" allowBlank="1" sqref="G126:I126">
      <formula1>'Select the relevant SDG (enum)'!A4:A19</formula1>
    </dataValidation>
    <dataValidation type="list" allowBlank="1" sqref="G13:I13">
      <formula1>'Project Status (enum)'!A4:A7</formula1>
    </dataValidation>
    <dataValidation type="list" allowBlank="1" sqref="G148:I148">
      <formula1>'Type of crediting Pe 2 (enum)'!A4:A5</formula1>
    </dataValidation>
    <dataValidation type="list" allowBlank="1" sqref="G15:I15">
      <formula1>'Project Scale (enum)'!A4:A6</formula1>
    </dataValidation>
    <dataValidation type="list" allowBlank="1" sqref="G18:I18">
      <formula1>'Select the SDG (enum)'!A4:A20</formula1>
    </dataValidation>
    <dataValidation type="list" allowBlank="1" sqref="G182:I182">
      <formula1>'Relevant SDG (enum)'!A4:A20</formula1>
    </dataValidation>
    <dataValidation type="list" allowBlank="1" sqref="G196:I196">
      <formula1>'Treatment Technology 3 (enum)'!A4:A5</formula1>
    </dataValidation>
    <dataValidation type="list" allowBlank="1" sqref="G205:I205">
      <formula1>'Treatment Technology 3 (enum)'!A4:A5</formula1>
    </dataValidation>
    <dataValidation type="list" allowBlank="1" sqref="G23:I23">
      <formula1>'Country 3 (enum)'!A4:A256</formula1>
    </dataValidation>
    <dataValidation type="list" allowBlank="1" sqref="G27:I27">
      <formula1>'UrbanRural Classificati (enum)'!A4:A5</formula1>
    </dataValidation>
    <dataValidation type="list" allowBlank="1" sqref="G41:I41">
      <formula1>'Treatment Technology Ca (enum)'!A4:A5</formula1>
    </dataValidation>
    <dataValidation type="list" allowBlank="1" sqref="G43:I43">
      <formula1>'Treatment Technology Su (enum)'!A4:A9</formula1>
    </dataValidation>
    <dataValidation type="list" allowBlank="1" sqref="G55:I55">
      <formula1>'Treatment Technology 2 (enum)'!A4:A9</formula1>
    </dataValidation>
  </dataValidations>
  <hyperlinks>
    <hyperlink ref="B6" r:id="rId1" location="#'Basic Information'!A1"/>
    <hyperlink ref="B9" r:id="rId2" location="#'Project Details'!A1"/>
    <hyperlink ref="C13" r:id="rId3" location="#'Project Status (enum)'!A3"/>
    <hyperlink ref="C15" r:id="rId4" location="#'Project Scale (enum)'!A3"/>
    <hyperlink ref="B17" r:id="rId5" location="#'Contribution of the Project to'!A1"/>
    <hyperlink ref="C18" r:id="rId6" location="#'Select the SDG (enum)'!A3"/>
    <hyperlink ref="B21" r:id="rId7" location="#'Project Location Details'!A1"/>
    <hyperlink ref="B22" r:id="rId8" location="#'Country'!A1"/>
    <hyperlink ref="C23" r:id="rId9" location="#'Country 3 (enum)'!A3"/>
    <hyperlink ref="C27" r:id="rId10" location="#'UrbanRural Classificati (enum)'!A3"/>
    <hyperlink ref="B31" r:id="rId11" location="#'Project Developer Details'!A1"/>
    <hyperlink ref="B40" r:id="rId12" location="#'Water Treatment Technology'!A1"/>
    <hyperlink ref="C41" r:id="rId13" location="#'Treatment Technology Ca (enum)'!A3"/>
    <hyperlink ref="B42" r:id="rId14" location="#'Treatment Technology Sub-type'!A1"/>
    <hyperlink ref="C43" r:id="rId15" location="#'Treatment Technology Su (enum)'!A3"/>
    <hyperlink ref="B54" r:id="rId16" location="#'Treatment Technology Sub-ty 2'!A1"/>
    <hyperlink ref="C55" r:id="rId17" location="#'Treatment Technology 2 (enum)'!A3"/>
    <hyperlink ref="B69" r:id="rId18" location="#'If the Project Installation is'!A1"/>
    <hyperlink ref="B77" r:id="rId19" location="#'Replacement Strategy Details'!A1"/>
    <hyperlink ref="B82" r:id="rId20" location="#'Methodologies and Standardized'!A1"/>
    <hyperlink ref="B85" r:id="rId21" location="#'Baseline Water Sources - Wrapp'!A1"/>
    <hyperlink ref="B86" r:id="rId22" location="#'Baseline Water Sources'!A1"/>
    <hyperlink ref="B90" r:id="rId23" location="#'Water Source Type Details'!A1"/>
    <hyperlink ref="B94" r:id="rId24" location="#'Baseline Treatment Method - Wr'!A1"/>
    <hyperlink ref="B96" r:id="rId25" location="#'Baseline Treatment Method - It'!A1"/>
    <hyperlink ref="B99" r:id="rId26" location="#'Baseline fuels usage - Wrapper'!A1"/>
    <hyperlink ref="B101" r:id="rId27" location="#'Baseline fuels usage - Item'!A1"/>
    <hyperlink ref="B104" r:id="rId28" location="#'Fraction of non-renewable biom'!A1"/>
    <hyperlink ref="B108" r:id="rId29" location="#'Sustainable Development Goa 2'!A1"/>
    <hyperlink ref="B109" r:id="rId30" location="#'Sustainable Development Goa 3'!A1"/>
    <hyperlink ref="B111" r:id="rId31" location="#'Data and parameters fixed ex a'!A1"/>
    <hyperlink ref="B120" r:id="rId32" location="#'Ex Ante Estimation of SDG Impa'!A1"/>
    <hyperlink ref="B125" r:id="rId33" location="#'Sustainable Development Goals'!A1"/>
    <hyperlink ref="C126" r:id="rId34" location="#'Select the relevant SDG (enum)'!A3"/>
    <hyperlink ref="B128" r:id="rId35" location="#'Data and parameters fixed ex a'!A1"/>
    <hyperlink ref="B137" r:id="rId36" location="#'Ex Ante Estimation of SDG Impa'!A1"/>
    <hyperlink ref="B142" r:id="rId37" location="#'Project Crediting Period Detai'!A1"/>
    <hyperlink ref="B144" r:id="rId38" location="#'Project Crediting Period 2'!A1"/>
    <hyperlink ref="C148" r:id="rId39" location="#'Type of crediting Pe 2 (enum)'!A3"/>
    <hyperlink ref="B149" r:id="rId40" location="#'Project Boundary and Additiona'!A1"/>
    <hyperlink ref="B157" r:id="rId41" location="#'Baseline Scenario - Sources'!A1"/>
    <hyperlink ref="B158" r:id="rId42" location="#'Source'!A1"/>
    <hyperlink ref="B160" r:id="rId43" location="#'GHG Details'!A1"/>
    <hyperlink ref="B164" r:id="rId44" location="#'Project Scenario - Sources'!A1"/>
    <hyperlink ref="B165" r:id="rId45" location="#'Source'!A1"/>
    <hyperlink ref="B167" r:id="rId46" location="#'GHG Details'!A1"/>
    <hyperlink ref="B173" r:id="rId47" location="#'Host Country Regulatory Framew'!A1"/>
    <hyperlink ref="B180" r:id="rId48" location="#'Monitoring Plan Summary'!A1"/>
    <hyperlink ref="B181" r:id="rId49" location="#'Data and Parameters to Be Moni'!A1"/>
    <hyperlink ref="C182" r:id="rId50" location="#'Relevant SDG (enum)'!A3"/>
    <hyperlink ref="B183" r:id="rId51" location="#'Monitoring Parameter - Item'!A1"/>
    <hyperlink ref="B195" r:id="rId52" location="#'Technology-Specific Details'!A1"/>
    <hyperlink ref="C196" r:id="rId53" location="#'Treatment Technology 3 (enum)'!A3"/>
    <hyperlink ref="B198" r:id="rId54" location="#'Maintenance Plan for CWTCWS'!A1"/>
    <hyperlink ref="B204" r:id="rId55" location="#'Technology-Specific Details'!A1"/>
    <hyperlink ref="C205" r:id="rId56" location="#'Treatment Technology 3 (enum)'!A3"/>
    <hyperlink ref="B207" r:id="rId57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487</v>
      </c>
      <c r="D5" s="5"/>
      <c r="E5" s="5" t="s">
        <v>57</v>
      </c>
      <c r="F5" s="5" t="s">
        <v>21</v>
      </c>
      <c r="G5" s="5" t="s">
        <v>488</v>
      </c>
      <c r="H5" s="5" t="s">
        <v>17</v>
      </c>
      <c r="I5" s="5" t="s">
        <v>17</v>
      </c>
      <c r="J5" s="5" t="s">
        <v>489</v>
      </c>
    </row>
    <row r="6" spans="1:10" x14ac:dyDescent="0.25">
      <c r="A6" s="5" t="s">
        <v>15</v>
      </c>
      <c r="B6" s="6" t="s">
        <v>20</v>
      </c>
      <c r="C6" s="5" t="s">
        <v>17</v>
      </c>
      <c r="D6" s="5"/>
      <c r="E6" s="5" t="s">
        <v>490</v>
      </c>
      <c r="F6" s="5" t="s">
        <v>21</v>
      </c>
      <c r="G6" s="5" t="s">
        <v>491</v>
      </c>
      <c r="H6" s="5" t="s">
        <v>17</v>
      </c>
      <c r="I6" s="5" t="s">
        <v>17</v>
      </c>
      <c r="J6" s="5" t="s">
        <v>492</v>
      </c>
    </row>
    <row r="7" spans="1:10" x14ac:dyDescent="0.25" outlineLevel="1" collapsed="1">
      <c r="A7" s="9" t="s">
        <v>15</v>
      </c>
      <c r="B7" s="9" t="s">
        <v>23</v>
      </c>
      <c r="C7" s="10" t="s">
        <v>24</v>
      </c>
      <c r="D7" s="9"/>
      <c r="E7" s="9" t="s">
        <v>20</v>
      </c>
      <c r="F7" s="9" t="s">
        <v>21</v>
      </c>
      <c r="G7" s="9" t="s">
        <v>25</v>
      </c>
      <c r="H7" s="9" t="s">
        <v>17</v>
      </c>
      <c r="I7" s="9" t="s">
        <v>17</v>
      </c>
      <c r="J7" s="9" t="s">
        <v>22</v>
      </c>
    </row>
    <row r="8" spans="1:10" x14ac:dyDescent="0.25">
      <c r="A8" s="5" t="s">
        <v>15</v>
      </c>
      <c r="B8" s="5" t="s">
        <v>23</v>
      </c>
      <c r="C8" s="6" t="s">
        <v>493</v>
      </c>
      <c r="D8" s="5"/>
      <c r="E8" s="5" t="s">
        <v>494</v>
      </c>
      <c r="F8" s="5" t="s">
        <v>15</v>
      </c>
      <c r="G8" s="5" t="s">
        <v>495</v>
      </c>
      <c r="H8" s="5" t="s">
        <v>17</v>
      </c>
      <c r="I8" s="5" t="s">
        <v>17</v>
      </c>
      <c r="J8" s="5" t="s">
        <v>496</v>
      </c>
    </row>
    <row r="9" spans="1:10" x14ac:dyDescent="0.25">
      <c r="A9" s="5" t="s">
        <v>15</v>
      </c>
      <c r="B9" s="5" t="s">
        <v>23</v>
      </c>
      <c r="C9" s="6" t="s">
        <v>497</v>
      </c>
      <c r="D9" s="5"/>
      <c r="E9" s="5" t="s">
        <v>498</v>
      </c>
      <c r="F9" s="5" t="s">
        <v>15</v>
      </c>
      <c r="G9" s="5" t="s">
        <v>499</v>
      </c>
      <c r="H9" s="5" t="s">
        <v>17</v>
      </c>
      <c r="I9" s="5" t="s">
        <v>17</v>
      </c>
      <c r="J9" s="5" t="s">
        <v>500</v>
      </c>
    </row>
    <row r="10" spans="1:10" x14ac:dyDescent="0.25">
      <c r="A10" s="5" t="s">
        <v>15</v>
      </c>
      <c r="B10" s="5" t="s">
        <v>26</v>
      </c>
      <c r="C10" s="5" t="s">
        <v>501</v>
      </c>
      <c r="D10" s="5"/>
      <c r="E10" s="5" t="s">
        <v>502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503</v>
      </c>
    </row>
    <row r="11" spans="1:10" x14ac:dyDescent="0.25">
      <c r="A11" s="5" t="s">
        <v>15</v>
      </c>
      <c r="B11" s="5" t="s">
        <v>60</v>
      </c>
      <c r="C11" s="5" t="s">
        <v>17</v>
      </c>
      <c r="D11" s="5"/>
      <c r="E11" s="5" t="s">
        <v>504</v>
      </c>
      <c r="F11" s="5" t="s">
        <v>21</v>
      </c>
      <c r="G11" s="5" t="s">
        <v>505</v>
      </c>
      <c r="H11" s="5" t="s">
        <v>17</v>
      </c>
      <c r="I11" s="5" t="s">
        <v>17</v>
      </c>
      <c r="J11" s="5" t="s">
        <v>506</v>
      </c>
    </row>
    <row r="12" spans="1:10" x14ac:dyDescent="0.25">
      <c r="A12" s="5" t="s">
        <v>15</v>
      </c>
      <c r="B12" s="5" t="s">
        <v>26</v>
      </c>
      <c r="C12" s="5" t="s">
        <v>507</v>
      </c>
      <c r="D12" s="5"/>
      <c r="E12" s="5" t="s">
        <v>508</v>
      </c>
      <c r="F12" s="5" t="s">
        <v>21</v>
      </c>
      <c r="G12" s="5" t="s">
        <v>58</v>
      </c>
      <c r="H12" s="5" t="s">
        <v>17</v>
      </c>
      <c r="I12" s="5" t="s">
        <v>17</v>
      </c>
      <c r="J12" s="5" t="s">
        <v>509</v>
      </c>
    </row>
    <row r="13" spans="1:10" x14ac:dyDescent="0.25">
      <c r="A13" s="5" t="s">
        <v>15</v>
      </c>
      <c r="B13" s="5" t="s">
        <v>26</v>
      </c>
      <c r="C13" s="5" t="s">
        <v>507</v>
      </c>
      <c r="D13" s="5"/>
      <c r="E13" s="5" t="s">
        <v>510</v>
      </c>
      <c r="F13" s="5" t="s">
        <v>21</v>
      </c>
      <c r="G13" s="5" t="s">
        <v>58</v>
      </c>
      <c r="H13" s="5" t="s">
        <v>17</v>
      </c>
      <c r="I13" s="5" t="s">
        <v>17</v>
      </c>
      <c r="J13" s="5" t="s">
        <v>511</v>
      </c>
    </row>
    <row r="14" spans="1:10" x14ac:dyDescent="0.25">
      <c r="A14" s="5" t="s">
        <v>15</v>
      </c>
      <c r="B14" s="5" t="s">
        <v>26</v>
      </c>
      <c r="C14" s="5" t="s">
        <v>512</v>
      </c>
      <c r="D14" s="5"/>
      <c r="E14" s="5" t="s">
        <v>513</v>
      </c>
      <c r="F14" s="5" t="s">
        <v>21</v>
      </c>
      <c r="G14" s="5" t="s">
        <v>514</v>
      </c>
      <c r="H14" s="5" t="s">
        <v>17</v>
      </c>
      <c r="I14" s="5" t="s">
        <v>17</v>
      </c>
      <c r="J14" s="5" t="s">
        <v>515</v>
      </c>
    </row>
    <row r="15" spans="1:10" x14ac:dyDescent="0.25">
      <c r="A15" s="5" t="s">
        <v>15</v>
      </c>
      <c r="B15" s="5" t="s">
        <v>175</v>
      </c>
      <c r="C15" s="5" t="s">
        <v>17</v>
      </c>
      <c r="D15" s="5"/>
      <c r="E15" s="5" t="s">
        <v>516</v>
      </c>
      <c r="F15" s="5" t="s">
        <v>21</v>
      </c>
      <c r="G15" s="5" t="s">
        <v>262</v>
      </c>
      <c r="H15" s="5" t="s">
        <v>17</v>
      </c>
      <c r="I15" s="5" t="s">
        <v>17</v>
      </c>
      <c r="J15" s="5" t="s">
        <v>517</v>
      </c>
    </row>
    <row r="16" spans="1:10" x14ac:dyDescent="0.25">
      <c r="A16" s="5" t="s">
        <v>15</v>
      </c>
      <c r="B16" s="5" t="s">
        <v>175</v>
      </c>
      <c r="C16" s="5" t="s">
        <v>17</v>
      </c>
      <c r="D16" s="5"/>
      <c r="E16" s="5" t="s">
        <v>518</v>
      </c>
      <c r="F16" s="5" t="s">
        <v>21</v>
      </c>
      <c r="G16" s="5" t="s">
        <v>262</v>
      </c>
      <c r="H16" s="5" t="s">
        <v>17</v>
      </c>
      <c r="I16" s="5" t="s">
        <v>17</v>
      </c>
      <c r="J16" s="5" t="s">
        <v>519</v>
      </c>
    </row>
    <row r="17" spans="1:10" x14ac:dyDescent="0.25">
      <c r="A17" s="5" t="s">
        <v>15</v>
      </c>
      <c r="B17" s="5" t="s">
        <v>175</v>
      </c>
      <c r="C17" s="5" t="s">
        <v>17</v>
      </c>
      <c r="D17" s="5"/>
      <c r="E17" s="5" t="s">
        <v>520</v>
      </c>
      <c r="F17" s="5" t="s">
        <v>21</v>
      </c>
      <c r="G17" s="5" t="s">
        <v>262</v>
      </c>
      <c r="H17" s="5" t="s">
        <v>17</v>
      </c>
      <c r="I17" s="5" t="s">
        <v>17</v>
      </c>
      <c r="J17" s="5" t="s">
        <v>521</v>
      </c>
    </row>
    <row r="18" spans="1:10" x14ac:dyDescent="0.25">
      <c r="A18" s="5" t="s">
        <v>15</v>
      </c>
      <c r="B18" s="5" t="s">
        <v>175</v>
      </c>
      <c r="C18" s="5" t="s">
        <v>17</v>
      </c>
      <c r="D18" s="5"/>
      <c r="E18" s="5" t="s">
        <v>522</v>
      </c>
      <c r="F18" s="5" t="s">
        <v>21</v>
      </c>
      <c r="G18" s="5" t="s">
        <v>262</v>
      </c>
      <c r="H18" s="5" t="s">
        <v>17</v>
      </c>
      <c r="I18" s="5" t="s">
        <v>17</v>
      </c>
      <c r="J18" s="5" t="s">
        <v>523</v>
      </c>
    </row>
    <row r="19" spans="1:10" x14ac:dyDescent="0.25">
      <c r="A19" s="5" t="s">
        <v>21</v>
      </c>
      <c r="B19" s="5" t="s">
        <v>175</v>
      </c>
      <c r="C19" s="5" t="s">
        <v>17</v>
      </c>
      <c r="D19" s="5"/>
      <c r="E19" s="5" t="s">
        <v>524</v>
      </c>
      <c r="F19" s="5" t="s">
        <v>21</v>
      </c>
      <c r="G19" s="5" t="s">
        <v>262</v>
      </c>
      <c r="H19" s="5" t="s">
        <v>17</v>
      </c>
      <c r="I19" s="5" t="s">
        <v>17</v>
      </c>
      <c r="J19" s="5" t="s">
        <v>525</v>
      </c>
    </row>
    <row r="20" spans="1:10" x14ac:dyDescent="0.25">
      <c r="A20" s="5" t="s">
        <v>21</v>
      </c>
      <c r="B20" s="5" t="s">
        <v>175</v>
      </c>
      <c r="C20" s="5" t="s">
        <v>17</v>
      </c>
      <c r="D20" s="5"/>
      <c r="E20" s="5" t="s">
        <v>526</v>
      </c>
      <c r="F20" s="5" t="s">
        <v>21</v>
      </c>
      <c r="G20" s="5" t="s">
        <v>262</v>
      </c>
      <c r="H20" s="5" t="s">
        <v>17</v>
      </c>
      <c r="I20" s="5" t="s">
        <v>17</v>
      </c>
      <c r="J20" s="5" t="s">
        <v>527</v>
      </c>
    </row>
  </sheetData>
  <mergeCells count="3">
    <mergeCell ref="A1:J1"/>
    <mergeCell ref="B2:J2"/>
    <mergeCell ref="B3:J3"/>
  </mergeCells>
  <dataValidations count="1">
    <dataValidation type="list" allowBlank="1" sqref="G7:I7">
      <formula1>'Country 3 (enum)'!A4:A256</formula1>
    </dataValidation>
  </dataValidations>
  <hyperlinks>
    <hyperlink ref="B6" r:id="rId1" location="#'Country'!A1"/>
    <hyperlink ref="C7" r:id="rId2" location="#'Country 3 (enum)'!A3"/>
    <hyperlink ref="C8" r:id="rId3" location="#'Scope (enum)'!A3"/>
    <hyperlink ref="C9" r:id="rId4" location="#'Accreditation Sco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21</v>
      </c>
      <c r="B5" s="5" t="s">
        <v>56</v>
      </c>
      <c r="C5" s="5" t="s">
        <v>17</v>
      </c>
      <c r="D5" s="5"/>
      <c r="E5" s="5" t="s">
        <v>216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214</v>
      </c>
    </row>
    <row r="6" spans="1:10" x14ac:dyDescent="0.25">
      <c r="A6" s="5" t="s">
        <v>15</v>
      </c>
      <c r="B6" s="6" t="s">
        <v>82</v>
      </c>
      <c r="C6" s="5" t="s">
        <v>17</v>
      </c>
      <c r="D6" s="5"/>
      <c r="E6" s="5" t="s">
        <v>82</v>
      </c>
      <c r="F6" s="5" t="s">
        <v>21</v>
      </c>
      <c r="G6" s="5" t="s">
        <v>529</v>
      </c>
      <c r="H6" s="5" t="s">
        <v>17</v>
      </c>
      <c r="I6" s="5" t="s">
        <v>17</v>
      </c>
      <c r="J6" s="5" t="s">
        <v>84</v>
      </c>
    </row>
    <row r="7" spans="1:10" x14ac:dyDescent="0.25" outlineLevel="1" collapsed="1">
      <c r="A7" s="9" t="s">
        <v>15</v>
      </c>
      <c r="B7" s="9" t="s">
        <v>26</v>
      </c>
      <c r="C7" s="9" t="s">
        <v>85</v>
      </c>
      <c r="D7" s="9"/>
      <c r="E7" s="9" t="s">
        <v>86</v>
      </c>
      <c r="F7" s="9" t="s">
        <v>21</v>
      </c>
      <c r="G7" s="9" t="s">
        <v>530</v>
      </c>
      <c r="H7" s="9" t="s">
        <v>17</v>
      </c>
      <c r="I7" s="9" t="s">
        <v>17</v>
      </c>
      <c r="J7" s="9" t="s">
        <v>88</v>
      </c>
    </row>
    <row r="8" spans="1:10" x14ac:dyDescent="0.25" outlineLevel="1" collapsed="1">
      <c r="A8" s="9" t="s">
        <v>15</v>
      </c>
      <c r="B8" s="9" t="s">
        <v>89</v>
      </c>
      <c r="C8" s="9" t="s">
        <v>17</v>
      </c>
      <c r="D8" s="9"/>
      <c r="E8" s="9" t="s">
        <v>90</v>
      </c>
      <c r="F8" s="9" t="s">
        <v>21</v>
      </c>
      <c r="G8" s="9" t="s">
        <v>91</v>
      </c>
      <c r="H8" s="9" t="s">
        <v>17</v>
      </c>
      <c r="I8" s="9" t="s">
        <v>17</v>
      </c>
      <c r="J8" s="9" t="s">
        <v>92</v>
      </c>
    </row>
    <row r="9" spans="1:10" x14ac:dyDescent="0.25" outlineLevel="1" collapsed="1">
      <c r="A9" s="9" t="s">
        <v>15</v>
      </c>
      <c r="B9" s="9" t="s">
        <v>89</v>
      </c>
      <c r="C9" s="9" t="s">
        <v>17</v>
      </c>
      <c r="D9" s="9"/>
      <c r="E9" s="9" t="s">
        <v>93</v>
      </c>
      <c r="F9" s="9" t="s">
        <v>21</v>
      </c>
      <c r="G9" s="9" t="s">
        <v>91</v>
      </c>
      <c r="H9" s="9" t="s">
        <v>17</v>
      </c>
      <c r="I9" s="9" t="s">
        <v>17</v>
      </c>
      <c r="J9" s="9" t="s">
        <v>94</v>
      </c>
    </row>
    <row r="10" spans="1:10" x14ac:dyDescent="0.25" outlineLevel="1" collapsed="1">
      <c r="A10" s="9" t="s">
        <v>15</v>
      </c>
      <c r="B10" s="9" t="s">
        <v>23</v>
      </c>
      <c r="C10" s="10" t="s">
        <v>95</v>
      </c>
      <c r="D10" s="9"/>
      <c r="E10" s="9" t="s">
        <v>96</v>
      </c>
      <c r="F10" s="9" t="s">
        <v>21</v>
      </c>
      <c r="G10" s="9" t="s">
        <v>97</v>
      </c>
      <c r="H10" s="9" t="s">
        <v>17</v>
      </c>
      <c r="I10" s="9" t="s">
        <v>17</v>
      </c>
      <c r="J10" s="9" t="s">
        <v>98</v>
      </c>
    </row>
    <row r="11" spans="1:10" x14ac:dyDescent="0.25" outlineLevel="1" collapsed="1">
      <c r="A11" s="9" t="s">
        <v>15</v>
      </c>
      <c r="B11" s="9" t="s">
        <v>26</v>
      </c>
      <c r="C11" s="9" t="s">
        <v>99</v>
      </c>
      <c r="D11" s="9"/>
      <c r="E11" s="9" t="s">
        <v>100</v>
      </c>
      <c r="F11" s="9" t="s">
        <v>21</v>
      </c>
      <c r="G11" s="9" t="s">
        <v>531</v>
      </c>
      <c r="H11" s="9" t="s">
        <v>17</v>
      </c>
      <c r="I11" s="9" t="s">
        <v>17</v>
      </c>
      <c r="J11" s="9" t="s">
        <v>102</v>
      </c>
    </row>
    <row r="12" spans="1:10" x14ac:dyDescent="0.25" outlineLevel="1" collapsed="1">
      <c r="A12" s="9" t="s">
        <v>15</v>
      </c>
      <c r="B12" s="9" t="s">
        <v>23</v>
      </c>
      <c r="C12" s="10" t="s">
        <v>103</v>
      </c>
      <c r="D12" s="9"/>
      <c r="E12" s="9" t="s">
        <v>104</v>
      </c>
      <c r="F12" s="9" t="s">
        <v>21</v>
      </c>
      <c r="G12" s="9" t="s">
        <v>105</v>
      </c>
      <c r="H12" s="9" t="s">
        <v>17</v>
      </c>
      <c r="I12" s="9" t="s">
        <v>17</v>
      </c>
      <c r="J12" s="9" t="s">
        <v>106</v>
      </c>
    </row>
    <row r="13" spans="1:10" x14ac:dyDescent="0.25" outlineLevel="1" collapsed="1">
      <c r="A13" s="9" t="s">
        <v>15</v>
      </c>
      <c r="B13" s="9" t="s">
        <v>56</v>
      </c>
      <c r="C13" s="9" t="s">
        <v>17</v>
      </c>
      <c r="D13" s="9"/>
      <c r="E13" s="9" t="s">
        <v>107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108</v>
      </c>
    </row>
    <row r="14" spans="1:10" x14ac:dyDescent="0.25" outlineLevel="1" collapsed="1">
      <c r="A14" s="7" t="s">
        <v>15</v>
      </c>
      <c r="B14" s="8" t="s">
        <v>109</v>
      </c>
      <c r="C14" s="7" t="s">
        <v>17</v>
      </c>
      <c r="D14" s="7"/>
      <c r="E14" s="7" t="s">
        <v>110</v>
      </c>
      <c r="F14" s="7" t="s">
        <v>15</v>
      </c>
      <c r="G14" s="7" t="s">
        <v>17</v>
      </c>
      <c r="H14" s="7" t="s">
        <v>17</v>
      </c>
      <c r="I14" s="7" t="s">
        <v>17</v>
      </c>
      <c r="J14" s="7" t="s">
        <v>111</v>
      </c>
    </row>
    <row r="15" spans="1:10" x14ac:dyDescent="0.25" outlineLevel="2" collapsed="1">
      <c r="A15" s="9" t="s">
        <v>15</v>
      </c>
      <c r="B15" s="9" t="s">
        <v>23</v>
      </c>
      <c r="C15" s="10" t="s">
        <v>112</v>
      </c>
      <c r="D15" s="9"/>
      <c r="E15" s="9" t="s">
        <v>113</v>
      </c>
      <c r="F15" s="9" t="s">
        <v>21</v>
      </c>
      <c r="G15" s="9" t="s">
        <v>114</v>
      </c>
      <c r="H15" s="9" t="s">
        <v>17</v>
      </c>
      <c r="I15" s="9" t="s">
        <v>17</v>
      </c>
      <c r="J15" s="9" t="s">
        <v>115</v>
      </c>
    </row>
    <row r="16" spans="1:10" x14ac:dyDescent="0.25" outlineLevel="2" collapsed="1">
      <c r="A16" s="9" t="s">
        <v>15</v>
      </c>
      <c r="B16" s="9" t="s">
        <v>56</v>
      </c>
      <c r="C16" s="9" t="s">
        <v>17</v>
      </c>
      <c r="D16" s="9"/>
      <c r="E16" s="9" t="s">
        <v>116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117</v>
      </c>
    </row>
    <row r="17" spans="1:10" x14ac:dyDescent="0.25" outlineLevel="1" collapsed="1">
      <c r="A17" s="9" t="s">
        <v>15</v>
      </c>
      <c r="B17" s="9" t="s">
        <v>56</v>
      </c>
      <c r="C17" s="9" t="s">
        <v>17</v>
      </c>
      <c r="D17" s="9"/>
      <c r="E17" s="9" t="s">
        <v>118</v>
      </c>
      <c r="F17" s="9" t="s">
        <v>21</v>
      </c>
      <c r="G17" s="9" t="s">
        <v>58</v>
      </c>
      <c r="H17" s="9" t="s">
        <v>17</v>
      </c>
      <c r="I17" s="9" t="s">
        <v>17</v>
      </c>
      <c r="J17" s="9" t="s">
        <v>119</v>
      </c>
    </row>
    <row r="18" spans="1:10" x14ac:dyDescent="0.25">
      <c r="A18" s="5" t="s">
        <v>15</v>
      </c>
      <c r="B18" s="6" t="s">
        <v>16</v>
      </c>
      <c r="C18" s="5" t="s">
        <v>17</v>
      </c>
      <c r="D18" s="5"/>
      <c r="E18" s="5" t="s">
        <v>16</v>
      </c>
      <c r="F18" s="5" t="s">
        <v>15</v>
      </c>
      <c r="G18" s="5" t="s">
        <v>532</v>
      </c>
      <c r="H18" s="5" t="s">
        <v>17</v>
      </c>
      <c r="I18" s="5" t="s">
        <v>17</v>
      </c>
      <c r="J18" s="5" t="s">
        <v>19</v>
      </c>
    </row>
    <row r="19" spans="1:10" x14ac:dyDescent="0.25" outlineLevel="1" collapsed="1">
      <c r="A19" s="7" t="s">
        <v>15</v>
      </c>
      <c r="B19" s="8" t="s">
        <v>20</v>
      </c>
      <c r="C19" s="7" t="s">
        <v>17</v>
      </c>
      <c r="D19" s="7"/>
      <c r="E19" s="7" t="s">
        <v>20</v>
      </c>
      <c r="F19" s="7" t="s">
        <v>21</v>
      </c>
      <c r="G19" s="7" t="s">
        <v>17</v>
      </c>
      <c r="H19" s="7" t="s">
        <v>17</v>
      </c>
      <c r="I19" s="7" t="s">
        <v>17</v>
      </c>
      <c r="J19" s="7" t="s">
        <v>22</v>
      </c>
    </row>
    <row r="20" spans="1:10" x14ac:dyDescent="0.25" outlineLevel="2" collapsed="1">
      <c r="A20" s="9" t="s">
        <v>15</v>
      </c>
      <c r="B20" s="9" t="s">
        <v>23</v>
      </c>
      <c r="C20" s="10" t="s">
        <v>24</v>
      </c>
      <c r="D20" s="9"/>
      <c r="E20" s="9" t="s">
        <v>20</v>
      </c>
      <c r="F20" s="9" t="s">
        <v>21</v>
      </c>
      <c r="G20" s="9" t="s">
        <v>25</v>
      </c>
      <c r="H20" s="9" t="s">
        <v>17</v>
      </c>
      <c r="I20" s="9" t="s">
        <v>17</v>
      </c>
      <c r="J20" s="9" t="s">
        <v>22</v>
      </c>
    </row>
    <row r="21" spans="1:10" x14ac:dyDescent="0.25" outlineLevel="1" collapsed="1">
      <c r="A21" s="9" t="s">
        <v>15</v>
      </c>
      <c r="B21" s="9" t="s">
        <v>26</v>
      </c>
      <c r="C21" s="9" t="s">
        <v>27</v>
      </c>
      <c r="D21" s="9"/>
      <c r="E21" s="9" t="s">
        <v>28</v>
      </c>
      <c r="F21" s="9" t="s">
        <v>21</v>
      </c>
      <c r="G21" s="9" t="s">
        <v>533</v>
      </c>
      <c r="H21" s="9" t="s">
        <v>17</v>
      </c>
      <c r="I21" s="9" t="s">
        <v>17</v>
      </c>
      <c r="J21" s="9" t="s">
        <v>30</v>
      </c>
    </row>
    <row r="22" spans="1:10" x14ac:dyDescent="0.25" outlineLevel="1" collapsed="1">
      <c r="A22" s="9" t="s">
        <v>15</v>
      </c>
      <c r="B22" s="9" t="s">
        <v>26</v>
      </c>
      <c r="C22" s="9" t="s">
        <v>31</v>
      </c>
      <c r="D22" s="9"/>
      <c r="E22" s="9" t="s">
        <v>32</v>
      </c>
      <c r="F22" s="9" t="s">
        <v>21</v>
      </c>
      <c r="G22" s="9" t="s">
        <v>534</v>
      </c>
      <c r="H22" s="9" t="s">
        <v>17</v>
      </c>
      <c r="I22" s="9" t="s">
        <v>17</v>
      </c>
      <c r="J22" s="9" t="s">
        <v>34</v>
      </c>
    </row>
    <row r="23" spans="1:10" x14ac:dyDescent="0.25" outlineLevel="1" collapsed="1">
      <c r="A23" s="9" t="s">
        <v>15</v>
      </c>
      <c r="B23" s="9" t="s">
        <v>26</v>
      </c>
      <c r="C23" s="9" t="s">
        <v>35</v>
      </c>
      <c r="D23" s="9"/>
      <c r="E23" s="9" t="s">
        <v>36</v>
      </c>
      <c r="F23" s="9" t="s">
        <v>21</v>
      </c>
      <c r="G23" s="9" t="s">
        <v>535</v>
      </c>
      <c r="H23" s="9" t="s">
        <v>17</v>
      </c>
      <c r="I23" s="9" t="s">
        <v>17</v>
      </c>
      <c r="J23" s="9" t="s">
        <v>38</v>
      </c>
    </row>
    <row r="24" spans="1:10" x14ac:dyDescent="0.25" outlineLevel="1" collapsed="1">
      <c r="A24" s="9" t="s">
        <v>15</v>
      </c>
      <c r="B24" s="9" t="s">
        <v>23</v>
      </c>
      <c r="C24" s="10" t="s">
        <v>39</v>
      </c>
      <c r="D24" s="9"/>
      <c r="E24" s="9" t="s">
        <v>40</v>
      </c>
      <c r="F24" s="9" t="s">
        <v>21</v>
      </c>
      <c r="G24" s="9" t="s">
        <v>41</v>
      </c>
      <c r="H24" s="9" t="s">
        <v>17</v>
      </c>
      <c r="I24" s="9" t="s">
        <v>17</v>
      </c>
      <c r="J24" s="9" t="s">
        <v>42</v>
      </c>
    </row>
    <row r="25" spans="1:10" x14ac:dyDescent="0.25" outlineLevel="1" collapsed="1">
      <c r="A25" s="9" t="s">
        <v>15</v>
      </c>
      <c r="B25" s="9" t="s">
        <v>43</v>
      </c>
      <c r="C25" s="9" t="s">
        <v>17</v>
      </c>
      <c r="D25" s="9"/>
      <c r="E25" s="9" t="s">
        <v>44</v>
      </c>
      <c r="F25" s="9" t="s">
        <v>21</v>
      </c>
      <c r="G25" s="9" t="s">
        <v>17</v>
      </c>
      <c r="H25" s="9" t="s">
        <v>17</v>
      </c>
      <c r="I25" s="9" t="s">
        <v>17</v>
      </c>
      <c r="J25" s="9" t="s">
        <v>19</v>
      </c>
    </row>
    <row r="26" spans="1:10" x14ac:dyDescent="0.25" outlineLevel="1" collapsed="1">
      <c r="A26" s="9" t="s">
        <v>15</v>
      </c>
      <c r="B26" s="9" t="s">
        <v>26</v>
      </c>
      <c r="C26" s="9" t="s">
        <v>45</v>
      </c>
      <c r="D26" s="9"/>
      <c r="E26" s="9" t="s">
        <v>46</v>
      </c>
      <c r="F26" s="9" t="s">
        <v>21</v>
      </c>
      <c r="G26" s="9" t="s">
        <v>536</v>
      </c>
      <c r="H26" s="9" t="s">
        <v>17</v>
      </c>
      <c r="I26" s="9" t="s">
        <v>17</v>
      </c>
      <c r="J26" s="9" t="s">
        <v>48</v>
      </c>
    </row>
    <row r="27" spans="1:10" x14ac:dyDescent="0.25" outlineLevel="1" collapsed="1">
      <c r="A27" s="9" t="s">
        <v>15</v>
      </c>
      <c r="B27" s="9" t="s">
        <v>26</v>
      </c>
      <c r="C27" s="9" t="s">
        <v>49</v>
      </c>
      <c r="D27" s="9"/>
      <c r="E27" s="9" t="s">
        <v>50</v>
      </c>
      <c r="F27" s="9" t="s">
        <v>21</v>
      </c>
      <c r="G27" s="9" t="s">
        <v>537</v>
      </c>
      <c r="H27" s="9" t="s">
        <v>17</v>
      </c>
      <c r="I27" s="9" t="s">
        <v>17</v>
      </c>
      <c r="J27" s="9" t="s">
        <v>52</v>
      </c>
    </row>
    <row r="28" spans="1:10" x14ac:dyDescent="0.25">
      <c r="A28" s="5" t="s">
        <v>15</v>
      </c>
      <c r="B28" s="6" t="s">
        <v>53</v>
      </c>
      <c r="C28" s="5" t="s">
        <v>17</v>
      </c>
      <c r="D28" s="5"/>
      <c r="E28" s="5" t="s">
        <v>53</v>
      </c>
      <c r="F28" s="5" t="s">
        <v>21</v>
      </c>
      <c r="G28" s="5" t="s">
        <v>538</v>
      </c>
      <c r="H28" s="5" t="s">
        <v>17</v>
      </c>
      <c r="I28" s="5" t="s">
        <v>17</v>
      </c>
      <c r="J28" s="5" t="s">
        <v>539</v>
      </c>
    </row>
    <row r="29" spans="1:10" x14ac:dyDescent="0.25" outlineLevel="1" collapsed="1">
      <c r="A29" s="9" t="s">
        <v>15</v>
      </c>
      <c r="B29" s="9" t="s">
        <v>56</v>
      </c>
      <c r="C29" s="9" t="s">
        <v>17</v>
      </c>
      <c r="D29" s="9"/>
      <c r="E29" s="9" t="s">
        <v>57</v>
      </c>
      <c r="F29" s="9" t="s">
        <v>21</v>
      </c>
      <c r="G29" s="9" t="s">
        <v>58</v>
      </c>
      <c r="H29" s="9" t="s">
        <v>17</v>
      </c>
      <c r="I29" s="9" t="s">
        <v>17</v>
      </c>
      <c r="J29" s="9" t="s">
        <v>59</v>
      </c>
    </row>
    <row r="30" spans="1:10" x14ac:dyDescent="0.25" outlineLevel="1" collapsed="1">
      <c r="A30" s="9" t="s">
        <v>15</v>
      </c>
      <c r="B30" s="9" t="s">
        <v>60</v>
      </c>
      <c r="C30" s="9" t="s">
        <v>17</v>
      </c>
      <c r="D30" s="9"/>
      <c r="E30" s="9" t="s">
        <v>61</v>
      </c>
      <c r="F30" s="9" t="s">
        <v>21</v>
      </c>
      <c r="G30" s="9" t="s">
        <v>62</v>
      </c>
      <c r="H30" s="9" t="s">
        <v>17</v>
      </c>
      <c r="I30" s="9" t="s">
        <v>17</v>
      </c>
      <c r="J30" s="9" t="s">
        <v>63</v>
      </c>
    </row>
    <row r="31" spans="1:10" x14ac:dyDescent="0.25" outlineLevel="1" collapsed="1">
      <c r="A31" s="9" t="s">
        <v>15</v>
      </c>
      <c r="B31" s="9" t="s">
        <v>56</v>
      </c>
      <c r="C31" s="9" t="s">
        <v>17</v>
      </c>
      <c r="D31" s="9"/>
      <c r="E31" s="9" t="s">
        <v>64</v>
      </c>
      <c r="F31" s="9" t="s">
        <v>21</v>
      </c>
      <c r="G31" s="9" t="s">
        <v>58</v>
      </c>
      <c r="H31" s="9" t="s">
        <v>17</v>
      </c>
      <c r="I31" s="9" t="s">
        <v>17</v>
      </c>
      <c r="J31" s="9" t="s">
        <v>65</v>
      </c>
    </row>
    <row r="32" spans="1:10" x14ac:dyDescent="0.25" outlineLevel="1" collapsed="1">
      <c r="A32" s="9" t="s">
        <v>15</v>
      </c>
      <c r="B32" s="9" t="s">
        <v>26</v>
      </c>
      <c r="C32" s="9" t="s">
        <v>66</v>
      </c>
      <c r="D32" s="9"/>
      <c r="E32" s="9" t="s">
        <v>67</v>
      </c>
      <c r="F32" s="9" t="s">
        <v>21</v>
      </c>
      <c r="G32" s="9" t="s">
        <v>540</v>
      </c>
      <c r="H32" s="9" t="s">
        <v>17</v>
      </c>
      <c r="I32" s="9" t="s">
        <v>17</v>
      </c>
      <c r="J32" s="9" t="s">
        <v>69</v>
      </c>
    </row>
    <row r="33" spans="1:10" x14ac:dyDescent="0.25" outlineLevel="1" collapsed="1">
      <c r="A33" s="9" t="s">
        <v>21</v>
      </c>
      <c r="B33" s="9" t="s">
        <v>26</v>
      </c>
      <c r="C33" s="9" t="s">
        <v>66</v>
      </c>
      <c r="D33" s="9"/>
      <c r="E33" s="9" t="s">
        <v>70</v>
      </c>
      <c r="F33" s="9" t="s">
        <v>21</v>
      </c>
      <c r="G33" s="9" t="s">
        <v>541</v>
      </c>
      <c r="H33" s="9" t="s">
        <v>17</v>
      </c>
      <c r="I33" s="9" t="s">
        <v>17</v>
      </c>
      <c r="J33" s="9" t="s">
        <v>72</v>
      </c>
    </row>
    <row r="34" spans="1:10" x14ac:dyDescent="0.25" outlineLevel="1" collapsed="1">
      <c r="A34" s="9" t="s">
        <v>21</v>
      </c>
      <c r="B34" s="9" t="s">
        <v>56</v>
      </c>
      <c r="C34" s="9" t="s">
        <v>17</v>
      </c>
      <c r="D34" s="9"/>
      <c r="E34" s="9" t="s">
        <v>73</v>
      </c>
      <c r="F34" s="9" t="s">
        <v>21</v>
      </c>
      <c r="G34" s="9" t="s">
        <v>58</v>
      </c>
      <c r="H34" s="9" t="s">
        <v>17</v>
      </c>
      <c r="I34" s="9" t="s">
        <v>17</v>
      </c>
      <c r="J34" s="9" t="s">
        <v>74</v>
      </c>
    </row>
    <row r="35" spans="1:10" x14ac:dyDescent="0.25" outlineLevel="1" collapsed="1">
      <c r="A35" s="9" t="s">
        <v>21</v>
      </c>
      <c r="B35" s="9" t="s">
        <v>26</v>
      </c>
      <c r="C35" s="9" t="s">
        <v>75</v>
      </c>
      <c r="D35" s="9"/>
      <c r="E35" s="9" t="s">
        <v>76</v>
      </c>
      <c r="F35" s="9" t="s">
        <v>21</v>
      </c>
      <c r="G35" s="9" t="s">
        <v>542</v>
      </c>
      <c r="H35" s="9" t="s">
        <v>17</v>
      </c>
      <c r="I35" s="9" t="s">
        <v>17</v>
      </c>
      <c r="J35" s="9" t="s">
        <v>78</v>
      </c>
    </row>
    <row r="36" spans="1:10" x14ac:dyDescent="0.25" outlineLevel="1" collapsed="1">
      <c r="A36" s="9" t="s">
        <v>15</v>
      </c>
      <c r="B36" s="9" t="s">
        <v>79</v>
      </c>
      <c r="C36" s="9" t="s">
        <v>17</v>
      </c>
      <c r="D36" s="9"/>
      <c r="E36" s="9" t="s">
        <v>80</v>
      </c>
      <c r="F36" s="9" t="s">
        <v>21</v>
      </c>
      <c r="G36" s="9">
        <v>1</v>
      </c>
      <c r="H36" s="9" t="s">
        <v>17</v>
      </c>
      <c r="I36" s="9" t="s">
        <v>17</v>
      </c>
      <c r="J36" s="9" t="s">
        <v>81</v>
      </c>
    </row>
    <row r="37" spans="1:10" x14ac:dyDescent="0.25">
      <c r="A37" s="5" t="s">
        <v>15</v>
      </c>
      <c r="B37" s="6" t="s">
        <v>543</v>
      </c>
      <c r="C37" s="5" t="s">
        <v>17</v>
      </c>
      <c r="D37" s="5"/>
      <c r="E37" s="5" t="s">
        <v>544</v>
      </c>
      <c r="F37" s="5" t="s">
        <v>15</v>
      </c>
      <c r="G37" s="5" t="s">
        <v>545</v>
      </c>
      <c r="H37" s="5" t="s">
        <v>17</v>
      </c>
      <c r="I37" s="5" t="s">
        <v>17</v>
      </c>
      <c r="J37" s="5" t="s">
        <v>546</v>
      </c>
    </row>
    <row r="38" spans="1:10" x14ac:dyDescent="0.25" outlineLevel="1" collapsed="1">
      <c r="A38" s="9" t="s">
        <v>15</v>
      </c>
      <c r="B38" s="9" t="s">
        <v>56</v>
      </c>
      <c r="C38" s="9" t="s">
        <v>17</v>
      </c>
      <c r="D38" s="9"/>
      <c r="E38" s="9" t="s">
        <v>547</v>
      </c>
      <c r="F38" s="9" t="s">
        <v>21</v>
      </c>
      <c r="G38" s="9" t="s">
        <v>548</v>
      </c>
      <c r="H38" s="9" t="s">
        <v>17</v>
      </c>
      <c r="I38" s="9" t="s">
        <v>17</v>
      </c>
      <c r="J38" s="9" t="s">
        <v>549</v>
      </c>
    </row>
    <row r="39" spans="1:10" x14ac:dyDescent="0.25" outlineLevel="1" collapsed="1">
      <c r="A39" s="9" t="s">
        <v>15</v>
      </c>
      <c r="B39" s="9" t="s">
        <v>56</v>
      </c>
      <c r="C39" s="9" t="s">
        <v>17</v>
      </c>
      <c r="D39" s="9"/>
      <c r="E39" s="9" t="s">
        <v>550</v>
      </c>
      <c r="F39" s="9" t="s">
        <v>21</v>
      </c>
      <c r="G39" s="9" t="s">
        <v>551</v>
      </c>
      <c r="H39" s="9" t="s">
        <v>17</v>
      </c>
      <c r="I39" s="9" t="s">
        <v>17</v>
      </c>
      <c r="J39" s="9" t="s">
        <v>552</v>
      </c>
    </row>
    <row r="40" spans="1:10" x14ac:dyDescent="0.25" outlineLevel="1" collapsed="1">
      <c r="A40" s="9" t="s">
        <v>15</v>
      </c>
      <c r="B40" s="9" t="s">
        <v>56</v>
      </c>
      <c r="C40" s="9" t="s">
        <v>17</v>
      </c>
      <c r="D40" s="9"/>
      <c r="E40" s="9" t="s">
        <v>553</v>
      </c>
      <c r="F40" s="9" t="s">
        <v>21</v>
      </c>
      <c r="G40" s="9" t="s">
        <v>554</v>
      </c>
      <c r="H40" s="9" t="s">
        <v>17</v>
      </c>
      <c r="I40" s="9" t="s">
        <v>17</v>
      </c>
      <c r="J40" s="9" t="s">
        <v>555</v>
      </c>
    </row>
    <row r="41" spans="1:10" x14ac:dyDescent="0.25" outlineLevel="1" collapsed="1">
      <c r="A41" s="9" t="s">
        <v>15</v>
      </c>
      <c r="B41" s="9" t="s">
        <v>56</v>
      </c>
      <c r="C41" s="9" t="s">
        <v>17</v>
      </c>
      <c r="D41" s="9"/>
      <c r="E41" s="9" t="s">
        <v>556</v>
      </c>
      <c r="F41" s="9" t="s">
        <v>21</v>
      </c>
      <c r="G41" s="9" t="s">
        <v>557</v>
      </c>
      <c r="H41" s="9" t="s">
        <v>17</v>
      </c>
      <c r="I41" s="9" t="s">
        <v>17</v>
      </c>
      <c r="J41" s="9" t="s">
        <v>558</v>
      </c>
    </row>
    <row r="42" spans="1:10" x14ac:dyDescent="0.25" outlineLevel="1" collapsed="1">
      <c r="A42" s="9" t="s">
        <v>15</v>
      </c>
      <c r="B42" s="9" t="s">
        <v>56</v>
      </c>
      <c r="C42" s="9" t="s">
        <v>17</v>
      </c>
      <c r="D42" s="9"/>
      <c r="E42" s="9" t="s">
        <v>559</v>
      </c>
      <c r="F42" s="9" t="s">
        <v>21</v>
      </c>
      <c r="G42" s="9" t="s">
        <v>560</v>
      </c>
      <c r="H42" s="9" t="s">
        <v>17</v>
      </c>
      <c r="I42" s="9" t="s">
        <v>17</v>
      </c>
      <c r="J42" s="9" t="s">
        <v>561</v>
      </c>
    </row>
    <row r="43" spans="1:10" x14ac:dyDescent="0.25">
      <c r="A43" s="5" t="s">
        <v>15</v>
      </c>
      <c r="B43" s="6" t="s">
        <v>120</v>
      </c>
      <c r="C43" s="5" t="s">
        <v>17</v>
      </c>
      <c r="D43" s="5"/>
      <c r="E43" s="5" t="s">
        <v>120</v>
      </c>
      <c r="F43" s="5" t="s">
        <v>21</v>
      </c>
      <c r="G43" s="5" t="s">
        <v>562</v>
      </c>
      <c r="H43" s="5" t="s">
        <v>17</v>
      </c>
      <c r="I43" s="5" t="s">
        <v>17</v>
      </c>
      <c r="J43" s="5" t="s">
        <v>121</v>
      </c>
    </row>
    <row r="44" spans="1:10" x14ac:dyDescent="0.25" outlineLevel="1" collapsed="1">
      <c r="A44" s="9" t="s">
        <v>15</v>
      </c>
      <c r="B44" s="9" t="s">
        <v>23</v>
      </c>
      <c r="C44" s="10" t="s">
        <v>122</v>
      </c>
      <c r="D44" s="9"/>
      <c r="E44" s="9" t="s">
        <v>123</v>
      </c>
      <c r="F44" s="9" t="s">
        <v>21</v>
      </c>
      <c r="G44" s="9" t="s">
        <v>124</v>
      </c>
      <c r="H44" s="9" t="s">
        <v>17</v>
      </c>
      <c r="I44" s="9" t="s">
        <v>17</v>
      </c>
      <c r="J44" s="9" t="s">
        <v>125</v>
      </c>
    </row>
    <row r="45" spans="1:10" x14ac:dyDescent="0.25" outlineLevel="1" collapsed="1">
      <c r="A45" s="7" t="s">
        <v>21</v>
      </c>
      <c r="B45" s="8" t="s">
        <v>126</v>
      </c>
      <c r="C45" s="7" t="s">
        <v>17</v>
      </c>
      <c r="D45" s="7">
        <f>EXACT(G44,"HWT, IWT")</f>
      </c>
      <c r="E45" s="7" t="s">
        <v>126</v>
      </c>
      <c r="F45" s="7" t="s">
        <v>21</v>
      </c>
      <c r="G45" s="7" t="s">
        <v>17</v>
      </c>
      <c r="H45" s="7" t="s">
        <v>17</v>
      </c>
      <c r="I45" s="7" t="s">
        <v>17</v>
      </c>
      <c r="J45" s="7" t="s">
        <v>127</v>
      </c>
    </row>
    <row r="46" spans="1:10" x14ac:dyDescent="0.25" outlineLevel="2" collapsed="1">
      <c r="A46" s="9" t="s">
        <v>15</v>
      </c>
      <c r="B46" s="9" t="s">
        <v>23</v>
      </c>
      <c r="C46" s="10" t="s">
        <v>128</v>
      </c>
      <c r="D46" s="9"/>
      <c r="E46" s="9" t="s">
        <v>126</v>
      </c>
      <c r="F46" s="9" t="s">
        <v>21</v>
      </c>
      <c r="G46" s="9" t="s">
        <v>129</v>
      </c>
      <c r="H46" s="9" t="s">
        <v>17</v>
      </c>
      <c r="I46" s="9" t="s">
        <v>17</v>
      </c>
      <c r="J46" s="9" t="s">
        <v>130</v>
      </c>
    </row>
    <row r="47" spans="1:10" x14ac:dyDescent="0.25" outlineLevel="2" collapsed="1">
      <c r="A47" s="9" t="s">
        <v>21</v>
      </c>
      <c r="B47" s="9" t="s">
        <v>56</v>
      </c>
      <c r="C47" s="9" t="s">
        <v>17</v>
      </c>
      <c r="D47" s="9">
        <f>EXACT(G46,"Other (specify)")</f>
      </c>
      <c r="E47" s="9" t="s">
        <v>131</v>
      </c>
      <c r="F47" s="9" t="s">
        <v>21</v>
      </c>
      <c r="G47" s="9" t="s">
        <v>58</v>
      </c>
      <c r="H47" s="9" t="s">
        <v>17</v>
      </c>
      <c r="I47" s="9" t="s">
        <v>17</v>
      </c>
      <c r="J47" s="9" t="s">
        <v>132</v>
      </c>
    </row>
    <row r="48" spans="1:10" x14ac:dyDescent="0.25" outlineLevel="1" collapsed="1">
      <c r="A48" s="9" t="s">
        <v>21</v>
      </c>
      <c r="B48" s="9" t="s">
        <v>56</v>
      </c>
      <c r="C48" s="9" t="s">
        <v>17</v>
      </c>
      <c r="D48" s="9">
        <f>EXACT(G44,"HWT, IWT")</f>
      </c>
      <c r="E48" s="9" t="s">
        <v>133</v>
      </c>
      <c r="F48" s="9" t="s">
        <v>21</v>
      </c>
      <c r="G48" s="9" t="s">
        <v>58</v>
      </c>
      <c r="H48" s="9" t="s">
        <v>17</v>
      </c>
      <c r="I48" s="9" t="s">
        <v>17</v>
      </c>
      <c r="J48" s="9" t="s">
        <v>134</v>
      </c>
    </row>
    <row r="49" spans="1:10" x14ac:dyDescent="0.25" outlineLevel="1" collapsed="1">
      <c r="A49" s="9" t="s">
        <v>21</v>
      </c>
      <c r="B49" s="9" t="s">
        <v>56</v>
      </c>
      <c r="C49" s="9" t="s">
        <v>17</v>
      </c>
      <c r="D49" s="9">
        <f>EXACT(G44,"HWT, IWT")</f>
      </c>
      <c r="E49" s="9" t="s">
        <v>135</v>
      </c>
      <c r="F49" s="9" t="s">
        <v>21</v>
      </c>
      <c r="G49" s="9" t="s">
        <v>58</v>
      </c>
      <c r="H49" s="9" t="s">
        <v>17</v>
      </c>
      <c r="I49" s="9" t="s">
        <v>17</v>
      </c>
      <c r="J49" s="9" t="s">
        <v>136</v>
      </c>
    </row>
    <row r="50" spans="1:10" x14ac:dyDescent="0.25" outlineLevel="1" collapsed="1">
      <c r="A50" s="9" t="s">
        <v>21</v>
      </c>
      <c r="B50" s="9" t="s">
        <v>56</v>
      </c>
      <c r="C50" s="9" t="s">
        <v>17</v>
      </c>
      <c r="D50" s="9">
        <f>EXACT(G44,"HWT, IWT")</f>
      </c>
      <c r="E50" s="9" t="s">
        <v>137</v>
      </c>
      <c r="F50" s="9" t="s">
        <v>21</v>
      </c>
      <c r="G50" s="9" t="s">
        <v>58</v>
      </c>
      <c r="H50" s="9" t="s">
        <v>17</v>
      </c>
      <c r="I50" s="9" t="s">
        <v>17</v>
      </c>
      <c r="J50" s="9" t="s">
        <v>138</v>
      </c>
    </row>
    <row r="51" spans="1:10" x14ac:dyDescent="0.25" outlineLevel="1" collapsed="1">
      <c r="A51" s="9" t="s">
        <v>21</v>
      </c>
      <c r="B51" s="9" t="s">
        <v>56</v>
      </c>
      <c r="C51" s="9" t="s">
        <v>17</v>
      </c>
      <c r="D51" s="9">
        <f>EXACT(G44,"HWT, IWT")</f>
      </c>
      <c r="E51" s="9" t="s">
        <v>139</v>
      </c>
      <c r="F51" s="9" t="s">
        <v>21</v>
      </c>
      <c r="G51" s="9" t="s">
        <v>58</v>
      </c>
      <c r="H51" s="9" t="s">
        <v>17</v>
      </c>
      <c r="I51" s="9" t="s">
        <v>17</v>
      </c>
      <c r="J51" s="9" t="s">
        <v>140</v>
      </c>
    </row>
    <row r="52" spans="1:10" x14ac:dyDescent="0.25" outlineLevel="1" collapsed="1">
      <c r="A52" s="9" t="s">
        <v>21</v>
      </c>
      <c r="B52" s="9" t="s">
        <v>79</v>
      </c>
      <c r="C52" s="9" t="s">
        <v>17</v>
      </c>
      <c r="D52" s="9">
        <f>EXACT(G44,"HWT, IWT")</f>
      </c>
      <c r="E52" s="9" t="s">
        <v>141</v>
      </c>
      <c r="F52" s="9" t="s">
        <v>21</v>
      </c>
      <c r="G52" s="9">
        <v>1</v>
      </c>
      <c r="H52" s="9" t="s">
        <v>17</v>
      </c>
      <c r="I52" s="9" t="s">
        <v>17</v>
      </c>
      <c r="J52" s="9" t="s">
        <v>142</v>
      </c>
    </row>
    <row r="53" spans="1:10" x14ac:dyDescent="0.25" outlineLevel="1" collapsed="1">
      <c r="A53" s="9" t="s">
        <v>21</v>
      </c>
      <c r="B53" s="9" t="s">
        <v>56</v>
      </c>
      <c r="C53" s="9" t="s">
        <v>17</v>
      </c>
      <c r="D53" s="9">
        <f>EXACT(G44,"HWT, IWT")</f>
      </c>
      <c r="E53" s="9" t="s">
        <v>143</v>
      </c>
      <c r="F53" s="9" t="s">
        <v>21</v>
      </c>
      <c r="G53" s="9" t="s">
        <v>58</v>
      </c>
      <c r="H53" s="9" t="s">
        <v>17</v>
      </c>
      <c r="I53" s="9" t="s">
        <v>17</v>
      </c>
      <c r="J53" s="9" t="s">
        <v>144</v>
      </c>
    </row>
    <row r="54" spans="1:10" x14ac:dyDescent="0.25" outlineLevel="1" collapsed="1">
      <c r="A54" s="9" t="s">
        <v>21</v>
      </c>
      <c r="B54" s="9" t="s">
        <v>79</v>
      </c>
      <c r="C54" s="9" t="s">
        <v>17</v>
      </c>
      <c r="D54" s="9">
        <f>EXACT(G44,"HWT, IWT")</f>
      </c>
      <c r="E54" s="9" t="s">
        <v>145</v>
      </c>
      <c r="F54" s="9" t="s">
        <v>21</v>
      </c>
      <c r="G54" s="9">
        <v>1</v>
      </c>
      <c r="H54" s="9" t="s">
        <v>17</v>
      </c>
      <c r="I54" s="9" t="s">
        <v>17</v>
      </c>
      <c r="J54" s="9" t="s">
        <v>146</v>
      </c>
    </row>
    <row r="55" spans="1:10" x14ac:dyDescent="0.25" outlineLevel="1" collapsed="1">
      <c r="A55" s="9" t="s">
        <v>21</v>
      </c>
      <c r="B55" s="9" t="s">
        <v>79</v>
      </c>
      <c r="C55" s="9" t="s">
        <v>17</v>
      </c>
      <c r="D55" s="9">
        <f>EXACT(G44,"HWT, IWT")</f>
      </c>
      <c r="E55" s="9" t="s">
        <v>147</v>
      </c>
      <c r="F55" s="9" t="s">
        <v>21</v>
      </c>
      <c r="G55" s="9">
        <v>1</v>
      </c>
      <c r="H55" s="9" t="s">
        <v>17</v>
      </c>
      <c r="I55" s="9" t="s">
        <v>17</v>
      </c>
      <c r="J55" s="9" t="s">
        <v>148</v>
      </c>
    </row>
    <row r="56" spans="1:10" x14ac:dyDescent="0.25" outlineLevel="1" collapsed="1">
      <c r="A56" s="9" t="s">
        <v>21</v>
      </c>
      <c r="B56" s="9" t="s">
        <v>56</v>
      </c>
      <c r="C56" s="9" t="s">
        <v>17</v>
      </c>
      <c r="D56" s="9">
        <f>EXACT(G44,"HWT, IWT")</f>
      </c>
      <c r="E56" s="9" t="s">
        <v>149</v>
      </c>
      <c r="F56" s="9" t="s">
        <v>21</v>
      </c>
      <c r="G56" s="9" t="s">
        <v>58</v>
      </c>
      <c r="H56" s="9" t="s">
        <v>17</v>
      </c>
      <c r="I56" s="9" t="s">
        <v>17</v>
      </c>
      <c r="J56" s="9" t="s">
        <v>150</v>
      </c>
    </row>
    <row r="57" spans="1:10" x14ac:dyDescent="0.25" outlineLevel="1" collapsed="1">
      <c r="A57" s="7" t="s">
        <v>21</v>
      </c>
      <c r="B57" s="8" t="s">
        <v>151</v>
      </c>
      <c r="C57" s="7" t="s">
        <v>17</v>
      </c>
      <c r="D57" s="7">
        <f>EXACT(G44,"CWT, CWS")</f>
      </c>
      <c r="E57" s="7" t="s">
        <v>126</v>
      </c>
      <c r="F57" s="7" t="s">
        <v>21</v>
      </c>
      <c r="G57" s="7" t="s">
        <v>17</v>
      </c>
      <c r="H57" s="7" t="s">
        <v>17</v>
      </c>
      <c r="I57" s="7" t="s">
        <v>17</v>
      </c>
      <c r="J57" s="7" t="s">
        <v>152</v>
      </c>
    </row>
    <row r="58" spans="1:10" x14ac:dyDescent="0.25" outlineLevel="2" collapsed="1">
      <c r="A58" s="9" t="s">
        <v>15</v>
      </c>
      <c r="B58" s="9" t="s">
        <v>23</v>
      </c>
      <c r="C58" s="10" t="s">
        <v>153</v>
      </c>
      <c r="D58" s="9"/>
      <c r="E58" s="9" t="s">
        <v>126</v>
      </c>
      <c r="F58" s="9" t="s">
        <v>21</v>
      </c>
      <c r="G58" s="9" t="s">
        <v>154</v>
      </c>
      <c r="H58" s="9" t="s">
        <v>17</v>
      </c>
      <c r="I58" s="9" t="s">
        <v>17</v>
      </c>
      <c r="J58" s="9" t="s">
        <v>155</v>
      </c>
    </row>
    <row r="59" spans="1:10" x14ac:dyDescent="0.25" outlineLevel="2" collapsed="1">
      <c r="A59" s="9" t="s">
        <v>21</v>
      </c>
      <c r="B59" s="9" t="s">
        <v>56</v>
      </c>
      <c r="C59" s="9" t="s">
        <v>17</v>
      </c>
      <c r="D59" s="9">
        <f>EXACT(G58,"Other (specify)")</f>
      </c>
      <c r="E59" s="9" t="s">
        <v>131</v>
      </c>
      <c r="F59" s="9" t="s">
        <v>21</v>
      </c>
      <c r="G59" s="9" t="s">
        <v>58</v>
      </c>
      <c r="H59" s="9" t="s">
        <v>17</v>
      </c>
      <c r="I59" s="9" t="s">
        <v>17</v>
      </c>
      <c r="J59" s="9" t="s">
        <v>132</v>
      </c>
    </row>
    <row r="60" spans="1:10" x14ac:dyDescent="0.25" outlineLevel="1" collapsed="1">
      <c r="A60" s="9" t="s">
        <v>21</v>
      </c>
      <c r="B60" s="9" t="s">
        <v>56</v>
      </c>
      <c r="C60" s="9" t="s">
        <v>17</v>
      </c>
      <c r="D60" s="9">
        <f>EXACT(G44,"CWT, CWS")</f>
      </c>
      <c r="E60" s="9" t="s">
        <v>133</v>
      </c>
      <c r="F60" s="9" t="s">
        <v>21</v>
      </c>
      <c r="G60" s="9" t="s">
        <v>58</v>
      </c>
      <c r="H60" s="9" t="s">
        <v>17</v>
      </c>
      <c r="I60" s="9" t="s">
        <v>17</v>
      </c>
      <c r="J60" s="9" t="s">
        <v>156</v>
      </c>
    </row>
    <row r="61" spans="1:10" x14ac:dyDescent="0.25" outlineLevel="1" collapsed="1">
      <c r="A61" s="9" t="s">
        <v>21</v>
      </c>
      <c r="B61" s="9" t="s">
        <v>56</v>
      </c>
      <c r="C61" s="9" t="s">
        <v>17</v>
      </c>
      <c r="D61" s="9">
        <f>EXACT(G44,"CWT, CWS")</f>
      </c>
      <c r="E61" s="9" t="s">
        <v>157</v>
      </c>
      <c r="F61" s="9" t="s">
        <v>21</v>
      </c>
      <c r="G61" s="9" t="s">
        <v>58</v>
      </c>
      <c r="H61" s="9" t="s">
        <v>17</v>
      </c>
      <c r="I61" s="9" t="s">
        <v>17</v>
      </c>
      <c r="J61" s="9" t="s">
        <v>158</v>
      </c>
    </row>
    <row r="62" spans="1:10" x14ac:dyDescent="0.25" outlineLevel="1" collapsed="1">
      <c r="A62" s="9" t="s">
        <v>21</v>
      </c>
      <c r="B62" s="9" t="s">
        <v>56</v>
      </c>
      <c r="C62" s="9" t="s">
        <v>17</v>
      </c>
      <c r="D62" s="9">
        <f>EXACT(G44,"CWT, CWS")</f>
      </c>
      <c r="E62" s="9" t="s">
        <v>159</v>
      </c>
      <c r="F62" s="9" t="s">
        <v>21</v>
      </c>
      <c r="G62" s="9" t="s">
        <v>58</v>
      </c>
      <c r="H62" s="9" t="s">
        <v>17</v>
      </c>
      <c r="I62" s="9" t="s">
        <v>17</v>
      </c>
      <c r="J62" s="9" t="s">
        <v>160</v>
      </c>
    </row>
    <row r="63" spans="1:10" x14ac:dyDescent="0.25" outlineLevel="1" collapsed="1">
      <c r="A63" s="9" t="s">
        <v>21</v>
      </c>
      <c r="B63" s="9" t="s">
        <v>79</v>
      </c>
      <c r="C63" s="9" t="s">
        <v>17</v>
      </c>
      <c r="D63" s="9">
        <f>EXACT(G44,"CWT, CWS")</f>
      </c>
      <c r="E63" s="9" t="s">
        <v>161</v>
      </c>
      <c r="F63" s="9" t="s">
        <v>21</v>
      </c>
      <c r="G63" s="9">
        <v>1</v>
      </c>
      <c r="H63" s="9" t="s">
        <v>17</v>
      </c>
      <c r="I63" s="9" t="s">
        <v>17</v>
      </c>
      <c r="J63" s="9" t="s">
        <v>162</v>
      </c>
    </row>
    <row r="64" spans="1:10" x14ac:dyDescent="0.25" outlineLevel="1" collapsed="1">
      <c r="A64" s="9" t="s">
        <v>21</v>
      </c>
      <c r="B64" s="9" t="s">
        <v>79</v>
      </c>
      <c r="C64" s="9" t="s">
        <v>17</v>
      </c>
      <c r="D64" s="9">
        <f>EXACT(G44,"CWT, CWS")</f>
      </c>
      <c r="E64" s="9" t="s">
        <v>163</v>
      </c>
      <c r="F64" s="9" t="s">
        <v>21</v>
      </c>
      <c r="G64" s="9">
        <v>1</v>
      </c>
      <c r="H64" s="9" t="s">
        <v>17</v>
      </c>
      <c r="I64" s="9" t="s">
        <v>17</v>
      </c>
      <c r="J64" s="9" t="s">
        <v>164</v>
      </c>
    </row>
    <row r="65" spans="1:10" x14ac:dyDescent="0.25" outlineLevel="1" collapsed="1">
      <c r="A65" s="9" t="s">
        <v>21</v>
      </c>
      <c r="B65" s="9" t="s">
        <v>56</v>
      </c>
      <c r="C65" s="9" t="s">
        <v>17</v>
      </c>
      <c r="D65" s="9">
        <f>EXACT(G44,"CWT, CWS")</f>
      </c>
      <c r="E65" s="9" t="s">
        <v>137</v>
      </c>
      <c r="F65" s="9" t="s">
        <v>21</v>
      </c>
      <c r="G65" s="9" t="s">
        <v>58</v>
      </c>
      <c r="H65" s="9" t="s">
        <v>17</v>
      </c>
      <c r="I65" s="9" t="s">
        <v>17</v>
      </c>
      <c r="J65" s="9" t="s">
        <v>165</v>
      </c>
    </row>
    <row r="66" spans="1:10" x14ac:dyDescent="0.25" outlineLevel="1" collapsed="1">
      <c r="A66" s="9" t="s">
        <v>21</v>
      </c>
      <c r="B66" s="9" t="s">
        <v>56</v>
      </c>
      <c r="C66" s="9" t="s">
        <v>17</v>
      </c>
      <c r="D66" s="9">
        <f>EXACT(G44,"CWT, CWS")</f>
      </c>
      <c r="E66" s="9" t="s">
        <v>139</v>
      </c>
      <c r="F66" s="9" t="s">
        <v>21</v>
      </c>
      <c r="G66" s="9" t="s">
        <v>58</v>
      </c>
      <c r="H66" s="9" t="s">
        <v>17</v>
      </c>
      <c r="I66" s="9" t="s">
        <v>17</v>
      </c>
      <c r="J66" s="9" t="s">
        <v>166</v>
      </c>
    </row>
    <row r="67" spans="1:10" x14ac:dyDescent="0.25" outlineLevel="1" collapsed="1">
      <c r="A67" s="9" t="s">
        <v>21</v>
      </c>
      <c r="B67" s="9" t="s">
        <v>56</v>
      </c>
      <c r="C67" s="9" t="s">
        <v>17</v>
      </c>
      <c r="D67" s="9">
        <f>EXACT(G44,"CWT, CWS")</f>
      </c>
      <c r="E67" s="9" t="s">
        <v>167</v>
      </c>
      <c r="F67" s="9" t="s">
        <v>21</v>
      </c>
      <c r="G67" s="9" t="s">
        <v>58</v>
      </c>
      <c r="H67" s="9" t="s">
        <v>17</v>
      </c>
      <c r="I67" s="9" t="s">
        <v>17</v>
      </c>
      <c r="J67" s="9" t="s">
        <v>168</v>
      </c>
    </row>
    <row r="68" spans="1:10" x14ac:dyDescent="0.25" outlineLevel="1" collapsed="1">
      <c r="A68" s="9" t="s">
        <v>21</v>
      </c>
      <c r="B68" s="9" t="s">
        <v>169</v>
      </c>
      <c r="C68" s="9" t="s">
        <v>17</v>
      </c>
      <c r="D68" s="9">
        <f>EXACT(G44,"CWT, CWS")</f>
      </c>
      <c r="E68" s="9" t="s">
        <v>170</v>
      </c>
      <c r="F68" s="9" t="s">
        <v>21</v>
      </c>
      <c r="G68" s="9" t="b">
        <v>1</v>
      </c>
      <c r="H68" s="9" t="s">
        <v>17</v>
      </c>
      <c r="I68" s="9" t="s">
        <v>17</v>
      </c>
      <c r="J68" s="9" t="s">
        <v>171</v>
      </c>
    </row>
    <row r="69" spans="1:10" x14ac:dyDescent="0.25" outlineLevel="1" collapsed="1">
      <c r="A69" s="9" t="s">
        <v>21</v>
      </c>
      <c r="B69" s="9" t="s">
        <v>56</v>
      </c>
      <c r="C69" s="9" t="s">
        <v>17</v>
      </c>
      <c r="D69" s="9">
        <f>EXACT(G44,"CWT, CWS")</f>
      </c>
      <c r="E69" s="9" t="s">
        <v>2</v>
      </c>
      <c r="F69" s="9" t="s">
        <v>21</v>
      </c>
      <c r="G69" s="9" t="s">
        <v>58</v>
      </c>
      <c r="H69" s="9" t="s">
        <v>17</v>
      </c>
      <c r="I69" s="9" t="s">
        <v>17</v>
      </c>
      <c r="J69" s="9" t="s">
        <v>172</v>
      </c>
    </row>
    <row r="70" spans="1:10" x14ac:dyDescent="0.25" outlineLevel="1" collapsed="1">
      <c r="A70" s="9" t="s">
        <v>21</v>
      </c>
      <c r="B70" s="9" t="s">
        <v>56</v>
      </c>
      <c r="C70" s="9" t="s">
        <v>17</v>
      </c>
      <c r="D70" s="9">
        <f>EXACT(G44,"CWT, CWS")</f>
      </c>
      <c r="E70" s="9" t="s">
        <v>173</v>
      </c>
      <c r="F70" s="9" t="s">
        <v>21</v>
      </c>
      <c r="G70" s="9" t="s">
        <v>58</v>
      </c>
      <c r="H70" s="9" t="s">
        <v>17</v>
      </c>
      <c r="I70" s="9" t="s">
        <v>17</v>
      </c>
      <c r="J70" s="9" t="s">
        <v>174</v>
      </c>
    </row>
    <row r="71" spans="1:10" x14ac:dyDescent="0.25" outlineLevel="1" collapsed="1">
      <c r="A71" s="9" t="s">
        <v>21</v>
      </c>
      <c r="B71" s="9" t="s">
        <v>175</v>
      </c>
      <c r="C71" s="9" t="s">
        <v>17</v>
      </c>
      <c r="D71" s="9">
        <f>EXACT(G44,"CWT, CWS")</f>
      </c>
      <c r="E71" s="9" t="s">
        <v>176</v>
      </c>
      <c r="F71" s="9" t="s">
        <v>21</v>
      </c>
      <c r="G71" s="9" t="s">
        <v>563</v>
      </c>
      <c r="H71" s="9" t="s">
        <v>17</v>
      </c>
      <c r="I71" s="9" t="s">
        <v>17</v>
      </c>
      <c r="J71" s="9" t="s">
        <v>178</v>
      </c>
    </row>
    <row r="72" spans="1:10" x14ac:dyDescent="0.25" outlineLevel="1" collapsed="1">
      <c r="A72" s="7" t="s">
        <v>21</v>
      </c>
      <c r="B72" s="8" t="s">
        <v>179</v>
      </c>
      <c r="C72" s="7" t="s">
        <v>17</v>
      </c>
      <c r="D72" s="7">
        <f>EXACT(G44,"CWT, CWS")</f>
      </c>
      <c r="E72" s="7" t="s">
        <v>180</v>
      </c>
      <c r="F72" s="7" t="s">
        <v>21</v>
      </c>
      <c r="G72" s="7" t="s">
        <v>17</v>
      </c>
      <c r="H72" s="7" t="s">
        <v>17</v>
      </c>
      <c r="I72" s="7" t="s">
        <v>17</v>
      </c>
      <c r="J72" s="7" t="s">
        <v>181</v>
      </c>
    </row>
    <row r="73" spans="1:10" x14ac:dyDescent="0.25" outlineLevel="2" collapsed="1">
      <c r="A73" s="9" t="s">
        <v>15</v>
      </c>
      <c r="B73" s="9" t="s">
        <v>169</v>
      </c>
      <c r="C73" s="9" t="s">
        <v>17</v>
      </c>
      <c r="D73" s="9"/>
      <c r="E73" s="9" t="s">
        <v>182</v>
      </c>
      <c r="F73" s="9" t="s">
        <v>21</v>
      </c>
      <c r="G73" s="9" t="b">
        <v>1</v>
      </c>
      <c r="H73" s="9" t="s">
        <v>17</v>
      </c>
      <c r="I73" s="9" t="s">
        <v>17</v>
      </c>
      <c r="J73" s="9" t="s">
        <v>183</v>
      </c>
    </row>
    <row r="74" spans="1:10" x14ac:dyDescent="0.25" outlineLevel="2" collapsed="1">
      <c r="A74" s="9" t="s">
        <v>21</v>
      </c>
      <c r="B74" s="9" t="s">
        <v>89</v>
      </c>
      <c r="C74" s="9" t="s">
        <v>17</v>
      </c>
      <c r="D74" s="9">
        <f>EXACT(G73,true)</f>
      </c>
      <c r="E74" s="9" t="s">
        <v>184</v>
      </c>
      <c r="F74" s="9" t="s">
        <v>21</v>
      </c>
      <c r="G74" s="9" t="s">
        <v>91</v>
      </c>
      <c r="H74" s="9" t="s">
        <v>17</v>
      </c>
      <c r="I74" s="9" t="s">
        <v>17</v>
      </c>
      <c r="J74" s="9" t="s">
        <v>185</v>
      </c>
    </row>
    <row r="75" spans="1:10" x14ac:dyDescent="0.25" outlineLevel="2" collapsed="1">
      <c r="A75" s="9" t="s">
        <v>21</v>
      </c>
      <c r="B75" s="9" t="s">
        <v>26</v>
      </c>
      <c r="C75" s="9" t="s">
        <v>186</v>
      </c>
      <c r="D75" s="9">
        <f>EXACT(G73,true)</f>
      </c>
      <c r="E75" s="9" t="s">
        <v>187</v>
      </c>
      <c r="F75" s="9" t="s">
        <v>21</v>
      </c>
      <c r="G75" s="9" t="s">
        <v>564</v>
      </c>
      <c r="H75" s="9" t="s">
        <v>17</v>
      </c>
      <c r="I75" s="9" t="s">
        <v>17</v>
      </c>
      <c r="J75" s="9" t="s">
        <v>189</v>
      </c>
    </row>
    <row r="76" spans="1:10" x14ac:dyDescent="0.25" outlineLevel="2" collapsed="1">
      <c r="A76" s="9" t="s">
        <v>21</v>
      </c>
      <c r="B76" s="9" t="s">
        <v>89</v>
      </c>
      <c r="C76" s="9" t="s">
        <v>17</v>
      </c>
      <c r="D76" s="9">
        <f>EXACT(G73,true)</f>
      </c>
      <c r="E76" s="9" t="s">
        <v>190</v>
      </c>
      <c r="F76" s="9" t="s">
        <v>21</v>
      </c>
      <c r="G76" s="9" t="s">
        <v>91</v>
      </c>
      <c r="H76" s="9" t="s">
        <v>17</v>
      </c>
      <c r="I76" s="9" t="s">
        <v>17</v>
      </c>
      <c r="J76" s="9" t="s">
        <v>191</v>
      </c>
    </row>
    <row r="77" spans="1:10" x14ac:dyDescent="0.25" outlineLevel="2" collapsed="1">
      <c r="A77" s="9" t="s">
        <v>21</v>
      </c>
      <c r="B77" s="9" t="s">
        <v>175</v>
      </c>
      <c r="C77" s="9" t="s">
        <v>17</v>
      </c>
      <c r="D77" s="9">
        <f>EXACT(G73,true)</f>
      </c>
      <c r="E77" s="9" t="s">
        <v>192</v>
      </c>
      <c r="F77" s="9" t="s">
        <v>21</v>
      </c>
      <c r="G77" s="9" t="s">
        <v>565</v>
      </c>
      <c r="H77" s="9" t="s">
        <v>17</v>
      </c>
      <c r="I77" s="9" t="s">
        <v>17</v>
      </c>
      <c r="J77" s="9" t="s">
        <v>194</v>
      </c>
    </row>
    <row r="78" spans="1:10" x14ac:dyDescent="0.25" outlineLevel="2" collapsed="1">
      <c r="A78" s="9" t="s">
        <v>21</v>
      </c>
      <c r="B78" s="9" t="s">
        <v>175</v>
      </c>
      <c r="C78" s="9" t="s">
        <v>17</v>
      </c>
      <c r="D78" s="9">
        <f>EXACT(G73,true)</f>
      </c>
      <c r="E78" s="9" t="s">
        <v>195</v>
      </c>
      <c r="F78" s="9" t="s">
        <v>21</v>
      </c>
      <c r="G78" s="9" t="s">
        <v>566</v>
      </c>
      <c r="H78" s="9" t="s">
        <v>17</v>
      </c>
      <c r="I78" s="9" t="s">
        <v>17</v>
      </c>
      <c r="J78" s="9" t="s">
        <v>197</v>
      </c>
    </row>
    <row r="79" spans="1:10" x14ac:dyDescent="0.25" outlineLevel="1" collapsed="1">
      <c r="A79" s="9" t="s">
        <v>15</v>
      </c>
      <c r="B79" s="9" t="s">
        <v>56</v>
      </c>
      <c r="C79" s="9" t="s">
        <v>17</v>
      </c>
      <c r="D79" s="9"/>
      <c r="E79" s="9" t="s">
        <v>198</v>
      </c>
      <c r="F79" s="9" t="s">
        <v>21</v>
      </c>
      <c r="G79" s="9" t="s">
        <v>58</v>
      </c>
      <c r="H79" s="9" t="s">
        <v>17</v>
      </c>
      <c r="I79" s="9" t="s">
        <v>17</v>
      </c>
      <c r="J79" s="9" t="s">
        <v>199</v>
      </c>
    </row>
    <row r="80" spans="1:10" x14ac:dyDescent="0.25">
      <c r="A80" s="5" t="s">
        <v>15</v>
      </c>
      <c r="B80" s="6" t="s">
        <v>567</v>
      </c>
      <c r="C80" s="5" t="s">
        <v>17</v>
      </c>
      <c r="D80" s="5"/>
      <c r="E80" s="5" t="s">
        <v>568</v>
      </c>
      <c r="F80" s="5" t="s">
        <v>21</v>
      </c>
      <c r="G80" s="5" t="s">
        <v>569</v>
      </c>
      <c r="H80" s="5" t="s">
        <v>17</v>
      </c>
      <c r="I80" s="5" t="s">
        <v>17</v>
      </c>
      <c r="J80" s="5" t="s">
        <v>570</v>
      </c>
    </row>
    <row r="81" spans="1:10" x14ac:dyDescent="0.25" outlineLevel="1" collapsed="1">
      <c r="A81" s="7" t="s">
        <v>15</v>
      </c>
      <c r="B81" s="8" t="s">
        <v>571</v>
      </c>
      <c r="C81" s="7" t="s">
        <v>17</v>
      </c>
      <c r="D81" s="7"/>
      <c r="E81" s="7" t="s">
        <v>572</v>
      </c>
      <c r="F81" s="7" t="s">
        <v>21</v>
      </c>
      <c r="G81" s="7" t="s">
        <v>17</v>
      </c>
      <c r="H81" s="7" t="s">
        <v>17</v>
      </c>
      <c r="I81" s="7" t="s">
        <v>17</v>
      </c>
      <c r="J81" s="7" t="s">
        <v>573</v>
      </c>
    </row>
    <row r="82" spans="1:10" x14ac:dyDescent="0.25" outlineLevel="2" collapsed="1">
      <c r="A82" s="9" t="s">
        <v>15</v>
      </c>
      <c r="B82" s="9" t="s">
        <v>23</v>
      </c>
      <c r="C82" s="10" t="s">
        <v>574</v>
      </c>
      <c r="D82" s="9"/>
      <c r="E82" s="9" t="s">
        <v>575</v>
      </c>
      <c r="F82" s="9" t="s">
        <v>21</v>
      </c>
      <c r="G82" s="9" t="s">
        <v>15</v>
      </c>
      <c r="H82" s="9" t="s">
        <v>17</v>
      </c>
      <c r="I82" s="9" t="s">
        <v>17</v>
      </c>
      <c r="J82" s="9" t="s">
        <v>576</v>
      </c>
    </row>
    <row r="83" spans="1:10" x14ac:dyDescent="0.25" outlineLevel="2" collapsed="1">
      <c r="A83" s="9" t="s">
        <v>21</v>
      </c>
      <c r="B83" s="9" t="s">
        <v>56</v>
      </c>
      <c r="C83" s="9" t="s">
        <v>17</v>
      </c>
      <c r="D83" s="9"/>
      <c r="E83" s="9" t="s">
        <v>577</v>
      </c>
      <c r="F83" s="9" t="s">
        <v>21</v>
      </c>
      <c r="G83" s="9" t="s">
        <v>58</v>
      </c>
      <c r="H83" s="9" t="s">
        <v>17</v>
      </c>
      <c r="I83" s="9" t="s">
        <v>17</v>
      </c>
      <c r="J83" s="9" t="s">
        <v>578</v>
      </c>
    </row>
    <row r="84" spans="1:10" x14ac:dyDescent="0.25" outlineLevel="1" collapsed="1">
      <c r="A84" s="7" t="s">
        <v>15</v>
      </c>
      <c r="B84" s="8" t="s">
        <v>571</v>
      </c>
      <c r="C84" s="7" t="s">
        <v>17</v>
      </c>
      <c r="D84" s="7"/>
      <c r="E84" s="7" t="s">
        <v>579</v>
      </c>
      <c r="F84" s="7" t="s">
        <v>21</v>
      </c>
      <c r="G84" s="7" t="s">
        <v>17</v>
      </c>
      <c r="H84" s="7" t="s">
        <v>17</v>
      </c>
      <c r="I84" s="7" t="s">
        <v>17</v>
      </c>
      <c r="J84" s="7" t="s">
        <v>580</v>
      </c>
    </row>
    <row r="85" spans="1:10" x14ac:dyDescent="0.25" outlineLevel="2" collapsed="1">
      <c r="A85" s="9" t="s">
        <v>15</v>
      </c>
      <c r="B85" s="9" t="s">
        <v>23</v>
      </c>
      <c r="C85" s="10" t="s">
        <v>574</v>
      </c>
      <c r="D85" s="9"/>
      <c r="E85" s="9" t="s">
        <v>575</v>
      </c>
      <c r="F85" s="9" t="s">
        <v>21</v>
      </c>
      <c r="G85" s="9" t="s">
        <v>15</v>
      </c>
      <c r="H85" s="9" t="s">
        <v>17</v>
      </c>
      <c r="I85" s="9" t="s">
        <v>17</v>
      </c>
      <c r="J85" s="9" t="s">
        <v>576</v>
      </c>
    </row>
    <row r="86" spans="1:10" x14ac:dyDescent="0.25" outlineLevel="2" collapsed="1">
      <c r="A86" s="9" t="s">
        <v>21</v>
      </c>
      <c r="B86" s="9" t="s">
        <v>56</v>
      </c>
      <c r="C86" s="9" t="s">
        <v>17</v>
      </c>
      <c r="D86" s="9"/>
      <c r="E86" s="9" t="s">
        <v>577</v>
      </c>
      <c r="F86" s="9" t="s">
        <v>21</v>
      </c>
      <c r="G86" s="9" t="s">
        <v>58</v>
      </c>
      <c r="H86" s="9" t="s">
        <v>17</v>
      </c>
      <c r="I86" s="9" t="s">
        <v>17</v>
      </c>
      <c r="J86" s="9" t="s">
        <v>578</v>
      </c>
    </row>
    <row r="87" spans="1:10" x14ac:dyDescent="0.25" outlineLevel="1" collapsed="1">
      <c r="A87" s="7" t="s">
        <v>15</v>
      </c>
      <c r="B87" s="8" t="s">
        <v>571</v>
      </c>
      <c r="C87" s="7" t="s">
        <v>17</v>
      </c>
      <c r="D87" s="7"/>
      <c r="E87" s="7" t="s">
        <v>581</v>
      </c>
      <c r="F87" s="7" t="s">
        <v>21</v>
      </c>
      <c r="G87" s="7" t="s">
        <v>17</v>
      </c>
      <c r="H87" s="7" t="s">
        <v>17</v>
      </c>
      <c r="I87" s="7" t="s">
        <v>17</v>
      </c>
      <c r="J87" s="7" t="s">
        <v>582</v>
      </c>
    </row>
    <row r="88" spans="1:10" x14ac:dyDescent="0.25" outlineLevel="2" collapsed="1">
      <c r="A88" s="9" t="s">
        <v>15</v>
      </c>
      <c r="B88" s="9" t="s">
        <v>23</v>
      </c>
      <c r="C88" s="10" t="s">
        <v>574</v>
      </c>
      <c r="D88" s="9"/>
      <c r="E88" s="9" t="s">
        <v>575</v>
      </c>
      <c r="F88" s="9" t="s">
        <v>21</v>
      </c>
      <c r="G88" s="9" t="s">
        <v>15</v>
      </c>
      <c r="H88" s="9" t="s">
        <v>17</v>
      </c>
      <c r="I88" s="9" t="s">
        <v>17</v>
      </c>
      <c r="J88" s="9" t="s">
        <v>576</v>
      </c>
    </row>
    <row r="89" spans="1:10" x14ac:dyDescent="0.25" outlineLevel="2" collapsed="1">
      <c r="A89" s="9" t="s">
        <v>21</v>
      </c>
      <c r="B89" s="9" t="s">
        <v>56</v>
      </c>
      <c r="C89" s="9" t="s">
        <v>17</v>
      </c>
      <c r="D89" s="9"/>
      <c r="E89" s="9" t="s">
        <v>577</v>
      </c>
      <c r="F89" s="9" t="s">
        <v>21</v>
      </c>
      <c r="G89" s="9" t="s">
        <v>58</v>
      </c>
      <c r="H89" s="9" t="s">
        <v>17</v>
      </c>
      <c r="I89" s="9" t="s">
        <v>17</v>
      </c>
      <c r="J89" s="9" t="s">
        <v>578</v>
      </c>
    </row>
    <row r="90" spans="1:10" x14ac:dyDescent="0.25" outlineLevel="1" collapsed="1">
      <c r="A90" s="7" t="s">
        <v>15</v>
      </c>
      <c r="B90" s="8" t="s">
        <v>571</v>
      </c>
      <c r="C90" s="7" t="s">
        <v>17</v>
      </c>
      <c r="D90" s="7"/>
      <c r="E90" s="7" t="s">
        <v>583</v>
      </c>
      <c r="F90" s="7" t="s">
        <v>21</v>
      </c>
      <c r="G90" s="7" t="s">
        <v>17</v>
      </c>
      <c r="H90" s="7" t="s">
        <v>17</v>
      </c>
      <c r="I90" s="7" t="s">
        <v>17</v>
      </c>
      <c r="J90" s="7" t="s">
        <v>584</v>
      </c>
    </row>
    <row r="91" spans="1:10" x14ac:dyDescent="0.25" outlineLevel="2" collapsed="1">
      <c r="A91" s="9" t="s">
        <v>15</v>
      </c>
      <c r="B91" s="9" t="s">
        <v>23</v>
      </c>
      <c r="C91" s="10" t="s">
        <v>574</v>
      </c>
      <c r="D91" s="9"/>
      <c r="E91" s="9" t="s">
        <v>575</v>
      </c>
      <c r="F91" s="9" t="s">
        <v>21</v>
      </c>
      <c r="G91" s="9" t="s">
        <v>15</v>
      </c>
      <c r="H91" s="9" t="s">
        <v>17</v>
      </c>
      <c r="I91" s="9" t="s">
        <v>17</v>
      </c>
      <c r="J91" s="9" t="s">
        <v>576</v>
      </c>
    </row>
    <row r="92" spans="1:10" x14ac:dyDescent="0.25" outlineLevel="2" collapsed="1">
      <c r="A92" s="9" t="s">
        <v>21</v>
      </c>
      <c r="B92" s="9" t="s">
        <v>56</v>
      </c>
      <c r="C92" s="9" t="s">
        <v>17</v>
      </c>
      <c r="D92" s="9"/>
      <c r="E92" s="9" t="s">
        <v>577</v>
      </c>
      <c r="F92" s="9" t="s">
        <v>21</v>
      </c>
      <c r="G92" s="9" t="s">
        <v>58</v>
      </c>
      <c r="H92" s="9" t="s">
        <v>17</v>
      </c>
      <c r="I92" s="9" t="s">
        <v>17</v>
      </c>
      <c r="J92" s="9" t="s">
        <v>578</v>
      </c>
    </row>
    <row r="93" spans="1:10" x14ac:dyDescent="0.25" outlineLevel="1" collapsed="1">
      <c r="A93" s="7" t="s">
        <v>15</v>
      </c>
      <c r="B93" s="8" t="s">
        <v>571</v>
      </c>
      <c r="C93" s="7" t="s">
        <v>17</v>
      </c>
      <c r="D93" s="7"/>
      <c r="E93" s="7" t="s">
        <v>585</v>
      </c>
      <c r="F93" s="7" t="s">
        <v>21</v>
      </c>
      <c r="G93" s="7" t="s">
        <v>17</v>
      </c>
      <c r="H93" s="7" t="s">
        <v>17</v>
      </c>
      <c r="I93" s="7" t="s">
        <v>17</v>
      </c>
      <c r="J93" s="7" t="s">
        <v>586</v>
      </c>
    </row>
    <row r="94" spans="1:10" x14ac:dyDescent="0.25" outlineLevel="2" collapsed="1">
      <c r="A94" s="9" t="s">
        <v>15</v>
      </c>
      <c r="B94" s="9" t="s">
        <v>23</v>
      </c>
      <c r="C94" s="10" t="s">
        <v>574</v>
      </c>
      <c r="D94" s="9"/>
      <c r="E94" s="9" t="s">
        <v>575</v>
      </c>
      <c r="F94" s="9" t="s">
        <v>21</v>
      </c>
      <c r="G94" s="9" t="s">
        <v>15</v>
      </c>
      <c r="H94" s="9" t="s">
        <v>17</v>
      </c>
      <c r="I94" s="9" t="s">
        <v>17</v>
      </c>
      <c r="J94" s="9" t="s">
        <v>576</v>
      </c>
    </row>
    <row r="95" spans="1:10" x14ac:dyDescent="0.25" outlineLevel="2" collapsed="1">
      <c r="A95" s="9" t="s">
        <v>21</v>
      </c>
      <c r="B95" s="9" t="s">
        <v>56</v>
      </c>
      <c r="C95" s="9" t="s">
        <v>17</v>
      </c>
      <c r="D95" s="9"/>
      <c r="E95" s="9" t="s">
        <v>577</v>
      </c>
      <c r="F95" s="9" t="s">
        <v>21</v>
      </c>
      <c r="G95" s="9" t="s">
        <v>58</v>
      </c>
      <c r="H95" s="9" t="s">
        <v>17</v>
      </c>
      <c r="I95" s="9" t="s">
        <v>17</v>
      </c>
      <c r="J95" s="9" t="s">
        <v>578</v>
      </c>
    </row>
    <row r="96" spans="1:10" x14ac:dyDescent="0.25" outlineLevel="1" collapsed="1">
      <c r="A96" s="7" t="s">
        <v>15</v>
      </c>
      <c r="B96" s="8" t="s">
        <v>571</v>
      </c>
      <c r="C96" s="7" t="s">
        <v>17</v>
      </c>
      <c r="D96" s="7"/>
      <c r="E96" s="7" t="s">
        <v>587</v>
      </c>
      <c r="F96" s="7" t="s">
        <v>21</v>
      </c>
      <c r="G96" s="7" t="s">
        <v>17</v>
      </c>
      <c r="H96" s="7" t="s">
        <v>17</v>
      </c>
      <c r="I96" s="7" t="s">
        <v>17</v>
      </c>
      <c r="J96" s="7" t="s">
        <v>588</v>
      </c>
    </row>
    <row r="97" spans="1:10" x14ac:dyDescent="0.25" outlineLevel="2" collapsed="1">
      <c r="A97" s="9" t="s">
        <v>15</v>
      </c>
      <c r="B97" s="9" t="s">
        <v>23</v>
      </c>
      <c r="C97" s="10" t="s">
        <v>574</v>
      </c>
      <c r="D97" s="9"/>
      <c r="E97" s="9" t="s">
        <v>575</v>
      </c>
      <c r="F97" s="9" t="s">
        <v>21</v>
      </c>
      <c r="G97" s="9" t="s">
        <v>15</v>
      </c>
      <c r="H97" s="9" t="s">
        <v>17</v>
      </c>
      <c r="I97" s="9" t="s">
        <v>17</v>
      </c>
      <c r="J97" s="9" t="s">
        <v>576</v>
      </c>
    </row>
    <row r="98" spans="1:10" x14ac:dyDescent="0.25" outlineLevel="2" collapsed="1">
      <c r="A98" s="9" t="s">
        <v>21</v>
      </c>
      <c r="B98" s="9" t="s">
        <v>56</v>
      </c>
      <c r="C98" s="9" t="s">
        <v>17</v>
      </c>
      <c r="D98" s="9"/>
      <c r="E98" s="9" t="s">
        <v>577</v>
      </c>
      <c r="F98" s="9" t="s">
        <v>21</v>
      </c>
      <c r="G98" s="9" t="s">
        <v>58</v>
      </c>
      <c r="H98" s="9" t="s">
        <v>17</v>
      </c>
      <c r="I98" s="9" t="s">
        <v>17</v>
      </c>
      <c r="J98" s="9" t="s">
        <v>578</v>
      </c>
    </row>
    <row r="99" spans="1:10" x14ac:dyDescent="0.25" outlineLevel="1" collapsed="1">
      <c r="A99" s="7" t="s">
        <v>15</v>
      </c>
      <c r="B99" s="8" t="s">
        <v>571</v>
      </c>
      <c r="C99" s="7" t="s">
        <v>17</v>
      </c>
      <c r="D99" s="7"/>
      <c r="E99" s="7" t="s">
        <v>589</v>
      </c>
      <c r="F99" s="7" t="s">
        <v>21</v>
      </c>
      <c r="G99" s="7" t="s">
        <v>17</v>
      </c>
      <c r="H99" s="7" t="s">
        <v>17</v>
      </c>
      <c r="I99" s="7" t="s">
        <v>17</v>
      </c>
      <c r="J99" s="7" t="s">
        <v>590</v>
      </c>
    </row>
    <row r="100" spans="1:10" x14ac:dyDescent="0.25" outlineLevel="2" collapsed="1">
      <c r="A100" s="9" t="s">
        <v>15</v>
      </c>
      <c r="B100" s="9" t="s">
        <v>23</v>
      </c>
      <c r="C100" s="10" t="s">
        <v>574</v>
      </c>
      <c r="D100" s="9"/>
      <c r="E100" s="9" t="s">
        <v>575</v>
      </c>
      <c r="F100" s="9" t="s">
        <v>21</v>
      </c>
      <c r="G100" s="9" t="s">
        <v>15</v>
      </c>
      <c r="H100" s="9" t="s">
        <v>17</v>
      </c>
      <c r="I100" s="9" t="s">
        <v>17</v>
      </c>
      <c r="J100" s="9" t="s">
        <v>576</v>
      </c>
    </row>
    <row r="101" spans="1:10" x14ac:dyDescent="0.25" outlineLevel="2" collapsed="1">
      <c r="A101" s="9" t="s">
        <v>21</v>
      </c>
      <c r="B101" s="9" t="s">
        <v>56</v>
      </c>
      <c r="C101" s="9" t="s">
        <v>17</v>
      </c>
      <c r="D101" s="9"/>
      <c r="E101" s="9" t="s">
        <v>577</v>
      </c>
      <c r="F101" s="9" t="s">
        <v>21</v>
      </c>
      <c r="G101" s="9" t="s">
        <v>58</v>
      </c>
      <c r="H101" s="9" t="s">
        <v>17</v>
      </c>
      <c r="I101" s="9" t="s">
        <v>17</v>
      </c>
      <c r="J101" s="9" t="s">
        <v>578</v>
      </c>
    </row>
    <row r="102" spans="1:10" x14ac:dyDescent="0.25" outlineLevel="1" collapsed="1">
      <c r="A102" s="7" t="s">
        <v>15</v>
      </c>
      <c r="B102" s="8" t="s">
        <v>571</v>
      </c>
      <c r="C102" s="7" t="s">
        <v>17</v>
      </c>
      <c r="D102" s="7"/>
      <c r="E102" s="7" t="s">
        <v>591</v>
      </c>
      <c r="F102" s="7" t="s">
        <v>21</v>
      </c>
      <c r="G102" s="7" t="s">
        <v>17</v>
      </c>
      <c r="H102" s="7" t="s">
        <v>17</v>
      </c>
      <c r="I102" s="7" t="s">
        <v>17</v>
      </c>
      <c r="J102" s="7" t="s">
        <v>592</v>
      </c>
    </row>
    <row r="103" spans="1:10" x14ac:dyDescent="0.25" outlineLevel="2" collapsed="1">
      <c r="A103" s="9" t="s">
        <v>15</v>
      </c>
      <c r="B103" s="9" t="s">
        <v>23</v>
      </c>
      <c r="C103" s="10" t="s">
        <v>574</v>
      </c>
      <c r="D103" s="9"/>
      <c r="E103" s="9" t="s">
        <v>575</v>
      </c>
      <c r="F103" s="9" t="s">
        <v>21</v>
      </c>
      <c r="G103" s="9" t="s">
        <v>15</v>
      </c>
      <c r="H103" s="9" t="s">
        <v>17</v>
      </c>
      <c r="I103" s="9" t="s">
        <v>17</v>
      </c>
      <c r="J103" s="9" t="s">
        <v>576</v>
      </c>
    </row>
    <row r="104" spans="1:10" x14ac:dyDescent="0.25" outlineLevel="2" collapsed="1">
      <c r="A104" s="9" t="s">
        <v>21</v>
      </c>
      <c r="B104" s="9" t="s">
        <v>56</v>
      </c>
      <c r="C104" s="9" t="s">
        <v>17</v>
      </c>
      <c r="D104" s="9"/>
      <c r="E104" s="9" t="s">
        <v>577</v>
      </c>
      <c r="F104" s="9" t="s">
        <v>21</v>
      </c>
      <c r="G104" s="9" t="s">
        <v>58</v>
      </c>
      <c r="H104" s="9" t="s">
        <v>17</v>
      </c>
      <c r="I104" s="9" t="s">
        <v>17</v>
      </c>
      <c r="J104" s="9" t="s">
        <v>578</v>
      </c>
    </row>
    <row r="105" spans="1:10" x14ac:dyDescent="0.25" outlineLevel="1" collapsed="1">
      <c r="A105" s="7" t="s">
        <v>15</v>
      </c>
      <c r="B105" s="8" t="s">
        <v>571</v>
      </c>
      <c r="C105" s="7" t="s">
        <v>17</v>
      </c>
      <c r="D105" s="7"/>
      <c r="E105" s="7" t="s">
        <v>593</v>
      </c>
      <c r="F105" s="7" t="s">
        <v>21</v>
      </c>
      <c r="G105" s="7" t="s">
        <v>17</v>
      </c>
      <c r="H105" s="7" t="s">
        <v>17</v>
      </c>
      <c r="I105" s="7" t="s">
        <v>17</v>
      </c>
      <c r="J105" s="7" t="s">
        <v>594</v>
      </c>
    </row>
    <row r="106" spans="1:10" x14ac:dyDescent="0.25" outlineLevel="2" collapsed="1">
      <c r="A106" s="9" t="s">
        <v>15</v>
      </c>
      <c r="B106" s="9" t="s">
        <v>23</v>
      </c>
      <c r="C106" s="10" t="s">
        <v>574</v>
      </c>
      <c r="D106" s="9"/>
      <c r="E106" s="9" t="s">
        <v>575</v>
      </c>
      <c r="F106" s="9" t="s">
        <v>21</v>
      </c>
      <c r="G106" s="9" t="s">
        <v>15</v>
      </c>
      <c r="H106" s="9" t="s">
        <v>17</v>
      </c>
      <c r="I106" s="9" t="s">
        <v>17</v>
      </c>
      <c r="J106" s="9" t="s">
        <v>576</v>
      </c>
    </row>
    <row r="107" spans="1:10" x14ac:dyDescent="0.25" outlineLevel="2" collapsed="1">
      <c r="A107" s="9" t="s">
        <v>21</v>
      </c>
      <c r="B107" s="9" t="s">
        <v>56</v>
      </c>
      <c r="C107" s="9" t="s">
        <v>17</v>
      </c>
      <c r="D107" s="9"/>
      <c r="E107" s="9" t="s">
        <v>577</v>
      </c>
      <c r="F107" s="9" t="s">
        <v>21</v>
      </c>
      <c r="G107" s="9" t="s">
        <v>58</v>
      </c>
      <c r="H107" s="9" t="s">
        <v>17</v>
      </c>
      <c r="I107" s="9" t="s">
        <v>17</v>
      </c>
      <c r="J107" s="9" t="s">
        <v>578</v>
      </c>
    </row>
    <row r="108" spans="1:10" x14ac:dyDescent="0.25" outlineLevel="1" collapsed="1">
      <c r="A108" s="7" t="s">
        <v>15</v>
      </c>
      <c r="B108" s="8" t="s">
        <v>571</v>
      </c>
      <c r="C108" s="7" t="s">
        <v>17</v>
      </c>
      <c r="D108" s="7"/>
      <c r="E108" s="7" t="s">
        <v>595</v>
      </c>
      <c r="F108" s="7" t="s">
        <v>21</v>
      </c>
      <c r="G108" s="7" t="s">
        <v>17</v>
      </c>
      <c r="H108" s="7" t="s">
        <v>17</v>
      </c>
      <c r="I108" s="7" t="s">
        <v>17</v>
      </c>
      <c r="J108" s="7" t="s">
        <v>596</v>
      </c>
    </row>
    <row r="109" spans="1:10" x14ac:dyDescent="0.25" outlineLevel="2" collapsed="1">
      <c r="A109" s="9" t="s">
        <v>15</v>
      </c>
      <c r="B109" s="9" t="s">
        <v>23</v>
      </c>
      <c r="C109" s="10" t="s">
        <v>574</v>
      </c>
      <c r="D109" s="9"/>
      <c r="E109" s="9" t="s">
        <v>575</v>
      </c>
      <c r="F109" s="9" t="s">
        <v>21</v>
      </c>
      <c r="G109" s="9" t="s">
        <v>15</v>
      </c>
      <c r="H109" s="9" t="s">
        <v>17</v>
      </c>
      <c r="I109" s="9" t="s">
        <v>17</v>
      </c>
      <c r="J109" s="9" t="s">
        <v>576</v>
      </c>
    </row>
    <row r="110" spans="1:10" x14ac:dyDescent="0.25" outlineLevel="2" collapsed="1">
      <c r="A110" s="9" t="s">
        <v>21</v>
      </c>
      <c r="B110" s="9" t="s">
        <v>56</v>
      </c>
      <c r="C110" s="9" t="s">
        <v>17</v>
      </c>
      <c r="D110" s="9"/>
      <c r="E110" s="9" t="s">
        <v>577</v>
      </c>
      <c r="F110" s="9" t="s">
        <v>21</v>
      </c>
      <c r="G110" s="9" t="s">
        <v>58</v>
      </c>
      <c r="H110" s="9" t="s">
        <v>17</v>
      </c>
      <c r="I110" s="9" t="s">
        <v>17</v>
      </c>
      <c r="J110" s="9" t="s">
        <v>578</v>
      </c>
    </row>
    <row r="111" spans="1:10" x14ac:dyDescent="0.25" outlineLevel="1" collapsed="1">
      <c r="A111" s="7" t="s">
        <v>15</v>
      </c>
      <c r="B111" s="8" t="s">
        <v>571</v>
      </c>
      <c r="C111" s="7" t="s">
        <v>17</v>
      </c>
      <c r="D111" s="7"/>
      <c r="E111" s="7" t="s">
        <v>597</v>
      </c>
      <c r="F111" s="7" t="s">
        <v>21</v>
      </c>
      <c r="G111" s="7" t="s">
        <v>17</v>
      </c>
      <c r="H111" s="7" t="s">
        <v>17</v>
      </c>
      <c r="I111" s="7" t="s">
        <v>17</v>
      </c>
      <c r="J111" s="7" t="s">
        <v>598</v>
      </c>
    </row>
    <row r="112" spans="1:10" x14ac:dyDescent="0.25" outlineLevel="2" collapsed="1">
      <c r="A112" s="9" t="s">
        <v>15</v>
      </c>
      <c r="B112" s="9" t="s">
        <v>23</v>
      </c>
      <c r="C112" s="10" t="s">
        <v>574</v>
      </c>
      <c r="D112" s="9"/>
      <c r="E112" s="9" t="s">
        <v>575</v>
      </c>
      <c r="F112" s="9" t="s">
        <v>21</v>
      </c>
      <c r="G112" s="9" t="s">
        <v>15</v>
      </c>
      <c r="H112" s="9" t="s">
        <v>17</v>
      </c>
      <c r="I112" s="9" t="s">
        <v>17</v>
      </c>
      <c r="J112" s="9" t="s">
        <v>576</v>
      </c>
    </row>
    <row r="113" spans="1:10" x14ac:dyDescent="0.25" outlineLevel="2" collapsed="1">
      <c r="A113" s="9" t="s">
        <v>21</v>
      </c>
      <c r="B113" s="9" t="s">
        <v>56</v>
      </c>
      <c r="C113" s="9" t="s">
        <v>17</v>
      </c>
      <c r="D113" s="9"/>
      <c r="E113" s="9" t="s">
        <v>577</v>
      </c>
      <c r="F113" s="9" t="s">
        <v>21</v>
      </c>
      <c r="G113" s="9" t="s">
        <v>58</v>
      </c>
      <c r="H113" s="9" t="s">
        <v>17</v>
      </c>
      <c r="I113" s="9" t="s">
        <v>17</v>
      </c>
      <c r="J113" s="9" t="s">
        <v>578</v>
      </c>
    </row>
    <row r="114" spans="1:10" x14ac:dyDescent="0.25" outlineLevel="1" collapsed="1">
      <c r="A114" s="7" t="s">
        <v>15</v>
      </c>
      <c r="B114" s="8" t="s">
        <v>571</v>
      </c>
      <c r="C114" s="7" t="s">
        <v>17</v>
      </c>
      <c r="D114" s="7"/>
      <c r="E114" s="7" t="s">
        <v>599</v>
      </c>
      <c r="F114" s="7" t="s">
        <v>21</v>
      </c>
      <c r="G114" s="7" t="s">
        <v>17</v>
      </c>
      <c r="H114" s="7" t="s">
        <v>17</v>
      </c>
      <c r="I114" s="7" t="s">
        <v>17</v>
      </c>
      <c r="J114" s="7" t="s">
        <v>600</v>
      </c>
    </row>
    <row r="115" spans="1:10" x14ac:dyDescent="0.25" outlineLevel="2" collapsed="1">
      <c r="A115" s="9" t="s">
        <v>15</v>
      </c>
      <c r="B115" s="9" t="s">
        <v>23</v>
      </c>
      <c r="C115" s="10" t="s">
        <v>574</v>
      </c>
      <c r="D115" s="9"/>
      <c r="E115" s="9" t="s">
        <v>575</v>
      </c>
      <c r="F115" s="9" t="s">
        <v>21</v>
      </c>
      <c r="G115" s="9" t="s">
        <v>15</v>
      </c>
      <c r="H115" s="9" t="s">
        <v>17</v>
      </c>
      <c r="I115" s="9" t="s">
        <v>17</v>
      </c>
      <c r="J115" s="9" t="s">
        <v>576</v>
      </c>
    </row>
    <row r="116" spans="1:10" x14ac:dyDescent="0.25" outlineLevel="2" collapsed="1">
      <c r="A116" s="9" t="s">
        <v>21</v>
      </c>
      <c r="B116" s="9" t="s">
        <v>56</v>
      </c>
      <c r="C116" s="9" t="s">
        <v>17</v>
      </c>
      <c r="D116" s="9"/>
      <c r="E116" s="9" t="s">
        <v>577</v>
      </c>
      <c r="F116" s="9" t="s">
        <v>21</v>
      </c>
      <c r="G116" s="9" t="s">
        <v>58</v>
      </c>
      <c r="H116" s="9" t="s">
        <v>17</v>
      </c>
      <c r="I116" s="9" t="s">
        <v>17</v>
      </c>
      <c r="J116" s="9" t="s">
        <v>578</v>
      </c>
    </row>
    <row r="117" spans="1:10" x14ac:dyDescent="0.25">
      <c r="A117" s="5" t="s">
        <v>15</v>
      </c>
      <c r="B117" s="6" t="s">
        <v>601</v>
      </c>
      <c r="C117" s="5" t="s">
        <v>17</v>
      </c>
      <c r="D117" s="5"/>
      <c r="E117" s="5" t="s">
        <v>602</v>
      </c>
      <c r="F117" s="5" t="s">
        <v>21</v>
      </c>
      <c r="G117" s="5" t="s">
        <v>603</v>
      </c>
      <c r="H117" s="5" t="s">
        <v>17</v>
      </c>
      <c r="I117" s="5" t="s">
        <v>17</v>
      </c>
      <c r="J117" s="5" t="s">
        <v>604</v>
      </c>
    </row>
    <row r="118" spans="1:10" x14ac:dyDescent="0.25" outlineLevel="1" collapsed="1">
      <c r="A118" s="9" t="s">
        <v>15</v>
      </c>
      <c r="B118" s="9" t="s">
        <v>56</v>
      </c>
      <c r="C118" s="9" t="s">
        <v>17</v>
      </c>
      <c r="D118" s="9"/>
      <c r="E118" s="9" t="s">
        <v>605</v>
      </c>
      <c r="F118" s="9" t="s">
        <v>21</v>
      </c>
      <c r="G118" s="9" t="s">
        <v>58</v>
      </c>
      <c r="H118" s="9" t="s">
        <v>17</v>
      </c>
      <c r="I118" s="9" t="s">
        <v>17</v>
      </c>
      <c r="J118" s="9" t="s">
        <v>606</v>
      </c>
    </row>
    <row r="119" spans="1:10" x14ac:dyDescent="0.25" outlineLevel="1" collapsed="1">
      <c r="A119" s="9" t="s">
        <v>15</v>
      </c>
      <c r="B119" s="9" t="s">
        <v>56</v>
      </c>
      <c r="C119" s="9" t="s">
        <v>17</v>
      </c>
      <c r="D119" s="9"/>
      <c r="E119" s="9" t="s">
        <v>607</v>
      </c>
      <c r="F119" s="9" t="s">
        <v>21</v>
      </c>
      <c r="G119" s="9" t="s">
        <v>58</v>
      </c>
      <c r="H119" s="9" t="s">
        <v>17</v>
      </c>
      <c r="I119" s="9" t="s">
        <v>17</v>
      </c>
      <c r="J119" s="9" t="s">
        <v>608</v>
      </c>
    </row>
    <row r="120" spans="1:10" x14ac:dyDescent="0.25">
      <c r="A120" s="5" t="s">
        <v>15</v>
      </c>
      <c r="B120" s="6" t="s">
        <v>609</v>
      </c>
      <c r="C120" s="5" t="s">
        <v>17</v>
      </c>
      <c r="D120" s="5"/>
      <c r="E120" s="5" t="s">
        <v>609</v>
      </c>
      <c r="F120" s="5" t="s">
        <v>21</v>
      </c>
      <c r="G120" s="5" t="s">
        <v>610</v>
      </c>
      <c r="H120" s="5" t="s">
        <v>17</v>
      </c>
      <c r="I120" s="5" t="s">
        <v>17</v>
      </c>
      <c r="J120" s="5" t="s">
        <v>611</v>
      </c>
    </row>
    <row r="121" spans="1:10" x14ac:dyDescent="0.25" outlineLevel="1" collapsed="1">
      <c r="A121" s="9" t="s">
        <v>15</v>
      </c>
      <c r="B121" s="9" t="s">
        <v>56</v>
      </c>
      <c r="C121" s="9" t="s">
        <v>17</v>
      </c>
      <c r="D121" s="9"/>
      <c r="E121" s="9" t="s">
        <v>612</v>
      </c>
      <c r="F121" s="9" t="s">
        <v>21</v>
      </c>
      <c r="G121" s="9" t="s">
        <v>58</v>
      </c>
      <c r="H121" s="9" t="s">
        <v>17</v>
      </c>
      <c r="I121" s="9" t="s">
        <v>17</v>
      </c>
      <c r="J121" s="9" t="s">
        <v>613</v>
      </c>
    </row>
    <row r="122" spans="1:10" x14ac:dyDescent="0.25" outlineLevel="1" collapsed="1">
      <c r="A122" s="9" t="s">
        <v>15</v>
      </c>
      <c r="B122" s="9" t="s">
        <v>56</v>
      </c>
      <c r="C122" s="9" t="s">
        <v>17</v>
      </c>
      <c r="D122" s="9"/>
      <c r="E122" s="9" t="s">
        <v>614</v>
      </c>
      <c r="F122" s="9" t="s">
        <v>21</v>
      </c>
      <c r="G122" s="9" t="s">
        <v>58</v>
      </c>
      <c r="H122" s="9" t="s">
        <v>17</v>
      </c>
      <c r="I122" s="9" t="s">
        <v>17</v>
      </c>
      <c r="J122" s="9" t="s">
        <v>615</v>
      </c>
    </row>
    <row r="123" spans="1:10" x14ac:dyDescent="0.25">
      <c r="A123" s="5" t="s">
        <v>15</v>
      </c>
      <c r="B123" s="6" t="s">
        <v>616</v>
      </c>
      <c r="C123" s="5" t="s">
        <v>17</v>
      </c>
      <c r="D123" s="5"/>
      <c r="E123" s="5" t="s">
        <v>617</v>
      </c>
      <c r="F123" s="5" t="s">
        <v>21</v>
      </c>
      <c r="G123" s="5" t="s">
        <v>618</v>
      </c>
      <c r="H123" s="5" t="s">
        <v>17</v>
      </c>
      <c r="I123" s="5" t="s">
        <v>17</v>
      </c>
      <c r="J123" s="5" t="s">
        <v>619</v>
      </c>
    </row>
    <row r="124" spans="1:10" x14ac:dyDescent="0.25" outlineLevel="1" collapsed="1">
      <c r="A124" s="9" t="s">
        <v>15</v>
      </c>
      <c r="B124" s="9" t="s">
        <v>56</v>
      </c>
      <c r="C124" s="9" t="s">
        <v>17</v>
      </c>
      <c r="D124" s="9"/>
      <c r="E124" s="9" t="s">
        <v>620</v>
      </c>
      <c r="F124" s="9" t="s">
        <v>21</v>
      </c>
      <c r="G124" s="9" t="s">
        <v>58</v>
      </c>
      <c r="H124" s="9" t="s">
        <v>17</v>
      </c>
      <c r="I124" s="9" t="s">
        <v>17</v>
      </c>
      <c r="J124" s="9" t="s">
        <v>348</v>
      </c>
    </row>
    <row r="125" spans="1:10" x14ac:dyDescent="0.25" outlineLevel="1" collapsed="1">
      <c r="A125" s="9" t="s">
        <v>15</v>
      </c>
      <c r="B125" s="9" t="s">
        <v>386</v>
      </c>
      <c r="C125" s="9" t="s">
        <v>17</v>
      </c>
      <c r="D125" s="9"/>
      <c r="E125" s="9" t="s">
        <v>621</v>
      </c>
      <c r="F125" s="9" t="s">
        <v>21</v>
      </c>
      <c r="G125" s="9">
        <v>1</v>
      </c>
      <c r="H125" s="9" t="s">
        <v>17</v>
      </c>
      <c r="I125" s="9" t="s">
        <v>17</v>
      </c>
      <c r="J125" s="9" t="s">
        <v>622</v>
      </c>
    </row>
    <row r="126" spans="1:10" x14ac:dyDescent="0.25" outlineLevel="1" collapsed="1">
      <c r="A126" s="9" t="s">
        <v>15</v>
      </c>
      <c r="B126" s="9" t="s">
        <v>386</v>
      </c>
      <c r="C126" s="9" t="s">
        <v>17</v>
      </c>
      <c r="D126" s="9"/>
      <c r="E126" s="9" t="s">
        <v>623</v>
      </c>
      <c r="F126" s="9" t="s">
        <v>21</v>
      </c>
      <c r="G126" s="9">
        <v>1</v>
      </c>
      <c r="H126" s="9" t="s">
        <v>17</v>
      </c>
      <c r="I126" s="9" t="s">
        <v>17</v>
      </c>
      <c r="J126" s="9" t="s">
        <v>624</v>
      </c>
    </row>
    <row r="127" spans="1:10" x14ac:dyDescent="0.25" outlineLevel="1" collapsed="1">
      <c r="A127" s="9" t="s">
        <v>15</v>
      </c>
      <c r="B127" s="9" t="s">
        <v>386</v>
      </c>
      <c r="C127" s="9" t="s">
        <v>17</v>
      </c>
      <c r="D127" s="9"/>
      <c r="E127" s="9" t="s">
        <v>625</v>
      </c>
      <c r="F127" s="9" t="s">
        <v>21</v>
      </c>
      <c r="G127" s="9">
        <v>1</v>
      </c>
      <c r="H127" s="9" t="s">
        <v>17</v>
      </c>
      <c r="I127" s="9" t="s">
        <v>17</v>
      </c>
      <c r="J127" s="9" t="s">
        <v>626</v>
      </c>
    </row>
    <row r="128" spans="1:10" x14ac:dyDescent="0.25" outlineLevel="1" collapsed="1">
      <c r="A128" s="9" t="s">
        <v>21</v>
      </c>
      <c r="B128" s="9" t="s">
        <v>79</v>
      </c>
      <c r="C128" s="9" t="s">
        <v>17</v>
      </c>
      <c r="D128" s="9"/>
      <c r="E128" s="9" t="s">
        <v>627</v>
      </c>
      <c r="F128" s="9" t="s">
        <v>21</v>
      </c>
      <c r="G128" s="9">
        <v>1</v>
      </c>
      <c r="H128" s="9" t="s">
        <v>17</v>
      </c>
      <c r="I128" s="9" t="s">
        <v>17</v>
      </c>
      <c r="J128" s="9" t="s">
        <v>628</v>
      </c>
    </row>
    <row r="129" spans="1:10" x14ac:dyDescent="0.25">
      <c r="A129" s="5" t="s">
        <v>15</v>
      </c>
      <c r="B129" s="6" t="s">
        <v>629</v>
      </c>
      <c r="C129" s="5" t="s">
        <v>17</v>
      </c>
      <c r="D129" s="5"/>
      <c r="E129" s="5" t="s">
        <v>630</v>
      </c>
      <c r="F129" s="5" t="s">
        <v>21</v>
      </c>
      <c r="G129" s="5" t="s">
        <v>631</v>
      </c>
      <c r="H129" s="5" t="s">
        <v>17</v>
      </c>
      <c r="I129" s="5" t="s">
        <v>17</v>
      </c>
      <c r="J129" s="5" t="s">
        <v>632</v>
      </c>
    </row>
    <row r="130" spans="1:10" x14ac:dyDescent="0.25" outlineLevel="1" collapsed="1">
      <c r="A130" s="9" t="s">
        <v>15</v>
      </c>
      <c r="B130" s="9" t="s">
        <v>89</v>
      </c>
      <c r="C130" s="9" t="s">
        <v>17</v>
      </c>
      <c r="D130" s="9"/>
      <c r="E130" s="9" t="s">
        <v>633</v>
      </c>
      <c r="F130" s="9" t="s">
        <v>21</v>
      </c>
      <c r="G130" s="9" t="s">
        <v>91</v>
      </c>
      <c r="H130" s="9" t="s">
        <v>17</v>
      </c>
      <c r="I130" s="9" t="s">
        <v>17</v>
      </c>
      <c r="J130" s="9" t="s">
        <v>634</v>
      </c>
    </row>
    <row r="131" spans="1:10" x14ac:dyDescent="0.25" outlineLevel="1" collapsed="1">
      <c r="A131" s="9" t="s">
        <v>15</v>
      </c>
      <c r="B131" s="9" t="s">
        <v>89</v>
      </c>
      <c r="C131" s="9" t="s">
        <v>17</v>
      </c>
      <c r="D131" s="9"/>
      <c r="E131" s="9" t="s">
        <v>629</v>
      </c>
      <c r="F131" s="9" t="s">
        <v>21</v>
      </c>
      <c r="G131" s="9" t="s">
        <v>91</v>
      </c>
      <c r="H131" s="9" t="s">
        <v>17</v>
      </c>
      <c r="I131" s="9" t="s">
        <v>17</v>
      </c>
      <c r="J131" s="9" t="s">
        <v>370</v>
      </c>
    </row>
    <row r="132" spans="1:10" x14ac:dyDescent="0.25" outlineLevel="1" collapsed="1">
      <c r="A132" s="9" t="s">
        <v>15</v>
      </c>
      <c r="B132" s="9" t="s">
        <v>23</v>
      </c>
      <c r="C132" s="10" t="s">
        <v>635</v>
      </c>
      <c r="D132" s="9"/>
      <c r="E132" s="9" t="s">
        <v>636</v>
      </c>
      <c r="F132" s="9" t="s">
        <v>21</v>
      </c>
      <c r="G132" s="9" t="s">
        <v>380</v>
      </c>
      <c r="H132" s="9" t="s">
        <v>17</v>
      </c>
      <c r="I132" s="9" t="s">
        <v>17</v>
      </c>
      <c r="J132" s="9" t="s">
        <v>381</v>
      </c>
    </row>
    <row r="133" spans="1:10" x14ac:dyDescent="0.25" outlineLevel="1" collapsed="1">
      <c r="A133" s="9" t="s">
        <v>15</v>
      </c>
      <c r="B133" s="9" t="s">
        <v>56</v>
      </c>
      <c r="C133" s="9" t="s">
        <v>17</v>
      </c>
      <c r="D133" s="9"/>
      <c r="E133" s="9" t="s">
        <v>637</v>
      </c>
      <c r="F133" s="9" t="s">
        <v>21</v>
      </c>
      <c r="G133" s="9" t="s">
        <v>58</v>
      </c>
      <c r="H133" s="9" t="s">
        <v>17</v>
      </c>
      <c r="I133" s="9" t="s">
        <v>17</v>
      </c>
      <c r="J133" s="9" t="s">
        <v>377</v>
      </c>
    </row>
    <row r="134" spans="1:10" x14ac:dyDescent="0.25">
      <c r="A134" s="5" t="s">
        <v>15</v>
      </c>
      <c r="B134" s="6" t="s">
        <v>638</v>
      </c>
      <c r="C134" s="5" t="s">
        <v>17</v>
      </c>
      <c r="D134" s="5"/>
      <c r="E134" s="5" t="s">
        <v>638</v>
      </c>
      <c r="F134" s="5" t="s">
        <v>21</v>
      </c>
      <c r="G134" s="5" t="s">
        <v>639</v>
      </c>
      <c r="H134" s="5" t="s">
        <v>17</v>
      </c>
      <c r="I134" s="5" t="s">
        <v>17</v>
      </c>
      <c r="J134" s="5" t="s">
        <v>640</v>
      </c>
    </row>
    <row r="135" spans="1:10" x14ac:dyDescent="0.25" outlineLevel="1" collapsed="1">
      <c r="A135" s="7" t="s">
        <v>15</v>
      </c>
      <c r="B135" s="8" t="s">
        <v>571</v>
      </c>
      <c r="C135" s="7" t="s">
        <v>17</v>
      </c>
      <c r="D135" s="7"/>
      <c r="E135" s="7" t="s">
        <v>641</v>
      </c>
      <c r="F135" s="7" t="s">
        <v>21</v>
      </c>
      <c r="G135" s="7" t="s">
        <v>17</v>
      </c>
      <c r="H135" s="7" t="s">
        <v>17</v>
      </c>
      <c r="I135" s="7" t="s">
        <v>17</v>
      </c>
      <c r="J135" s="7" t="s">
        <v>642</v>
      </c>
    </row>
    <row r="136" spans="1:10" x14ac:dyDescent="0.25" outlineLevel="2" collapsed="1">
      <c r="A136" s="9" t="s">
        <v>15</v>
      </c>
      <c r="B136" s="9" t="s">
        <v>23</v>
      </c>
      <c r="C136" s="10" t="s">
        <v>574</v>
      </c>
      <c r="D136" s="9"/>
      <c r="E136" s="9" t="s">
        <v>575</v>
      </c>
      <c r="F136" s="9" t="s">
        <v>21</v>
      </c>
      <c r="G136" s="9" t="s">
        <v>15</v>
      </c>
      <c r="H136" s="9" t="s">
        <v>17</v>
      </c>
      <c r="I136" s="9" t="s">
        <v>17</v>
      </c>
      <c r="J136" s="9" t="s">
        <v>576</v>
      </c>
    </row>
    <row r="137" spans="1:10" x14ac:dyDescent="0.25" outlineLevel="2" collapsed="1">
      <c r="A137" s="9" t="s">
        <v>21</v>
      </c>
      <c r="B137" s="9" t="s">
        <v>56</v>
      </c>
      <c r="C137" s="9" t="s">
        <v>17</v>
      </c>
      <c r="D137" s="9"/>
      <c r="E137" s="9" t="s">
        <v>577</v>
      </c>
      <c r="F137" s="9" t="s">
        <v>21</v>
      </c>
      <c r="G137" s="9" t="s">
        <v>58</v>
      </c>
      <c r="H137" s="9" t="s">
        <v>17</v>
      </c>
      <c r="I137" s="9" t="s">
        <v>17</v>
      </c>
      <c r="J137" s="9" t="s">
        <v>578</v>
      </c>
    </row>
    <row r="138" spans="1:10" x14ac:dyDescent="0.25" outlineLevel="1" collapsed="1">
      <c r="A138" s="7" t="s">
        <v>15</v>
      </c>
      <c r="B138" s="8" t="s">
        <v>571</v>
      </c>
      <c r="C138" s="7" t="s">
        <v>17</v>
      </c>
      <c r="D138" s="7"/>
      <c r="E138" s="7" t="s">
        <v>643</v>
      </c>
      <c r="F138" s="7" t="s">
        <v>21</v>
      </c>
      <c r="G138" s="7" t="s">
        <v>17</v>
      </c>
      <c r="H138" s="7" t="s">
        <v>17</v>
      </c>
      <c r="I138" s="7" t="s">
        <v>17</v>
      </c>
      <c r="J138" s="7" t="s">
        <v>644</v>
      </c>
    </row>
    <row r="139" spans="1:10" x14ac:dyDescent="0.25" outlineLevel="2" collapsed="1">
      <c r="A139" s="9" t="s">
        <v>15</v>
      </c>
      <c r="B139" s="9" t="s">
        <v>23</v>
      </c>
      <c r="C139" s="10" t="s">
        <v>574</v>
      </c>
      <c r="D139" s="9"/>
      <c r="E139" s="9" t="s">
        <v>575</v>
      </c>
      <c r="F139" s="9" t="s">
        <v>21</v>
      </c>
      <c r="G139" s="9" t="s">
        <v>15</v>
      </c>
      <c r="H139" s="9" t="s">
        <v>17</v>
      </c>
      <c r="I139" s="9" t="s">
        <v>17</v>
      </c>
      <c r="J139" s="9" t="s">
        <v>576</v>
      </c>
    </row>
    <row r="140" spans="1:10" x14ac:dyDescent="0.25" outlineLevel="2" collapsed="1">
      <c r="A140" s="9" t="s">
        <v>21</v>
      </c>
      <c r="B140" s="9" t="s">
        <v>56</v>
      </c>
      <c r="C140" s="9" t="s">
        <v>17</v>
      </c>
      <c r="D140" s="9"/>
      <c r="E140" s="9" t="s">
        <v>577</v>
      </c>
      <c r="F140" s="9" t="s">
        <v>21</v>
      </c>
      <c r="G140" s="9" t="s">
        <v>58</v>
      </c>
      <c r="H140" s="9" t="s">
        <v>17</v>
      </c>
      <c r="I140" s="9" t="s">
        <v>17</v>
      </c>
      <c r="J140" s="9" t="s">
        <v>578</v>
      </c>
    </row>
    <row r="141" spans="1:10" x14ac:dyDescent="0.25" outlineLevel="1" collapsed="1">
      <c r="A141" s="7" t="s">
        <v>15</v>
      </c>
      <c r="B141" s="8" t="s">
        <v>571</v>
      </c>
      <c r="C141" s="7" t="s">
        <v>17</v>
      </c>
      <c r="D141" s="7"/>
      <c r="E141" s="7" t="s">
        <v>645</v>
      </c>
      <c r="F141" s="7" t="s">
        <v>21</v>
      </c>
      <c r="G141" s="7" t="s">
        <v>17</v>
      </c>
      <c r="H141" s="7" t="s">
        <v>17</v>
      </c>
      <c r="I141" s="7" t="s">
        <v>17</v>
      </c>
      <c r="J141" s="7" t="s">
        <v>646</v>
      </c>
    </row>
    <row r="142" spans="1:10" x14ac:dyDescent="0.25" outlineLevel="2" collapsed="1">
      <c r="A142" s="9" t="s">
        <v>15</v>
      </c>
      <c r="B142" s="9" t="s">
        <v>23</v>
      </c>
      <c r="C142" s="10" t="s">
        <v>574</v>
      </c>
      <c r="D142" s="9"/>
      <c r="E142" s="9" t="s">
        <v>575</v>
      </c>
      <c r="F142" s="9" t="s">
        <v>21</v>
      </c>
      <c r="G142" s="9" t="s">
        <v>15</v>
      </c>
      <c r="H142" s="9" t="s">
        <v>17</v>
      </c>
      <c r="I142" s="9" t="s">
        <v>17</v>
      </c>
      <c r="J142" s="9" t="s">
        <v>576</v>
      </c>
    </row>
    <row r="143" spans="1:10" x14ac:dyDescent="0.25" outlineLevel="2" collapsed="1">
      <c r="A143" s="9" t="s">
        <v>21</v>
      </c>
      <c r="B143" s="9" t="s">
        <v>56</v>
      </c>
      <c r="C143" s="9" t="s">
        <v>17</v>
      </c>
      <c r="D143" s="9"/>
      <c r="E143" s="9" t="s">
        <v>577</v>
      </c>
      <c r="F143" s="9" t="s">
        <v>21</v>
      </c>
      <c r="G143" s="9" t="s">
        <v>58</v>
      </c>
      <c r="H143" s="9" t="s">
        <v>17</v>
      </c>
      <c r="I143" s="9" t="s">
        <v>17</v>
      </c>
      <c r="J143" s="9" t="s">
        <v>578</v>
      </c>
    </row>
    <row r="144" spans="1:10" x14ac:dyDescent="0.25" outlineLevel="1" collapsed="1">
      <c r="A144" s="7" t="s">
        <v>15</v>
      </c>
      <c r="B144" s="8" t="s">
        <v>571</v>
      </c>
      <c r="C144" s="7" t="s">
        <v>17</v>
      </c>
      <c r="D144" s="7"/>
      <c r="E144" s="7" t="s">
        <v>647</v>
      </c>
      <c r="F144" s="7" t="s">
        <v>21</v>
      </c>
      <c r="G144" s="7" t="s">
        <v>17</v>
      </c>
      <c r="H144" s="7" t="s">
        <v>17</v>
      </c>
      <c r="I144" s="7" t="s">
        <v>17</v>
      </c>
      <c r="J144" s="7" t="s">
        <v>648</v>
      </c>
    </row>
    <row r="145" spans="1:10" x14ac:dyDescent="0.25" outlineLevel="2" collapsed="1">
      <c r="A145" s="9" t="s">
        <v>15</v>
      </c>
      <c r="B145" s="9" t="s">
        <v>23</v>
      </c>
      <c r="C145" s="10" t="s">
        <v>574</v>
      </c>
      <c r="D145" s="9"/>
      <c r="E145" s="9" t="s">
        <v>575</v>
      </c>
      <c r="F145" s="9" t="s">
        <v>21</v>
      </c>
      <c r="G145" s="9" t="s">
        <v>15</v>
      </c>
      <c r="H145" s="9" t="s">
        <v>17</v>
      </c>
      <c r="I145" s="9" t="s">
        <v>17</v>
      </c>
      <c r="J145" s="9" t="s">
        <v>576</v>
      </c>
    </row>
    <row r="146" spans="1:10" x14ac:dyDescent="0.25" outlineLevel="2" collapsed="1">
      <c r="A146" s="9" t="s">
        <v>21</v>
      </c>
      <c r="B146" s="9" t="s">
        <v>56</v>
      </c>
      <c r="C146" s="9" t="s">
        <v>17</v>
      </c>
      <c r="D146" s="9"/>
      <c r="E146" s="9" t="s">
        <v>577</v>
      </c>
      <c r="F146" s="9" t="s">
        <v>21</v>
      </c>
      <c r="G146" s="9" t="s">
        <v>58</v>
      </c>
      <c r="H146" s="9" t="s">
        <v>17</v>
      </c>
      <c r="I146" s="9" t="s">
        <v>17</v>
      </c>
      <c r="J146" s="9" t="s">
        <v>578</v>
      </c>
    </row>
    <row r="147" spans="1:10" x14ac:dyDescent="0.25" outlineLevel="1" collapsed="1">
      <c r="A147" s="7" t="s">
        <v>15</v>
      </c>
      <c r="B147" s="8" t="s">
        <v>571</v>
      </c>
      <c r="C147" s="7" t="s">
        <v>17</v>
      </c>
      <c r="D147" s="7"/>
      <c r="E147" s="7" t="s">
        <v>649</v>
      </c>
      <c r="F147" s="7" t="s">
        <v>21</v>
      </c>
      <c r="G147" s="7" t="s">
        <v>17</v>
      </c>
      <c r="H147" s="7" t="s">
        <v>17</v>
      </c>
      <c r="I147" s="7" t="s">
        <v>17</v>
      </c>
      <c r="J147" s="7" t="s">
        <v>650</v>
      </c>
    </row>
    <row r="148" spans="1:10" x14ac:dyDescent="0.25" outlineLevel="2" collapsed="1">
      <c r="A148" s="9" t="s">
        <v>15</v>
      </c>
      <c r="B148" s="9" t="s">
        <v>23</v>
      </c>
      <c r="C148" s="10" t="s">
        <v>574</v>
      </c>
      <c r="D148" s="9"/>
      <c r="E148" s="9" t="s">
        <v>575</v>
      </c>
      <c r="F148" s="9" t="s">
        <v>21</v>
      </c>
      <c r="G148" s="9" t="s">
        <v>15</v>
      </c>
      <c r="H148" s="9" t="s">
        <v>17</v>
      </c>
      <c r="I148" s="9" t="s">
        <v>17</v>
      </c>
      <c r="J148" s="9" t="s">
        <v>576</v>
      </c>
    </row>
    <row r="149" spans="1:10" x14ac:dyDescent="0.25" outlineLevel="2" collapsed="1">
      <c r="A149" s="9" t="s">
        <v>21</v>
      </c>
      <c r="B149" s="9" t="s">
        <v>56</v>
      </c>
      <c r="C149" s="9" t="s">
        <v>17</v>
      </c>
      <c r="D149" s="9"/>
      <c r="E149" s="9" t="s">
        <v>577</v>
      </c>
      <c r="F149" s="9" t="s">
        <v>21</v>
      </c>
      <c r="G149" s="9" t="s">
        <v>58</v>
      </c>
      <c r="H149" s="9" t="s">
        <v>17</v>
      </c>
      <c r="I149" s="9" t="s">
        <v>17</v>
      </c>
      <c r="J149" s="9" t="s">
        <v>578</v>
      </c>
    </row>
    <row r="150" spans="1:10" x14ac:dyDescent="0.25" outlineLevel="1" collapsed="1">
      <c r="A150" s="7" t="s">
        <v>15</v>
      </c>
      <c r="B150" s="8" t="s">
        <v>571</v>
      </c>
      <c r="C150" s="7" t="s">
        <v>17</v>
      </c>
      <c r="D150" s="7"/>
      <c r="E150" s="7" t="s">
        <v>651</v>
      </c>
      <c r="F150" s="7" t="s">
        <v>21</v>
      </c>
      <c r="G150" s="7" t="s">
        <v>17</v>
      </c>
      <c r="H150" s="7" t="s">
        <v>17</v>
      </c>
      <c r="I150" s="7" t="s">
        <v>17</v>
      </c>
      <c r="J150" s="7" t="s">
        <v>652</v>
      </c>
    </row>
    <row r="151" spans="1:10" x14ac:dyDescent="0.25" outlineLevel="2" collapsed="1">
      <c r="A151" s="9" t="s">
        <v>15</v>
      </c>
      <c r="B151" s="9" t="s">
        <v>23</v>
      </c>
      <c r="C151" s="10" t="s">
        <v>574</v>
      </c>
      <c r="D151" s="9"/>
      <c r="E151" s="9" t="s">
        <v>575</v>
      </c>
      <c r="F151" s="9" t="s">
        <v>21</v>
      </c>
      <c r="G151" s="9" t="s">
        <v>15</v>
      </c>
      <c r="H151" s="9" t="s">
        <v>17</v>
      </c>
      <c r="I151" s="9" t="s">
        <v>17</v>
      </c>
      <c r="J151" s="9" t="s">
        <v>576</v>
      </c>
    </row>
    <row r="152" spans="1:10" x14ac:dyDescent="0.25" outlineLevel="2" collapsed="1">
      <c r="A152" s="9" t="s">
        <v>21</v>
      </c>
      <c r="B152" s="9" t="s">
        <v>56</v>
      </c>
      <c r="C152" s="9" t="s">
        <v>17</v>
      </c>
      <c r="D152" s="9"/>
      <c r="E152" s="9" t="s">
        <v>577</v>
      </c>
      <c r="F152" s="9" t="s">
        <v>21</v>
      </c>
      <c r="G152" s="9" t="s">
        <v>58</v>
      </c>
      <c r="H152" s="9" t="s">
        <v>17</v>
      </c>
      <c r="I152" s="9" t="s">
        <v>17</v>
      </c>
      <c r="J152" s="9" t="s">
        <v>578</v>
      </c>
    </row>
    <row r="153" spans="1:10" x14ac:dyDescent="0.25" outlineLevel="1" collapsed="1">
      <c r="A153" s="7" t="s">
        <v>15</v>
      </c>
      <c r="B153" s="8" t="s">
        <v>571</v>
      </c>
      <c r="C153" s="7" t="s">
        <v>17</v>
      </c>
      <c r="D153" s="7"/>
      <c r="E153" s="7" t="s">
        <v>653</v>
      </c>
      <c r="F153" s="7" t="s">
        <v>21</v>
      </c>
      <c r="G153" s="7" t="s">
        <v>17</v>
      </c>
      <c r="H153" s="7" t="s">
        <v>17</v>
      </c>
      <c r="I153" s="7" t="s">
        <v>17</v>
      </c>
      <c r="J153" s="7" t="s">
        <v>654</v>
      </c>
    </row>
    <row r="154" spans="1:10" x14ac:dyDescent="0.25" outlineLevel="2" collapsed="1">
      <c r="A154" s="9" t="s">
        <v>15</v>
      </c>
      <c r="B154" s="9" t="s">
        <v>23</v>
      </c>
      <c r="C154" s="10" t="s">
        <v>574</v>
      </c>
      <c r="D154" s="9"/>
      <c r="E154" s="9" t="s">
        <v>575</v>
      </c>
      <c r="F154" s="9" t="s">
        <v>21</v>
      </c>
      <c r="G154" s="9" t="s">
        <v>15</v>
      </c>
      <c r="H154" s="9" t="s">
        <v>17</v>
      </c>
      <c r="I154" s="9" t="s">
        <v>17</v>
      </c>
      <c r="J154" s="9" t="s">
        <v>576</v>
      </c>
    </row>
    <row r="155" spans="1:10" x14ac:dyDescent="0.25" outlineLevel="2" collapsed="1">
      <c r="A155" s="9" t="s">
        <v>21</v>
      </c>
      <c r="B155" s="9" t="s">
        <v>56</v>
      </c>
      <c r="C155" s="9" t="s">
        <v>17</v>
      </c>
      <c r="D155" s="9"/>
      <c r="E155" s="9" t="s">
        <v>577</v>
      </c>
      <c r="F155" s="9" t="s">
        <v>21</v>
      </c>
      <c r="G155" s="9" t="s">
        <v>58</v>
      </c>
      <c r="H155" s="9" t="s">
        <v>17</v>
      </c>
      <c r="I155" s="9" t="s">
        <v>17</v>
      </c>
      <c r="J155" s="9" t="s">
        <v>578</v>
      </c>
    </row>
    <row r="156" spans="1:10" x14ac:dyDescent="0.25" outlineLevel="1" collapsed="1">
      <c r="A156" s="7" t="s">
        <v>15</v>
      </c>
      <c r="B156" s="8" t="s">
        <v>571</v>
      </c>
      <c r="C156" s="7" t="s">
        <v>17</v>
      </c>
      <c r="D156" s="7"/>
      <c r="E156" s="7" t="s">
        <v>655</v>
      </c>
      <c r="F156" s="7" t="s">
        <v>21</v>
      </c>
      <c r="G156" s="7" t="s">
        <v>17</v>
      </c>
      <c r="H156" s="7" t="s">
        <v>17</v>
      </c>
      <c r="I156" s="7" t="s">
        <v>17</v>
      </c>
      <c r="J156" s="7" t="s">
        <v>656</v>
      </c>
    </row>
    <row r="157" spans="1:10" x14ac:dyDescent="0.25" outlineLevel="2" collapsed="1">
      <c r="A157" s="9" t="s">
        <v>15</v>
      </c>
      <c r="B157" s="9" t="s">
        <v>23</v>
      </c>
      <c r="C157" s="10" t="s">
        <v>574</v>
      </c>
      <c r="D157" s="9"/>
      <c r="E157" s="9" t="s">
        <v>575</v>
      </c>
      <c r="F157" s="9" t="s">
        <v>21</v>
      </c>
      <c r="G157" s="9" t="s">
        <v>15</v>
      </c>
      <c r="H157" s="9" t="s">
        <v>17</v>
      </c>
      <c r="I157" s="9" t="s">
        <v>17</v>
      </c>
      <c r="J157" s="9" t="s">
        <v>576</v>
      </c>
    </row>
    <row r="158" spans="1:10" x14ac:dyDescent="0.25" outlineLevel="2" collapsed="1">
      <c r="A158" s="9" t="s">
        <v>21</v>
      </c>
      <c r="B158" s="9" t="s">
        <v>56</v>
      </c>
      <c r="C158" s="9" t="s">
        <v>17</v>
      </c>
      <c r="D158" s="9"/>
      <c r="E158" s="9" t="s">
        <v>577</v>
      </c>
      <c r="F158" s="9" t="s">
        <v>21</v>
      </c>
      <c r="G158" s="9" t="s">
        <v>58</v>
      </c>
      <c r="H158" s="9" t="s">
        <v>17</v>
      </c>
      <c r="I158" s="9" t="s">
        <v>17</v>
      </c>
      <c r="J158" s="9" t="s">
        <v>578</v>
      </c>
    </row>
    <row r="159" spans="1:10" x14ac:dyDescent="0.25">
      <c r="A159" s="5" t="s">
        <v>15</v>
      </c>
      <c r="B159" s="6" t="s">
        <v>657</v>
      </c>
      <c r="C159" s="5" t="s">
        <v>17</v>
      </c>
      <c r="D159" s="5"/>
      <c r="E159" s="5" t="s">
        <v>657</v>
      </c>
      <c r="F159" s="5" t="s">
        <v>21</v>
      </c>
      <c r="G159" s="5" t="s">
        <v>658</v>
      </c>
      <c r="H159" s="5" t="s">
        <v>17</v>
      </c>
      <c r="I159" s="5" t="s">
        <v>17</v>
      </c>
      <c r="J159" s="5" t="s">
        <v>659</v>
      </c>
    </row>
    <row r="160" spans="1:10" x14ac:dyDescent="0.25" outlineLevel="1" collapsed="1">
      <c r="A160" s="7" t="s">
        <v>15</v>
      </c>
      <c r="B160" s="8" t="s">
        <v>571</v>
      </c>
      <c r="C160" s="7" t="s">
        <v>17</v>
      </c>
      <c r="D160" s="7"/>
      <c r="E160" s="7" t="s">
        <v>660</v>
      </c>
      <c r="F160" s="7" t="s">
        <v>21</v>
      </c>
      <c r="G160" s="7" t="s">
        <v>17</v>
      </c>
      <c r="H160" s="7" t="s">
        <v>17</v>
      </c>
      <c r="I160" s="7" t="s">
        <v>17</v>
      </c>
      <c r="J160" s="7" t="s">
        <v>661</v>
      </c>
    </row>
    <row r="161" spans="1:10" x14ac:dyDescent="0.25" outlineLevel="2" collapsed="1">
      <c r="A161" s="9" t="s">
        <v>15</v>
      </c>
      <c r="B161" s="9" t="s">
        <v>23</v>
      </c>
      <c r="C161" s="10" t="s">
        <v>574</v>
      </c>
      <c r="D161" s="9"/>
      <c r="E161" s="9" t="s">
        <v>575</v>
      </c>
      <c r="F161" s="9" t="s">
        <v>21</v>
      </c>
      <c r="G161" s="9" t="s">
        <v>15</v>
      </c>
      <c r="H161" s="9" t="s">
        <v>17</v>
      </c>
      <c r="I161" s="9" t="s">
        <v>17</v>
      </c>
      <c r="J161" s="9" t="s">
        <v>576</v>
      </c>
    </row>
    <row r="162" spans="1:10" x14ac:dyDescent="0.25" outlineLevel="2" collapsed="1">
      <c r="A162" s="9" t="s">
        <v>21</v>
      </c>
      <c r="B162" s="9" t="s">
        <v>56</v>
      </c>
      <c r="C162" s="9" t="s">
        <v>17</v>
      </c>
      <c r="D162" s="9"/>
      <c r="E162" s="9" t="s">
        <v>577</v>
      </c>
      <c r="F162" s="9" t="s">
        <v>21</v>
      </c>
      <c r="G162" s="9" t="s">
        <v>58</v>
      </c>
      <c r="H162" s="9" t="s">
        <v>17</v>
      </c>
      <c r="I162" s="9" t="s">
        <v>17</v>
      </c>
      <c r="J162" s="9" t="s">
        <v>578</v>
      </c>
    </row>
    <row r="163" spans="1:10" x14ac:dyDescent="0.25" outlineLevel="1" collapsed="1">
      <c r="A163" s="7" t="s">
        <v>15</v>
      </c>
      <c r="B163" s="8" t="s">
        <v>571</v>
      </c>
      <c r="C163" s="7" t="s">
        <v>17</v>
      </c>
      <c r="D163" s="7"/>
      <c r="E163" s="7" t="s">
        <v>662</v>
      </c>
      <c r="F163" s="7" t="s">
        <v>21</v>
      </c>
      <c r="G163" s="7" t="s">
        <v>17</v>
      </c>
      <c r="H163" s="7" t="s">
        <v>17</v>
      </c>
      <c r="I163" s="7" t="s">
        <v>17</v>
      </c>
      <c r="J163" s="7" t="s">
        <v>663</v>
      </c>
    </row>
    <row r="164" spans="1:10" x14ac:dyDescent="0.25" outlineLevel="2" collapsed="1">
      <c r="A164" s="9" t="s">
        <v>15</v>
      </c>
      <c r="B164" s="9" t="s">
        <v>23</v>
      </c>
      <c r="C164" s="10" t="s">
        <v>574</v>
      </c>
      <c r="D164" s="9"/>
      <c r="E164" s="9" t="s">
        <v>575</v>
      </c>
      <c r="F164" s="9" t="s">
        <v>21</v>
      </c>
      <c r="G164" s="9" t="s">
        <v>15</v>
      </c>
      <c r="H164" s="9" t="s">
        <v>17</v>
      </c>
      <c r="I164" s="9" t="s">
        <v>17</v>
      </c>
      <c r="J164" s="9" t="s">
        <v>576</v>
      </c>
    </row>
    <row r="165" spans="1:10" x14ac:dyDescent="0.25" outlineLevel="2" collapsed="1">
      <c r="A165" s="9" t="s">
        <v>21</v>
      </c>
      <c r="B165" s="9" t="s">
        <v>56</v>
      </c>
      <c r="C165" s="9" t="s">
        <v>17</v>
      </c>
      <c r="D165" s="9"/>
      <c r="E165" s="9" t="s">
        <v>577</v>
      </c>
      <c r="F165" s="9" t="s">
        <v>21</v>
      </c>
      <c r="G165" s="9" t="s">
        <v>58</v>
      </c>
      <c r="H165" s="9" t="s">
        <v>17</v>
      </c>
      <c r="I165" s="9" t="s">
        <v>17</v>
      </c>
      <c r="J165" s="9" t="s">
        <v>578</v>
      </c>
    </row>
    <row r="166" spans="1:10" x14ac:dyDescent="0.25" outlineLevel="1" collapsed="1">
      <c r="A166" s="7" t="s">
        <v>15</v>
      </c>
      <c r="B166" s="8" t="s">
        <v>571</v>
      </c>
      <c r="C166" s="7" t="s">
        <v>17</v>
      </c>
      <c r="D166" s="7"/>
      <c r="E166" s="7" t="s">
        <v>664</v>
      </c>
      <c r="F166" s="7" t="s">
        <v>21</v>
      </c>
      <c r="G166" s="7" t="s">
        <v>17</v>
      </c>
      <c r="H166" s="7" t="s">
        <v>17</v>
      </c>
      <c r="I166" s="7" t="s">
        <v>17</v>
      </c>
      <c r="J166" s="7" t="s">
        <v>665</v>
      </c>
    </row>
    <row r="167" spans="1:10" x14ac:dyDescent="0.25" outlineLevel="2" collapsed="1">
      <c r="A167" s="9" t="s">
        <v>15</v>
      </c>
      <c r="B167" s="9" t="s">
        <v>23</v>
      </c>
      <c r="C167" s="10" t="s">
        <v>574</v>
      </c>
      <c r="D167" s="9"/>
      <c r="E167" s="9" t="s">
        <v>575</v>
      </c>
      <c r="F167" s="9" t="s">
        <v>21</v>
      </c>
      <c r="G167" s="9" t="s">
        <v>15</v>
      </c>
      <c r="H167" s="9" t="s">
        <v>17</v>
      </c>
      <c r="I167" s="9" t="s">
        <v>17</v>
      </c>
      <c r="J167" s="9" t="s">
        <v>576</v>
      </c>
    </row>
    <row r="168" spans="1:10" x14ac:dyDescent="0.25" outlineLevel="2" collapsed="1">
      <c r="A168" s="9" t="s">
        <v>21</v>
      </c>
      <c r="B168" s="9" t="s">
        <v>56</v>
      </c>
      <c r="C168" s="9" t="s">
        <v>17</v>
      </c>
      <c r="D168" s="9"/>
      <c r="E168" s="9" t="s">
        <v>577</v>
      </c>
      <c r="F168" s="9" t="s">
        <v>21</v>
      </c>
      <c r="G168" s="9" t="s">
        <v>58</v>
      </c>
      <c r="H168" s="9" t="s">
        <v>17</v>
      </c>
      <c r="I168" s="9" t="s">
        <v>17</v>
      </c>
      <c r="J168" s="9" t="s">
        <v>578</v>
      </c>
    </row>
    <row r="169" spans="1:10" x14ac:dyDescent="0.25" outlineLevel="1" collapsed="1">
      <c r="A169" s="7" t="s">
        <v>15</v>
      </c>
      <c r="B169" s="8" t="s">
        <v>571</v>
      </c>
      <c r="C169" s="7" t="s">
        <v>17</v>
      </c>
      <c r="D169" s="7"/>
      <c r="E169" s="7" t="s">
        <v>666</v>
      </c>
      <c r="F169" s="7" t="s">
        <v>21</v>
      </c>
      <c r="G169" s="7" t="s">
        <v>17</v>
      </c>
      <c r="H169" s="7" t="s">
        <v>17</v>
      </c>
      <c r="I169" s="7" t="s">
        <v>17</v>
      </c>
      <c r="J169" s="7" t="s">
        <v>667</v>
      </c>
    </row>
    <row r="170" spans="1:10" x14ac:dyDescent="0.25" outlineLevel="2" collapsed="1">
      <c r="A170" s="9" t="s">
        <v>15</v>
      </c>
      <c r="B170" s="9" t="s">
        <v>23</v>
      </c>
      <c r="C170" s="10" t="s">
        <v>574</v>
      </c>
      <c r="D170" s="9"/>
      <c r="E170" s="9" t="s">
        <v>575</v>
      </c>
      <c r="F170" s="9" t="s">
        <v>21</v>
      </c>
      <c r="G170" s="9" t="s">
        <v>15</v>
      </c>
      <c r="H170" s="9" t="s">
        <v>17</v>
      </c>
      <c r="I170" s="9" t="s">
        <v>17</v>
      </c>
      <c r="J170" s="9" t="s">
        <v>576</v>
      </c>
    </row>
    <row r="171" spans="1:10" x14ac:dyDescent="0.25" outlineLevel="2" collapsed="1">
      <c r="A171" s="9" t="s">
        <v>21</v>
      </c>
      <c r="B171" s="9" t="s">
        <v>56</v>
      </c>
      <c r="C171" s="9" t="s">
        <v>17</v>
      </c>
      <c r="D171" s="9"/>
      <c r="E171" s="9" t="s">
        <v>577</v>
      </c>
      <c r="F171" s="9" t="s">
        <v>21</v>
      </c>
      <c r="G171" s="9" t="s">
        <v>58</v>
      </c>
      <c r="H171" s="9" t="s">
        <v>17</v>
      </c>
      <c r="I171" s="9" t="s">
        <v>17</v>
      </c>
      <c r="J171" s="9" t="s">
        <v>578</v>
      </c>
    </row>
    <row r="172" spans="1:10" x14ac:dyDescent="0.25">
      <c r="A172" s="5" t="s">
        <v>15</v>
      </c>
      <c r="B172" s="6" t="s">
        <v>668</v>
      </c>
      <c r="C172" s="5" t="s">
        <v>17</v>
      </c>
      <c r="D172" s="5"/>
      <c r="E172" s="5" t="s">
        <v>668</v>
      </c>
      <c r="F172" s="5" t="s">
        <v>21</v>
      </c>
      <c r="G172" s="5" t="s">
        <v>669</v>
      </c>
      <c r="H172" s="5" t="s">
        <v>17</v>
      </c>
      <c r="I172" s="5" t="s">
        <v>17</v>
      </c>
      <c r="J172" s="5" t="s">
        <v>670</v>
      </c>
    </row>
    <row r="173" spans="1:10" x14ac:dyDescent="0.25" outlineLevel="1" collapsed="1">
      <c r="A173" s="7" t="s">
        <v>15</v>
      </c>
      <c r="B173" s="8" t="s">
        <v>571</v>
      </c>
      <c r="C173" s="7" t="s">
        <v>17</v>
      </c>
      <c r="D173" s="7"/>
      <c r="E173" s="7" t="s">
        <v>671</v>
      </c>
      <c r="F173" s="7" t="s">
        <v>21</v>
      </c>
      <c r="G173" s="7" t="s">
        <v>17</v>
      </c>
      <c r="H173" s="7" t="s">
        <v>17</v>
      </c>
      <c r="I173" s="7" t="s">
        <v>17</v>
      </c>
      <c r="J173" s="7" t="s">
        <v>672</v>
      </c>
    </row>
    <row r="174" spans="1:10" x14ac:dyDescent="0.25" outlineLevel="2" collapsed="1">
      <c r="A174" s="9" t="s">
        <v>15</v>
      </c>
      <c r="B174" s="9" t="s">
        <v>23</v>
      </c>
      <c r="C174" s="10" t="s">
        <v>574</v>
      </c>
      <c r="D174" s="9"/>
      <c r="E174" s="9" t="s">
        <v>575</v>
      </c>
      <c r="F174" s="9" t="s">
        <v>21</v>
      </c>
      <c r="G174" s="9" t="s">
        <v>15</v>
      </c>
      <c r="H174" s="9" t="s">
        <v>17</v>
      </c>
      <c r="I174" s="9" t="s">
        <v>17</v>
      </c>
      <c r="J174" s="9" t="s">
        <v>576</v>
      </c>
    </row>
    <row r="175" spans="1:10" x14ac:dyDescent="0.25" outlineLevel="2" collapsed="1">
      <c r="A175" s="9" t="s">
        <v>21</v>
      </c>
      <c r="B175" s="9" t="s">
        <v>56</v>
      </c>
      <c r="C175" s="9" t="s">
        <v>17</v>
      </c>
      <c r="D175" s="9"/>
      <c r="E175" s="9" t="s">
        <v>577</v>
      </c>
      <c r="F175" s="9" t="s">
        <v>21</v>
      </c>
      <c r="G175" s="9" t="s">
        <v>58</v>
      </c>
      <c r="H175" s="9" t="s">
        <v>17</v>
      </c>
      <c r="I175" s="9" t="s">
        <v>17</v>
      </c>
      <c r="J175" s="9" t="s">
        <v>578</v>
      </c>
    </row>
    <row r="176" spans="1:10" x14ac:dyDescent="0.25" outlineLevel="1" collapsed="1">
      <c r="A176" s="7" t="s">
        <v>15</v>
      </c>
      <c r="B176" s="8" t="s">
        <v>571</v>
      </c>
      <c r="C176" s="7" t="s">
        <v>17</v>
      </c>
      <c r="D176" s="7"/>
      <c r="E176" s="7" t="s">
        <v>673</v>
      </c>
      <c r="F176" s="7" t="s">
        <v>21</v>
      </c>
      <c r="G176" s="7" t="s">
        <v>17</v>
      </c>
      <c r="H176" s="7" t="s">
        <v>17</v>
      </c>
      <c r="I176" s="7" t="s">
        <v>17</v>
      </c>
      <c r="J176" s="7" t="s">
        <v>674</v>
      </c>
    </row>
    <row r="177" spans="1:10" x14ac:dyDescent="0.25" outlineLevel="2" collapsed="1">
      <c r="A177" s="9" t="s">
        <v>15</v>
      </c>
      <c r="B177" s="9" t="s">
        <v>23</v>
      </c>
      <c r="C177" s="10" t="s">
        <v>574</v>
      </c>
      <c r="D177" s="9"/>
      <c r="E177" s="9" t="s">
        <v>575</v>
      </c>
      <c r="F177" s="9" t="s">
        <v>21</v>
      </c>
      <c r="G177" s="9" t="s">
        <v>15</v>
      </c>
      <c r="H177" s="9" t="s">
        <v>17</v>
      </c>
      <c r="I177" s="9" t="s">
        <v>17</v>
      </c>
      <c r="J177" s="9" t="s">
        <v>576</v>
      </c>
    </row>
    <row r="178" spans="1:10" x14ac:dyDescent="0.25" outlineLevel="2" collapsed="1">
      <c r="A178" s="9" t="s">
        <v>21</v>
      </c>
      <c r="B178" s="9" t="s">
        <v>56</v>
      </c>
      <c r="C178" s="9" t="s">
        <v>17</v>
      </c>
      <c r="D178" s="9"/>
      <c r="E178" s="9" t="s">
        <v>577</v>
      </c>
      <c r="F178" s="9" t="s">
        <v>21</v>
      </c>
      <c r="G178" s="9" t="s">
        <v>58</v>
      </c>
      <c r="H178" s="9" t="s">
        <v>17</v>
      </c>
      <c r="I178" s="9" t="s">
        <v>17</v>
      </c>
      <c r="J178" s="9" t="s">
        <v>578</v>
      </c>
    </row>
    <row r="179" spans="1:10" x14ac:dyDescent="0.25" outlineLevel="1" collapsed="1">
      <c r="A179" s="7" t="s">
        <v>15</v>
      </c>
      <c r="B179" s="8" t="s">
        <v>571</v>
      </c>
      <c r="C179" s="7" t="s">
        <v>17</v>
      </c>
      <c r="D179" s="7"/>
      <c r="E179" s="7" t="s">
        <v>675</v>
      </c>
      <c r="F179" s="7" t="s">
        <v>21</v>
      </c>
      <c r="G179" s="7" t="s">
        <v>17</v>
      </c>
      <c r="H179" s="7" t="s">
        <v>17</v>
      </c>
      <c r="I179" s="7" t="s">
        <v>17</v>
      </c>
      <c r="J179" s="7" t="s">
        <v>676</v>
      </c>
    </row>
    <row r="180" spans="1:10" x14ac:dyDescent="0.25" outlineLevel="2" collapsed="1">
      <c r="A180" s="9" t="s">
        <v>15</v>
      </c>
      <c r="B180" s="9" t="s">
        <v>23</v>
      </c>
      <c r="C180" s="10" t="s">
        <v>574</v>
      </c>
      <c r="D180" s="9"/>
      <c r="E180" s="9" t="s">
        <v>575</v>
      </c>
      <c r="F180" s="9" t="s">
        <v>21</v>
      </c>
      <c r="G180" s="9" t="s">
        <v>15</v>
      </c>
      <c r="H180" s="9" t="s">
        <v>17</v>
      </c>
      <c r="I180" s="9" t="s">
        <v>17</v>
      </c>
      <c r="J180" s="9" t="s">
        <v>576</v>
      </c>
    </row>
    <row r="181" spans="1:10" x14ac:dyDescent="0.25" outlineLevel="2" collapsed="1">
      <c r="A181" s="9" t="s">
        <v>21</v>
      </c>
      <c r="B181" s="9" t="s">
        <v>56</v>
      </c>
      <c r="C181" s="9" t="s">
        <v>17</v>
      </c>
      <c r="D181" s="9"/>
      <c r="E181" s="9" t="s">
        <v>577</v>
      </c>
      <c r="F181" s="9" t="s">
        <v>21</v>
      </c>
      <c r="G181" s="9" t="s">
        <v>58</v>
      </c>
      <c r="H181" s="9" t="s">
        <v>17</v>
      </c>
      <c r="I181" s="9" t="s">
        <v>17</v>
      </c>
      <c r="J181" s="9" t="s">
        <v>578</v>
      </c>
    </row>
    <row r="182" spans="1:10" x14ac:dyDescent="0.25" outlineLevel="1" collapsed="1">
      <c r="A182" s="7" t="s">
        <v>15</v>
      </c>
      <c r="B182" s="8" t="s">
        <v>571</v>
      </c>
      <c r="C182" s="7" t="s">
        <v>17</v>
      </c>
      <c r="D182" s="7"/>
      <c r="E182" s="7" t="s">
        <v>677</v>
      </c>
      <c r="F182" s="7" t="s">
        <v>21</v>
      </c>
      <c r="G182" s="7" t="s">
        <v>17</v>
      </c>
      <c r="H182" s="7" t="s">
        <v>17</v>
      </c>
      <c r="I182" s="7" t="s">
        <v>17</v>
      </c>
      <c r="J182" s="7" t="s">
        <v>678</v>
      </c>
    </row>
    <row r="183" spans="1:10" x14ac:dyDescent="0.25" outlineLevel="2" collapsed="1">
      <c r="A183" s="9" t="s">
        <v>15</v>
      </c>
      <c r="B183" s="9" t="s">
        <v>23</v>
      </c>
      <c r="C183" s="10" t="s">
        <v>574</v>
      </c>
      <c r="D183" s="9"/>
      <c r="E183" s="9" t="s">
        <v>575</v>
      </c>
      <c r="F183" s="9" t="s">
        <v>21</v>
      </c>
      <c r="G183" s="9" t="s">
        <v>15</v>
      </c>
      <c r="H183" s="9" t="s">
        <v>17</v>
      </c>
      <c r="I183" s="9" t="s">
        <v>17</v>
      </c>
      <c r="J183" s="9" t="s">
        <v>576</v>
      </c>
    </row>
    <row r="184" spans="1:10" x14ac:dyDescent="0.25" outlineLevel="2" collapsed="1">
      <c r="A184" s="9" t="s">
        <v>21</v>
      </c>
      <c r="B184" s="9" t="s">
        <v>56</v>
      </c>
      <c r="C184" s="9" t="s">
        <v>17</v>
      </c>
      <c r="D184" s="9"/>
      <c r="E184" s="9" t="s">
        <v>577</v>
      </c>
      <c r="F184" s="9" t="s">
        <v>21</v>
      </c>
      <c r="G184" s="9" t="s">
        <v>58</v>
      </c>
      <c r="H184" s="9" t="s">
        <v>17</v>
      </c>
      <c r="I184" s="9" t="s">
        <v>17</v>
      </c>
      <c r="J184" s="9" t="s">
        <v>578</v>
      </c>
    </row>
    <row r="185" spans="1:10" x14ac:dyDescent="0.25" outlineLevel="1" collapsed="1">
      <c r="A185" s="7" t="s">
        <v>15</v>
      </c>
      <c r="B185" s="8" t="s">
        <v>571</v>
      </c>
      <c r="C185" s="7" t="s">
        <v>17</v>
      </c>
      <c r="D185" s="7"/>
      <c r="E185" s="7" t="s">
        <v>679</v>
      </c>
      <c r="F185" s="7" t="s">
        <v>21</v>
      </c>
      <c r="G185" s="7" t="s">
        <v>17</v>
      </c>
      <c r="H185" s="7" t="s">
        <v>17</v>
      </c>
      <c r="I185" s="7" t="s">
        <v>17</v>
      </c>
      <c r="J185" s="7" t="s">
        <v>680</v>
      </c>
    </row>
    <row r="186" spans="1:10" x14ac:dyDescent="0.25" outlineLevel="2" collapsed="1">
      <c r="A186" s="9" t="s">
        <v>15</v>
      </c>
      <c r="B186" s="9" t="s">
        <v>23</v>
      </c>
      <c r="C186" s="10" t="s">
        <v>574</v>
      </c>
      <c r="D186" s="9"/>
      <c r="E186" s="9" t="s">
        <v>575</v>
      </c>
      <c r="F186" s="9" t="s">
        <v>21</v>
      </c>
      <c r="G186" s="9" t="s">
        <v>15</v>
      </c>
      <c r="H186" s="9" t="s">
        <v>17</v>
      </c>
      <c r="I186" s="9" t="s">
        <v>17</v>
      </c>
      <c r="J186" s="9" t="s">
        <v>576</v>
      </c>
    </row>
    <row r="187" spans="1:10" x14ac:dyDescent="0.25" outlineLevel="2" collapsed="1">
      <c r="A187" s="9" t="s">
        <v>21</v>
      </c>
      <c r="B187" s="9" t="s">
        <v>56</v>
      </c>
      <c r="C187" s="9" t="s">
        <v>17</v>
      </c>
      <c r="D187" s="9"/>
      <c r="E187" s="9" t="s">
        <v>577</v>
      </c>
      <c r="F187" s="9" t="s">
        <v>21</v>
      </c>
      <c r="G187" s="9" t="s">
        <v>58</v>
      </c>
      <c r="H187" s="9" t="s">
        <v>17</v>
      </c>
      <c r="I187" s="9" t="s">
        <v>17</v>
      </c>
      <c r="J187" s="9" t="s">
        <v>578</v>
      </c>
    </row>
    <row r="188" spans="1:10" x14ac:dyDescent="0.25">
      <c r="A188" s="5" t="s">
        <v>15</v>
      </c>
      <c r="B188" s="6" t="s">
        <v>681</v>
      </c>
      <c r="C188" s="5" t="s">
        <v>17</v>
      </c>
      <c r="D188" s="5"/>
      <c r="E188" s="5" t="s">
        <v>681</v>
      </c>
      <c r="F188" s="5" t="s">
        <v>21</v>
      </c>
      <c r="G188" s="5" t="s">
        <v>682</v>
      </c>
      <c r="H188" s="5" t="s">
        <v>17</v>
      </c>
      <c r="I188" s="5" t="s">
        <v>17</v>
      </c>
      <c r="J188" s="5" t="s">
        <v>683</v>
      </c>
    </row>
    <row r="189" spans="1:10" x14ac:dyDescent="0.25" outlineLevel="1" collapsed="1">
      <c r="A189" s="7" t="s">
        <v>15</v>
      </c>
      <c r="B189" s="8" t="s">
        <v>571</v>
      </c>
      <c r="C189" s="7" t="s">
        <v>17</v>
      </c>
      <c r="D189" s="7"/>
      <c r="E189" s="7" t="s">
        <v>684</v>
      </c>
      <c r="F189" s="7" t="s">
        <v>21</v>
      </c>
      <c r="G189" s="7" t="s">
        <v>17</v>
      </c>
      <c r="H189" s="7" t="s">
        <v>17</v>
      </c>
      <c r="I189" s="7" t="s">
        <v>17</v>
      </c>
      <c r="J189" s="7" t="s">
        <v>685</v>
      </c>
    </row>
    <row r="190" spans="1:10" x14ac:dyDescent="0.25" outlineLevel="2" collapsed="1">
      <c r="A190" s="9" t="s">
        <v>15</v>
      </c>
      <c r="B190" s="9" t="s">
        <v>23</v>
      </c>
      <c r="C190" s="10" t="s">
        <v>574</v>
      </c>
      <c r="D190" s="9"/>
      <c r="E190" s="9" t="s">
        <v>575</v>
      </c>
      <c r="F190" s="9" t="s">
        <v>21</v>
      </c>
      <c r="G190" s="9" t="s">
        <v>15</v>
      </c>
      <c r="H190" s="9" t="s">
        <v>17</v>
      </c>
      <c r="I190" s="9" t="s">
        <v>17</v>
      </c>
      <c r="J190" s="9" t="s">
        <v>576</v>
      </c>
    </row>
    <row r="191" spans="1:10" x14ac:dyDescent="0.25" outlineLevel="2" collapsed="1">
      <c r="A191" s="9" t="s">
        <v>21</v>
      </c>
      <c r="B191" s="9" t="s">
        <v>56</v>
      </c>
      <c r="C191" s="9" t="s">
        <v>17</v>
      </c>
      <c r="D191" s="9"/>
      <c r="E191" s="9" t="s">
        <v>577</v>
      </c>
      <c r="F191" s="9" t="s">
        <v>21</v>
      </c>
      <c r="G191" s="9" t="s">
        <v>58</v>
      </c>
      <c r="H191" s="9" t="s">
        <v>17</v>
      </c>
      <c r="I191" s="9" t="s">
        <v>17</v>
      </c>
      <c r="J191" s="9" t="s">
        <v>578</v>
      </c>
    </row>
    <row r="192" spans="1:10" x14ac:dyDescent="0.25" outlineLevel="1" collapsed="1">
      <c r="A192" s="7" t="s">
        <v>15</v>
      </c>
      <c r="B192" s="8" t="s">
        <v>571</v>
      </c>
      <c r="C192" s="7" t="s">
        <v>17</v>
      </c>
      <c r="D192" s="7"/>
      <c r="E192" s="7" t="s">
        <v>686</v>
      </c>
      <c r="F192" s="7" t="s">
        <v>21</v>
      </c>
      <c r="G192" s="7" t="s">
        <v>17</v>
      </c>
      <c r="H192" s="7" t="s">
        <v>17</v>
      </c>
      <c r="I192" s="7" t="s">
        <v>17</v>
      </c>
      <c r="J192" s="7" t="s">
        <v>687</v>
      </c>
    </row>
    <row r="193" spans="1:10" x14ac:dyDescent="0.25" outlineLevel="2" collapsed="1">
      <c r="A193" s="9" t="s">
        <v>15</v>
      </c>
      <c r="B193" s="9" t="s">
        <v>23</v>
      </c>
      <c r="C193" s="10" t="s">
        <v>574</v>
      </c>
      <c r="D193" s="9"/>
      <c r="E193" s="9" t="s">
        <v>575</v>
      </c>
      <c r="F193" s="9" t="s">
        <v>21</v>
      </c>
      <c r="G193" s="9" t="s">
        <v>15</v>
      </c>
      <c r="H193" s="9" t="s">
        <v>17</v>
      </c>
      <c r="I193" s="9" t="s">
        <v>17</v>
      </c>
      <c r="J193" s="9" t="s">
        <v>576</v>
      </c>
    </row>
    <row r="194" spans="1:10" x14ac:dyDescent="0.25" outlineLevel="2" collapsed="1">
      <c r="A194" s="9" t="s">
        <v>21</v>
      </c>
      <c r="B194" s="9" t="s">
        <v>56</v>
      </c>
      <c r="C194" s="9" t="s">
        <v>17</v>
      </c>
      <c r="D194" s="9"/>
      <c r="E194" s="9" t="s">
        <v>577</v>
      </c>
      <c r="F194" s="9" t="s">
        <v>21</v>
      </c>
      <c r="G194" s="9" t="s">
        <v>58</v>
      </c>
      <c r="H194" s="9" t="s">
        <v>17</v>
      </c>
      <c r="I194" s="9" t="s">
        <v>17</v>
      </c>
      <c r="J194" s="9" t="s">
        <v>578</v>
      </c>
    </row>
    <row r="195" spans="1:10" x14ac:dyDescent="0.25" outlineLevel="1" collapsed="1">
      <c r="A195" s="7" t="s">
        <v>15</v>
      </c>
      <c r="B195" s="8" t="s">
        <v>571</v>
      </c>
      <c r="C195" s="7" t="s">
        <v>17</v>
      </c>
      <c r="D195" s="7"/>
      <c r="E195" s="7" t="s">
        <v>688</v>
      </c>
      <c r="F195" s="7" t="s">
        <v>21</v>
      </c>
      <c r="G195" s="7" t="s">
        <v>17</v>
      </c>
      <c r="H195" s="7" t="s">
        <v>17</v>
      </c>
      <c r="I195" s="7" t="s">
        <v>17</v>
      </c>
      <c r="J195" s="7" t="s">
        <v>689</v>
      </c>
    </row>
    <row r="196" spans="1:10" x14ac:dyDescent="0.25" outlineLevel="2" collapsed="1">
      <c r="A196" s="9" t="s">
        <v>15</v>
      </c>
      <c r="B196" s="9" t="s">
        <v>23</v>
      </c>
      <c r="C196" s="10" t="s">
        <v>574</v>
      </c>
      <c r="D196" s="9"/>
      <c r="E196" s="9" t="s">
        <v>575</v>
      </c>
      <c r="F196" s="9" t="s">
        <v>21</v>
      </c>
      <c r="G196" s="9" t="s">
        <v>15</v>
      </c>
      <c r="H196" s="9" t="s">
        <v>17</v>
      </c>
      <c r="I196" s="9" t="s">
        <v>17</v>
      </c>
      <c r="J196" s="9" t="s">
        <v>576</v>
      </c>
    </row>
    <row r="197" spans="1:10" x14ac:dyDescent="0.25" outlineLevel="2" collapsed="1">
      <c r="A197" s="9" t="s">
        <v>21</v>
      </c>
      <c r="B197" s="9" t="s">
        <v>56</v>
      </c>
      <c r="C197" s="9" t="s">
        <v>17</v>
      </c>
      <c r="D197" s="9"/>
      <c r="E197" s="9" t="s">
        <v>577</v>
      </c>
      <c r="F197" s="9" t="s">
        <v>21</v>
      </c>
      <c r="G197" s="9" t="s">
        <v>58</v>
      </c>
      <c r="H197" s="9" t="s">
        <v>17</v>
      </c>
      <c r="I197" s="9" t="s">
        <v>17</v>
      </c>
      <c r="J197" s="9" t="s">
        <v>578</v>
      </c>
    </row>
    <row r="198" spans="1:10" x14ac:dyDescent="0.25" outlineLevel="1" collapsed="1">
      <c r="A198" s="7" t="s">
        <v>15</v>
      </c>
      <c r="B198" s="8" t="s">
        <v>571</v>
      </c>
      <c r="C198" s="7" t="s">
        <v>17</v>
      </c>
      <c r="D198" s="7"/>
      <c r="E198" s="7" t="s">
        <v>690</v>
      </c>
      <c r="F198" s="7" t="s">
        <v>21</v>
      </c>
      <c r="G198" s="7" t="s">
        <v>17</v>
      </c>
      <c r="H198" s="7" t="s">
        <v>17</v>
      </c>
      <c r="I198" s="7" t="s">
        <v>17</v>
      </c>
      <c r="J198" s="7" t="s">
        <v>691</v>
      </c>
    </row>
    <row r="199" spans="1:10" x14ac:dyDescent="0.25" outlineLevel="2" collapsed="1">
      <c r="A199" s="9" t="s">
        <v>15</v>
      </c>
      <c r="B199" s="9" t="s">
        <v>23</v>
      </c>
      <c r="C199" s="10" t="s">
        <v>574</v>
      </c>
      <c r="D199" s="9"/>
      <c r="E199" s="9" t="s">
        <v>575</v>
      </c>
      <c r="F199" s="9" t="s">
        <v>21</v>
      </c>
      <c r="G199" s="9" t="s">
        <v>15</v>
      </c>
      <c r="H199" s="9" t="s">
        <v>17</v>
      </c>
      <c r="I199" s="9" t="s">
        <v>17</v>
      </c>
      <c r="J199" s="9" t="s">
        <v>576</v>
      </c>
    </row>
    <row r="200" spans="1:10" x14ac:dyDescent="0.25" outlineLevel="2" collapsed="1">
      <c r="A200" s="9" t="s">
        <v>21</v>
      </c>
      <c r="B200" s="9" t="s">
        <v>56</v>
      </c>
      <c r="C200" s="9" t="s">
        <v>17</v>
      </c>
      <c r="D200" s="9"/>
      <c r="E200" s="9" t="s">
        <v>577</v>
      </c>
      <c r="F200" s="9" t="s">
        <v>21</v>
      </c>
      <c r="G200" s="9" t="s">
        <v>58</v>
      </c>
      <c r="H200" s="9" t="s">
        <v>17</v>
      </c>
      <c r="I200" s="9" t="s">
        <v>17</v>
      </c>
      <c r="J200" s="9" t="s">
        <v>578</v>
      </c>
    </row>
    <row r="201" spans="1:10" x14ac:dyDescent="0.25" outlineLevel="1" collapsed="1">
      <c r="A201" s="7" t="s">
        <v>15</v>
      </c>
      <c r="B201" s="8" t="s">
        <v>571</v>
      </c>
      <c r="C201" s="7" t="s">
        <v>17</v>
      </c>
      <c r="D201" s="7"/>
      <c r="E201" s="7" t="s">
        <v>692</v>
      </c>
      <c r="F201" s="7" t="s">
        <v>21</v>
      </c>
      <c r="G201" s="7" t="s">
        <v>17</v>
      </c>
      <c r="H201" s="7" t="s">
        <v>17</v>
      </c>
      <c r="I201" s="7" t="s">
        <v>17</v>
      </c>
      <c r="J201" s="7" t="s">
        <v>693</v>
      </c>
    </row>
    <row r="202" spans="1:10" x14ac:dyDescent="0.25" outlineLevel="2" collapsed="1">
      <c r="A202" s="9" t="s">
        <v>15</v>
      </c>
      <c r="B202" s="9" t="s">
        <v>23</v>
      </c>
      <c r="C202" s="10" t="s">
        <v>574</v>
      </c>
      <c r="D202" s="9"/>
      <c r="E202" s="9" t="s">
        <v>575</v>
      </c>
      <c r="F202" s="9" t="s">
        <v>21</v>
      </c>
      <c r="G202" s="9" t="s">
        <v>15</v>
      </c>
      <c r="H202" s="9" t="s">
        <v>17</v>
      </c>
      <c r="I202" s="9" t="s">
        <v>17</v>
      </c>
      <c r="J202" s="9" t="s">
        <v>576</v>
      </c>
    </row>
    <row r="203" spans="1:10" x14ac:dyDescent="0.25" outlineLevel="2" collapsed="1">
      <c r="A203" s="9" t="s">
        <v>21</v>
      </c>
      <c r="B203" s="9" t="s">
        <v>56</v>
      </c>
      <c r="C203" s="9" t="s">
        <v>17</v>
      </c>
      <c r="D203" s="9"/>
      <c r="E203" s="9" t="s">
        <v>577</v>
      </c>
      <c r="F203" s="9" t="s">
        <v>21</v>
      </c>
      <c r="G203" s="9" t="s">
        <v>58</v>
      </c>
      <c r="H203" s="9" t="s">
        <v>17</v>
      </c>
      <c r="I203" s="9" t="s">
        <v>17</v>
      </c>
      <c r="J203" s="9" t="s">
        <v>578</v>
      </c>
    </row>
    <row r="204" spans="1:10" x14ac:dyDescent="0.25" outlineLevel="1" collapsed="1">
      <c r="A204" s="7" t="s">
        <v>15</v>
      </c>
      <c r="B204" s="8" t="s">
        <v>571</v>
      </c>
      <c r="C204" s="7" t="s">
        <v>17</v>
      </c>
      <c r="D204" s="7"/>
      <c r="E204" s="7" t="s">
        <v>694</v>
      </c>
      <c r="F204" s="7" t="s">
        <v>21</v>
      </c>
      <c r="G204" s="7" t="s">
        <v>17</v>
      </c>
      <c r="H204" s="7" t="s">
        <v>17</v>
      </c>
      <c r="I204" s="7" t="s">
        <v>17</v>
      </c>
      <c r="J204" s="7" t="s">
        <v>695</v>
      </c>
    </row>
    <row r="205" spans="1:10" x14ac:dyDescent="0.25" outlineLevel="2" collapsed="1">
      <c r="A205" s="9" t="s">
        <v>15</v>
      </c>
      <c r="B205" s="9" t="s">
        <v>23</v>
      </c>
      <c r="C205" s="10" t="s">
        <v>574</v>
      </c>
      <c r="D205" s="9"/>
      <c r="E205" s="9" t="s">
        <v>575</v>
      </c>
      <c r="F205" s="9" t="s">
        <v>21</v>
      </c>
      <c r="G205" s="9" t="s">
        <v>15</v>
      </c>
      <c r="H205" s="9" t="s">
        <v>17</v>
      </c>
      <c r="I205" s="9" t="s">
        <v>17</v>
      </c>
      <c r="J205" s="9" t="s">
        <v>576</v>
      </c>
    </row>
    <row r="206" spans="1:10" x14ac:dyDescent="0.25" outlineLevel="2" collapsed="1">
      <c r="A206" s="9" t="s">
        <v>21</v>
      </c>
      <c r="B206" s="9" t="s">
        <v>56</v>
      </c>
      <c r="C206" s="9" t="s">
        <v>17</v>
      </c>
      <c r="D206" s="9"/>
      <c r="E206" s="9" t="s">
        <v>577</v>
      </c>
      <c r="F206" s="9" t="s">
        <v>21</v>
      </c>
      <c r="G206" s="9" t="s">
        <v>58</v>
      </c>
      <c r="H206" s="9" t="s">
        <v>17</v>
      </c>
      <c r="I206" s="9" t="s">
        <v>17</v>
      </c>
      <c r="J206" s="9" t="s">
        <v>578</v>
      </c>
    </row>
    <row r="207" spans="1:10" x14ac:dyDescent="0.25" outlineLevel="1" collapsed="1">
      <c r="A207" s="7" t="s">
        <v>15</v>
      </c>
      <c r="B207" s="8" t="s">
        <v>571</v>
      </c>
      <c r="C207" s="7" t="s">
        <v>17</v>
      </c>
      <c r="D207" s="7"/>
      <c r="E207" s="7" t="s">
        <v>696</v>
      </c>
      <c r="F207" s="7" t="s">
        <v>21</v>
      </c>
      <c r="G207" s="7" t="s">
        <v>17</v>
      </c>
      <c r="H207" s="7" t="s">
        <v>17</v>
      </c>
      <c r="I207" s="7" t="s">
        <v>17</v>
      </c>
      <c r="J207" s="7" t="s">
        <v>697</v>
      </c>
    </row>
    <row r="208" spans="1:10" x14ac:dyDescent="0.25" outlineLevel="2" collapsed="1">
      <c r="A208" s="9" t="s">
        <v>15</v>
      </c>
      <c r="B208" s="9" t="s">
        <v>23</v>
      </c>
      <c r="C208" s="10" t="s">
        <v>574</v>
      </c>
      <c r="D208" s="9"/>
      <c r="E208" s="9" t="s">
        <v>575</v>
      </c>
      <c r="F208" s="9" t="s">
        <v>21</v>
      </c>
      <c r="G208" s="9" t="s">
        <v>15</v>
      </c>
      <c r="H208" s="9" t="s">
        <v>17</v>
      </c>
      <c r="I208" s="9" t="s">
        <v>17</v>
      </c>
      <c r="J208" s="9" t="s">
        <v>576</v>
      </c>
    </row>
    <row r="209" spans="1:10" x14ac:dyDescent="0.25" outlineLevel="2" collapsed="1">
      <c r="A209" s="9" t="s">
        <v>21</v>
      </c>
      <c r="B209" s="9" t="s">
        <v>56</v>
      </c>
      <c r="C209" s="9" t="s">
        <v>17</v>
      </c>
      <c r="D209" s="9"/>
      <c r="E209" s="9" t="s">
        <v>577</v>
      </c>
      <c r="F209" s="9" t="s">
        <v>21</v>
      </c>
      <c r="G209" s="9" t="s">
        <v>58</v>
      </c>
      <c r="H209" s="9" t="s">
        <v>17</v>
      </c>
      <c r="I209" s="9" t="s">
        <v>17</v>
      </c>
      <c r="J209" s="9" t="s">
        <v>578</v>
      </c>
    </row>
    <row r="210" spans="1:10" x14ac:dyDescent="0.25" outlineLevel="1" collapsed="1">
      <c r="A210" s="7" t="s">
        <v>15</v>
      </c>
      <c r="B210" s="8" t="s">
        <v>571</v>
      </c>
      <c r="C210" s="7" t="s">
        <v>17</v>
      </c>
      <c r="D210" s="7"/>
      <c r="E210" s="7" t="s">
        <v>698</v>
      </c>
      <c r="F210" s="7" t="s">
        <v>21</v>
      </c>
      <c r="G210" s="7" t="s">
        <v>17</v>
      </c>
      <c r="H210" s="7" t="s">
        <v>17</v>
      </c>
      <c r="I210" s="7" t="s">
        <v>17</v>
      </c>
      <c r="J210" s="7" t="s">
        <v>699</v>
      </c>
    </row>
    <row r="211" spans="1:10" x14ac:dyDescent="0.25" outlineLevel="2" collapsed="1">
      <c r="A211" s="9" t="s">
        <v>15</v>
      </c>
      <c r="B211" s="9" t="s">
        <v>23</v>
      </c>
      <c r="C211" s="10" t="s">
        <v>574</v>
      </c>
      <c r="D211" s="9"/>
      <c r="E211" s="9" t="s">
        <v>575</v>
      </c>
      <c r="F211" s="9" t="s">
        <v>21</v>
      </c>
      <c r="G211" s="9" t="s">
        <v>15</v>
      </c>
      <c r="H211" s="9" t="s">
        <v>17</v>
      </c>
      <c r="I211" s="9" t="s">
        <v>17</v>
      </c>
      <c r="J211" s="9" t="s">
        <v>576</v>
      </c>
    </row>
    <row r="212" spans="1:10" x14ac:dyDescent="0.25" outlineLevel="2" collapsed="1">
      <c r="A212" s="9" t="s">
        <v>21</v>
      </c>
      <c r="B212" s="9" t="s">
        <v>56</v>
      </c>
      <c r="C212" s="9" t="s">
        <v>17</v>
      </c>
      <c r="D212" s="9"/>
      <c r="E212" s="9" t="s">
        <v>577</v>
      </c>
      <c r="F212" s="9" t="s">
        <v>21</v>
      </c>
      <c r="G212" s="9" t="s">
        <v>58</v>
      </c>
      <c r="H212" s="9" t="s">
        <v>17</v>
      </c>
      <c r="I212" s="9" t="s">
        <v>17</v>
      </c>
      <c r="J212" s="9" t="s">
        <v>578</v>
      </c>
    </row>
    <row r="213" spans="1:10" x14ac:dyDescent="0.25" outlineLevel="1" collapsed="1">
      <c r="A213" s="7" t="s">
        <v>15</v>
      </c>
      <c r="B213" s="8" t="s">
        <v>571</v>
      </c>
      <c r="C213" s="7" t="s">
        <v>17</v>
      </c>
      <c r="D213" s="7"/>
      <c r="E213" s="7" t="s">
        <v>700</v>
      </c>
      <c r="F213" s="7" t="s">
        <v>21</v>
      </c>
      <c r="G213" s="7" t="s">
        <v>17</v>
      </c>
      <c r="H213" s="7" t="s">
        <v>17</v>
      </c>
      <c r="I213" s="7" t="s">
        <v>17</v>
      </c>
      <c r="J213" s="7" t="s">
        <v>701</v>
      </c>
    </row>
    <row r="214" spans="1:10" x14ac:dyDescent="0.25" outlineLevel="2" collapsed="1">
      <c r="A214" s="9" t="s">
        <v>15</v>
      </c>
      <c r="B214" s="9" t="s">
        <v>23</v>
      </c>
      <c r="C214" s="10" t="s">
        <v>574</v>
      </c>
      <c r="D214" s="9"/>
      <c r="E214" s="9" t="s">
        <v>575</v>
      </c>
      <c r="F214" s="9" t="s">
        <v>21</v>
      </c>
      <c r="G214" s="9" t="s">
        <v>15</v>
      </c>
      <c r="H214" s="9" t="s">
        <v>17</v>
      </c>
      <c r="I214" s="9" t="s">
        <v>17</v>
      </c>
      <c r="J214" s="9" t="s">
        <v>576</v>
      </c>
    </row>
    <row r="215" spans="1:10" x14ac:dyDescent="0.25" outlineLevel="2" collapsed="1">
      <c r="A215" s="9" t="s">
        <v>21</v>
      </c>
      <c r="B215" s="9" t="s">
        <v>56</v>
      </c>
      <c r="C215" s="9" t="s">
        <v>17</v>
      </c>
      <c r="D215" s="9"/>
      <c r="E215" s="9" t="s">
        <v>577</v>
      </c>
      <c r="F215" s="9" t="s">
        <v>21</v>
      </c>
      <c r="G215" s="9" t="s">
        <v>58</v>
      </c>
      <c r="H215" s="9" t="s">
        <v>17</v>
      </c>
      <c r="I215" s="9" t="s">
        <v>17</v>
      </c>
      <c r="J215" s="9" t="s">
        <v>578</v>
      </c>
    </row>
    <row r="216" spans="1:10" x14ac:dyDescent="0.25" outlineLevel="1" collapsed="1">
      <c r="A216" s="7" t="s">
        <v>15</v>
      </c>
      <c r="B216" s="8" t="s">
        <v>571</v>
      </c>
      <c r="C216" s="7" t="s">
        <v>17</v>
      </c>
      <c r="D216" s="7"/>
      <c r="E216" s="7" t="s">
        <v>702</v>
      </c>
      <c r="F216" s="7" t="s">
        <v>21</v>
      </c>
      <c r="G216" s="7" t="s">
        <v>17</v>
      </c>
      <c r="H216" s="7" t="s">
        <v>17</v>
      </c>
      <c r="I216" s="7" t="s">
        <v>17</v>
      </c>
      <c r="J216" s="7" t="s">
        <v>703</v>
      </c>
    </row>
    <row r="217" spans="1:10" x14ac:dyDescent="0.25" outlineLevel="2" collapsed="1">
      <c r="A217" s="9" t="s">
        <v>15</v>
      </c>
      <c r="B217" s="9" t="s">
        <v>23</v>
      </c>
      <c r="C217" s="10" t="s">
        <v>574</v>
      </c>
      <c r="D217" s="9"/>
      <c r="E217" s="9" t="s">
        <v>575</v>
      </c>
      <c r="F217" s="9" t="s">
        <v>21</v>
      </c>
      <c r="G217" s="9" t="s">
        <v>15</v>
      </c>
      <c r="H217" s="9" t="s">
        <v>17</v>
      </c>
      <c r="I217" s="9" t="s">
        <v>17</v>
      </c>
      <c r="J217" s="9" t="s">
        <v>576</v>
      </c>
    </row>
    <row r="218" spans="1:10" x14ac:dyDescent="0.25" outlineLevel="2" collapsed="1">
      <c r="A218" s="9" t="s">
        <v>21</v>
      </c>
      <c r="B218" s="9" t="s">
        <v>56</v>
      </c>
      <c r="C218" s="9" t="s">
        <v>17</v>
      </c>
      <c r="D218" s="9"/>
      <c r="E218" s="9" t="s">
        <v>577</v>
      </c>
      <c r="F218" s="9" t="s">
        <v>21</v>
      </c>
      <c r="G218" s="9" t="s">
        <v>58</v>
      </c>
      <c r="H218" s="9" t="s">
        <v>17</v>
      </c>
      <c r="I218" s="9" t="s">
        <v>17</v>
      </c>
      <c r="J218" s="9" t="s">
        <v>578</v>
      </c>
    </row>
    <row r="219" spans="1:10" x14ac:dyDescent="0.25" outlineLevel="1" collapsed="1">
      <c r="A219" s="7" t="s">
        <v>15</v>
      </c>
      <c r="B219" s="8" t="s">
        <v>571</v>
      </c>
      <c r="C219" s="7" t="s">
        <v>17</v>
      </c>
      <c r="D219" s="7"/>
      <c r="E219" s="7" t="s">
        <v>704</v>
      </c>
      <c r="F219" s="7" t="s">
        <v>21</v>
      </c>
      <c r="G219" s="7" t="s">
        <v>17</v>
      </c>
      <c r="H219" s="7" t="s">
        <v>17</v>
      </c>
      <c r="I219" s="7" t="s">
        <v>17</v>
      </c>
      <c r="J219" s="7" t="s">
        <v>705</v>
      </c>
    </row>
    <row r="220" spans="1:10" x14ac:dyDescent="0.25" outlineLevel="2" collapsed="1">
      <c r="A220" s="9" t="s">
        <v>15</v>
      </c>
      <c r="B220" s="9" t="s">
        <v>23</v>
      </c>
      <c r="C220" s="10" t="s">
        <v>574</v>
      </c>
      <c r="D220" s="9"/>
      <c r="E220" s="9" t="s">
        <v>575</v>
      </c>
      <c r="F220" s="9" t="s">
        <v>21</v>
      </c>
      <c r="G220" s="9" t="s">
        <v>15</v>
      </c>
      <c r="H220" s="9" t="s">
        <v>17</v>
      </c>
      <c r="I220" s="9" t="s">
        <v>17</v>
      </c>
      <c r="J220" s="9" t="s">
        <v>576</v>
      </c>
    </row>
    <row r="221" spans="1:10" x14ac:dyDescent="0.25" outlineLevel="2" collapsed="1">
      <c r="A221" s="9" t="s">
        <v>21</v>
      </c>
      <c r="B221" s="9" t="s">
        <v>56</v>
      </c>
      <c r="C221" s="9" t="s">
        <v>17</v>
      </c>
      <c r="D221" s="9"/>
      <c r="E221" s="9" t="s">
        <v>577</v>
      </c>
      <c r="F221" s="9" t="s">
        <v>21</v>
      </c>
      <c r="G221" s="9" t="s">
        <v>58</v>
      </c>
      <c r="H221" s="9" t="s">
        <v>17</v>
      </c>
      <c r="I221" s="9" t="s">
        <v>17</v>
      </c>
      <c r="J221" s="9" t="s">
        <v>578</v>
      </c>
    </row>
    <row r="222" spans="1:10" x14ac:dyDescent="0.25" outlineLevel="1" collapsed="1">
      <c r="A222" s="7" t="s">
        <v>15</v>
      </c>
      <c r="B222" s="8" t="s">
        <v>571</v>
      </c>
      <c r="C222" s="7" t="s">
        <v>17</v>
      </c>
      <c r="D222" s="7"/>
      <c r="E222" s="7" t="s">
        <v>706</v>
      </c>
      <c r="F222" s="7" t="s">
        <v>21</v>
      </c>
      <c r="G222" s="7" t="s">
        <v>17</v>
      </c>
      <c r="H222" s="7" t="s">
        <v>17</v>
      </c>
      <c r="I222" s="7" t="s">
        <v>17</v>
      </c>
      <c r="J222" s="7" t="s">
        <v>707</v>
      </c>
    </row>
    <row r="223" spans="1:10" x14ac:dyDescent="0.25" outlineLevel="2" collapsed="1">
      <c r="A223" s="9" t="s">
        <v>15</v>
      </c>
      <c r="B223" s="9" t="s">
        <v>23</v>
      </c>
      <c r="C223" s="10" t="s">
        <v>574</v>
      </c>
      <c r="D223" s="9"/>
      <c r="E223" s="9" t="s">
        <v>575</v>
      </c>
      <c r="F223" s="9" t="s">
        <v>21</v>
      </c>
      <c r="G223" s="9" t="s">
        <v>15</v>
      </c>
      <c r="H223" s="9" t="s">
        <v>17</v>
      </c>
      <c r="I223" s="9" t="s">
        <v>17</v>
      </c>
      <c r="J223" s="9" t="s">
        <v>576</v>
      </c>
    </row>
    <row r="224" spans="1:10" x14ac:dyDescent="0.25" outlineLevel="2" collapsed="1">
      <c r="A224" s="9" t="s">
        <v>21</v>
      </c>
      <c r="B224" s="9" t="s">
        <v>56</v>
      </c>
      <c r="C224" s="9" t="s">
        <v>17</v>
      </c>
      <c r="D224" s="9"/>
      <c r="E224" s="9" t="s">
        <v>577</v>
      </c>
      <c r="F224" s="9" t="s">
        <v>21</v>
      </c>
      <c r="G224" s="9" t="s">
        <v>58</v>
      </c>
      <c r="H224" s="9" t="s">
        <v>17</v>
      </c>
      <c r="I224" s="9" t="s">
        <v>17</v>
      </c>
      <c r="J224" s="9" t="s">
        <v>578</v>
      </c>
    </row>
    <row r="225" spans="1:10" x14ac:dyDescent="0.25" outlineLevel="1" collapsed="1">
      <c r="A225" s="7" t="s">
        <v>15</v>
      </c>
      <c r="B225" s="8" t="s">
        <v>571</v>
      </c>
      <c r="C225" s="7" t="s">
        <v>17</v>
      </c>
      <c r="D225" s="7"/>
      <c r="E225" s="7" t="s">
        <v>708</v>
      </c>
      <c r="F225" s="7" t="s">
        <v>21</v>
      </c>
      <c r="G225" s="7" t="s">
        <v>17</v>
      </c>
      <c r="H225" s="7" t="s">
        <v>17</v>
      </c>
      <c r="I225" s="7" t="s">
        <v>17</v>
      </c>
      <c r="J225" s="7" t="s">
        <v>709</v>
      </c>
    </row>
    <row r="226" spans="1:10" x14ac:dyDescent="0.25" outlineLevel="2" collapsed="1">
      <c r="A226" s="9" t="s">
        <v>15</v>
      </c>
      <c r="B226" s="9" t="s">
        <v>23</v>
      </c>
      <c r="C226" s="10" t="s">
        <v>574</v>
      </c>
      <c r="D226" s="9"/>
      <c r="E226" s="9" t="s">
        <v>575</v>
      </c>
      <c r="F226" s="9" t="s">
        <v>21</v>
      </c>
      <c r="G226" s="9" t="s">
        <v>15</v>
      </c>
      <c r="H226" s="9" t="s">
        <v>17</v>
      </c>
      <c r="I226" s="9" t="s">
        <v>17</v>
      </c>
      <c r="J226" s="9" t="s">
        <v>576</v>
      </c>
    </row>
    <row r="227" spans="1:10" x14ac:dyDescent="0.25" outlineLevel="2" collapsed="1">
      <c r="A227" s="9" t="s">
        <v>21</v>
      </c>
      <c r="B227" s="9" t="s">
        <v>56</v>
      </c>
      <c r="C227" s="9" t="s">
        <v>17</v>
      </c>
      <c r="D227" s="9"/>
      <c r="E227" s="9" t="s">
        <v>577</v>
      </c>
      <c r="F227" s="9" t="s">
        <v>21</v>
      </c>
      <c r="G227" s="9" t="s">
        <v>58</v>
      </c>
      <c r="H227" s="9" t="s">
        <v>17</v>
      </c>
      <c r="I227" s="9" t="s">
        <v>17</v>
      </c>
      <c r="J227" s="9" t="s">
        <v>578</v>
      </c>
    </row>
  </sheetData>
  <mergeCells count="3">
    <mergeCell ref="A1:J1"/>
    <mergeCell ref="B2:J2"/>
    <mergeCell ref="B3:J3"/>
  </mergeCells>
  <dataValidations count="51">
    <dataValidation type="list" allowBlank="1" sqref="G10:I10">
      <formula1>'Project Status (enum)'!A4:A7</formula1>
    </dataValidation>
    <dataValidation type="list" allowBlank="1" sqref="G100:I100">
      <formula1>'Yes or No (enum)'!A4:A5</formula1>
    </dataValidation>
    <dataValidation type="list" allowBlank="1" sqref="G103:I103">
      <formula1>'Yes or No (enum)'!A4:A5</formula1>
    </dataValidation>
    <dataValidation type="list" allowBlank="1" sqref="G106:I106">
      <formula1>'Yes or No (enum)'!A4:A5</formula1>
    </dataValidation>
    <dataValidation type="list" allowBlank="1" sqref="G109:I109">
      <formula1>'Yes or No (enum)'!A4:A5</formula1>
    </dataValidation>
    <dataValidation type="list" allowBlank="1" sqref="G112:I112">
      <formula1>'Yes or No (enum)'!A4:A5</formula1>
    </dataValidation>
    <dataValidation type="list" allowBlank="1" sqref="G115:I115">
      <formula1>'Yes or No (enum)'!A4:A5</formula1>
    </dataValidation>
    <dataValidation type="list" allowBlank="1" sqref="G12:I12">
      <formula1>'Project Scale (enum)'!A4:A6</formula1>
    </dataValidation>
    <dataValidation type="list" allowBlank="1" sqref="G132:I132">
      <formula1>'Type of crediting perio (enum)'!A4:A5</formula1>
    </dataValidation>
    <dataValidation type="list" allowBlank="1" sqref="G136:I136">
      <formula1>'Yes or No (enum)'!A4:A5</formula1>
    </dataValidation>
    <dataValidation type="list" allowBlank="1" sqref="G139:I139">
      <formula1>'Yes or No (enum)'!A4:A5</formula1>
    </dataValidation>
    <dataValidation type="list" allowBlank="1" sqref="G142:I142">
      <formula1>'Yes or No (enum)'!A4:A5</formula1>
    </dataValidation>
    <dataValidation type="list" allowBlank="1" sqref="G145:I145">
      <formula1>'Yes or No (enum)'!A4:A5</formula1>
    </dataValidation>
    <dataValidation type="list" allowBlank="1" sqref="G148:I148">
      <formula1>'Yes or No (enum)'!A4:A5</formula1>
    </dataValidation>
    <dataValidation type="list" allowBlank="1" sqref="G15:I15">
      <formula1>'Select the SDG (enum)'!A4:A20</formula1>
    </dataValidation>
    <dataValidation type="list" allowBlank="1" sqref="G151:I151">
      <formula1>'Yes or No (enum)'!A4:A5</formula1>
    </dataValidation>
    <dataValidation type="list" allowBlank="1" sqref="G154:I154">
      <formula1>'Yes or No (enum)'!A4:A5</formula1>
    </dataValidation>
    <dataValidation type="list" allowBlank="1" sqref="G157:I157">
      <formula1>'Yes or No (enum)'!A4:A5</formula1>
    </dataValidation>
    <dataValidation type="list" allowBlank="1" sqref="G161:I161">
      <formula1>'Yes or No (enum)'!A4:A5</formula1>
    </dataValidation>
    <dataValidation type="list" allowBlank="1" sqref="G164:I164">
      <formula1>'Yes or No (enum)'!A4:A5</formula1>
    </dataValidation>
    <dataValidation type="list" allowBlank="1" sqref="G167:I167">
      <formula1>'Yes or No (enum)'!A4:A5</formula1>
    </dataValidation>
    <dataValidation type="list" allowBlank="1" sqref="G170:I170">
      <formula1>'Yes or No (enum)'!A4:A5</formula1>
    </dataValidation>
    <dataValidation type="list" allowBlank="1" sqref="G174:I174">
      <formula1>'Yes or No (enum)'!A4:A5</formula1>
    </dataValidation>
    <dataValidation type="list" allowBlank="1" sqref="G177:I177">
      <formula1>'Yes or No (enum)'!A4:A5</formula1>
    </dataValidation>
    <dataValidation type="list" allowBlank="1" sqref="G180:I180">
      <formula1>'Yes or No (enum)'!A4:A5</formula1>
    </dataValidation>
    <dataValidation type="list" allowBlank="1" sqref="G183:I183">
      <formula1>'Yes or No (enum)'!A4:A5</formula1>
    </dataValidation>
    <dataValidation type="list" allowBlank="1" sqref="G186:I186">
      <formula1>'Yes or No (enum)'!A4:A5</formula1>
    </dataValidation>
    <dataValidation type="list" allowBlank="1" sqref="G190:I190">
      <formula1>'Yes or No (enum)'!A4:A5</formula1>
    </dataValidation>
    <dataValidation type="list" allowBlank="1" sqref="G193:I193">
      <formula1>'Yes or No (enum)'!A4:A5</formula1>
    </dataValidation>
    <dataValidation type="list" allowBlank="1" sqref="G196:I196">
      <formula1>'Yes or No (enum)'!A4:A5</formula1>
    </dataValidation>
    <dataValidation type="list" allowBlank="1" sqref="G199:I199">
      <formula1>'Yes or No (enum)'!A4:A5</formula1>
    </dataValidation>
    <dataValidation type="list" allowBlank="1" sqref="G20:I20">
      <formula1>'Country 3 (enum)'!A4:A256</formula1>
    </dataValidation>
    <dataValidation type="list" allowBlank="1" sqref="G202:I202">
      <formula1>'Yes or No (enum)'!A4:A5</formula1>
    </dataValidation>
    <dataValidation type="list" allowBlank="1" sqref="G205:I205">
      <formula1>'Yes or No (enum)'!A4:A5</formula1>
    </dataValidation>
    <dataValidation type="list" allowBlank="1" sqref="G208:I208">
      <formula1>'Yes or No (enum)'!A4:A5</formula1>
    </dataValidation>
    <dataValidation type="list" allowBlank="1" sqref="G211:I211">
      <formula1>'Yes or No (enum)'!A4:A5</formula1>
    </dataValidation>
    <dataValidation type="list" allowBlank="1" sqref="G214:I214">
      <formula1>'Yes or No (enum)'!A4:A5</formula1>
    </dataValidation>
    <dataValidation type="list" allowBlank="1" sqref="G217:I217">
      <formula1>'Yes or No (enum)'!A4:A5</formula1>
    </dataValidation>
    <dataValidation type="list" allowBlank="1" sqref="G220:I220">
      <formula1>'Yes or No (enum)'!A4:A5</formula1>
    </dataValidation>
    <dataValidation type="list" allowBlank="1" sqref="G223:I223">
      <formula1>'Yes or No (enum)'!A4:A5</formula1>
    </dataValidation>
    <dataValidation type="list" allowBlank="1" sqref="G226:I226">
      <formula1>'Yes or No (enum)'!A4:A5</formula1>
    </dataValidation>
    <dataValidation type="list" allowBlank="1" sqref="G24:I24">
      <formula1>'UrbanRural Classificati (enum)'!A4:A5</formula1>
    </dataValidation>
    <dataValidation type="list" allowBlank="1" sqref="G44:I44">
      <formula1>'Treatment Technology Ca (enum)'!A4:A5</formula1>
    </dataValidation>
    <dataValidation type="list" allowBlank="1" sqref="G46:I46">
      <formula1>'Treatment Technology Su (enum)'!A4:A9</formula1>
    </dataValidation>
    <dataValidation type="list" allowBlank="1" sqref="G58:I58">
      <formula1>'Treatment Technology 2 (enum)'!A4:A9</formula1>
    </dataValidation>
    <dataValidation type="list" allowBlank="1" sqref="G82:I82">
      <formula1>'Yes or No (enum)'!A4:A5</formula1>
    </dataValidation>
    <dataValidation type="list" allowBlank="1" sqref="G85:I85">
      <formula1>'Yes or No (enum)'!A4:A5</formula1>
    </dataValidation>
    <dataValidation type="list" allowBlank="1" sqref="G88:I88">
      <formula1>'Yes or No (enum)'!A4:A5</formula1>
    </dataValidation>
    <dataValidation type="list" allowBlank="1" sqref="G91:I91">
      <formula1>'Yes or No (enum)'!A4:A5</formula1>
    </dataValidation>
    <dataValidation type="list" allowBlank="1" sqref="G94:I94">
      <formula1>'Yes or No (enum)'!A4:A5</formula1>
    </dataValidation>
    <dataValidation type="list" allowBlank="1" sqref="G97:I97">
      <formula1>'Yes or No (enum)'!A4:A5</formula1>
    </dataValidation>
  </dataValidations>
  <hyperlinks>
    <hyperlink ref="B6" r:id="rId1" location="#'Project Details'!A1"/>
    <hyperlink ref="C10" r:id="rId2" location="#'Project Status (enum)'!A3"/>
    <hyperlink ref="C12" r:id="rId3" location="#'Project Scale (enum)'!A3"/>
    <hyperlink ref="B14" r:id="rId4" location="#'Contribution of the Project to'!A1"/>
    <hyperlink ref="C15" r:id="rId5" location="#'Select the SDG (enum)'!A3"/>
    <hyperlink ref="B18" r:id="rId6" location="#'Project Location Details'!A1"/>
    <hyperlink ref="B19" r:id="rId7" location="#'Country'!A1"/>
    <hyperlink ref="C20" r:id="rId8" location="#'Country 3 (enum)'!A3"/>
    <hyperlink ref="C24" r:id="rId9" location="#'UrbanRural Classificati (enum)'!A3"/>
    <hyperlink ref="B28" r:id="rId10" location="#'Project Developer Details'!A1"/>
    <hyperlink ref="B37" r:id="rId11" location="#'Project Resource'!A1"/>
    <hyperlink ref="B43" r:id="rId12" location="#'Water Treatment Technology'!A1"/>
    <hyperlink ref="C44" r:id="rId13" location="#'Treatment Technology Ca (enum)'!A3"/>
    <hyperlink ref="B45" r:id="rId14" location="#'Treatment Technology Sub-type'!A1"/>
    <hyperlink ref="C46" r:id="rId15" location="#'Treatment Technology Su (enum)'!A3"/>
    <hyperlink ref="B57" r:id="rId16" location="#'Treatment Technology Sub-ty 2'!A1"/>
    <hyperlink ref="C58" r:id="rId17" location="#'Treatment Technology 2 (enum)'!A3"/>
    <hyperlink ref="B72" r:id="rId18" location="#'If the Project Installation is'!A1"/>
    <hyperlink ref="B80" r:id="rId19" location="#'Technology Eligibility Validat'!A1"/>
    <hyperlink ref="B81" r:id="rId20" location="#'Yes or no with comments'!A1"/>
    <hyperlink ref="C82" r:id="rId21" location="#'Yes or No (enum)'!A3"/>
    <hyperlink ref="B84" r:id="rId22" location="#'Yes or no with comments'!A1"/>
    <hyperlink ref="C85" r:id="rId23" location="#'Yes or No (enum)'!A3"/>
    <hyperlink ref="B87" r:id="rId24" location="#'Yes or no with comments'!A1"/>
    <hyperlink ref="C88" r:id="rId25" location="#'Yes or No (enum)'!A3"/>
    <hyperlink ref="B90" r:id="rId26" location="#'Yes or no with comments'!A1"/>
    <hyperlink ref="C91" r:id="rId27" location="#'Yes or No (enum)'!A3"/>
    <hyperlink ref="B93" r:id="rId28" location="#'Yes or no with comments'!A1"/>
    <hyperlink ref="C94" r:id="rId29" location="#'Yes or No (enum)'!A3"/>
    <hyperlink ref="B96" r:id="rId30" location="#'Yes or no with comments'!A1"/>
    <hyperlink ref="C97" r:id="rId31" location="#'Yes or No (enum)'!A3"/>
    <hyperlink ref="B99" r:id="rId32" location="#'Yes or no with comments'!A1"/>
    <hyperlink ref="C100" r:id="rId33" location="#'Yes or No (enum)'!A3"/>
    <hyperlink ref="B102" r:id="rId34" location="#'Yes or no with comments'!A1"/>
    <hyperlink ref="C103" r:id="rId35" location="#'Yes or No (enum)'!A3"/>
    <hyperlink ref="B105" r:id="rId36" location="#'Yes or no with comments'!A1"/>
    <hyperlink ref="C106" r:id="rId37" location="#'Yes or No (enum)'!A3"/>
    <hyperlink ref="B108" r:id="rId38" location="#'Yes or no with comments'!A1"/>
    <hyperlink ref="C109" r:id="rId39" location="#'Yes or No (enum)'!A3"/>
    <hyperlink ref="B111" r:id="rId40" location="#'Yes or no with comments'!A1"/>
    <hyperlink ref="C112" r:id="rId41" location="#'Yes or No (enum)'!A3"/>
    <hyperlink ref="B114" r:id="rId42" location="#'Yes or no with comments'!A1"/>
    <hyperlink ref="C115" r:id="rId43" location="#'Yes or No (enum)'!A3"/>
    <hyperlink ref="B117" r:id="rId44" location="#'Methodologies and Standardi 2'!A1"/>
    <hyperlink ref="B120" r:id="rId45" location="#'Baseline Emission'!A1"/>
    <hyperlink ref="B123" r:id="rId46" location="#'Estimated Net Emission Reducti'!A1"/>
    <hyperlink ref="B129" r:id="rId47" location="#'Project Crediting Period'!A1"/>
    <hyperlink ref="C132" r:id="rId48" location="#'Type of crediting perio (enum)'!A3"/>
    <hyperlink ref="B134" r:id="rId49" location="#'Baseline Assessment Validation'!A1"/>
    <hyperlink ref="B135" r:id="rId50" location="#'Yes or no with comments'!A1"/>
    <hyperlink ref="C136" r:id="rId51" location="#'Yes or No (enum)'!A3"/>
    <hyperlink ref="B138" r:id="rId52" location="#'Yes or no with comments'!A1"/>
    <hyperlink ref="C139" r:id="rId53" location="#'Yes or No (enum)'!A3"/>
    <hyperlink ref="B141" r:id="rId54" location="#'Yes or no with comments'!A1"/>
    <hyperlink ref="C142" r:id="rId55" location="#'Yes or No (enum)'!A3"/>
    <hyperlink ref="B144" r:id="rId56" location="#'Yes or no with comments'!A1"/>
    <hyperlink ref="C145" r:id="rId57" location="#'Yes or No (enum)'!A3"/>
    <hyperlink ref="B147" r:id="rId58" location="#'Yes or no with comments'!A1"/>
    <hyperlink ref="C148" r:id="rId59" location="#'Yes or No (enum)'!A3"/>
    <hyperlink ref="B150" r:id="rId60" location="#'Yes or no with comments'!A1"/>
    <hyperlink ref="C151" r:id="rId61" location="#'Yes or No (enum)'!A3"/>
    <hyperlink ref="B153" r:id="rId62" location="#'Yes or no with comments'!A1"/>
    <hyperlink ref="C154" r:id="rId63" location="#'Yes or No (enum)'!A3"/>
    <hyperlink ref="B156" r:id="rId64" location="#'Yes or no with comments'!A1"/>
    <hyperlink ref="C157" r:id="rId65" location="#'Yes or No (enum)'!A3"/>
    <hyperlink ref="B159" r:id="rId66" location="#'Project Boundary Validation'!A1"/>
    <hyperlink ref="B160" r:id="rId67" location="#'Yes or no with comments'!A1"/>
    <hyperlink ref="C161" r:id="rId68" location="#'Yes or No (enum)'!A3"/>
    <hyperlink ref="B163" r:id="rId69" location="#'Yes or no with comments'!A1"/>
    <hyperlink ref="C164" r:id="rId70" location="#'Yes or No (enum)'!A3"/>
    <hyperlink ref="B166" r:id="rId71" location="#'Yes or no with comments'!A1"/>
    <hyperlink ref="C167" r:id="rId72" location="#'Yes or No (enum)'!A3"/>
    <hyperlink ref="B169" r:id="rId73" location="#'Yes or no with comments'!A1"/>
    <hyperlink ref="C170" r:id="rId74" location="#'Yes or No (enum)'!A3"/>
    <hyperlink ref="B172" r:id="rId75" location="#'Additionality Validation'!A1"/>
    <hyperlink ref="B173" r:id="rId76" location="#'Yes or no with comments'!A1"/>
    <hyperlink ref="C174" r:id="rId77" location="#'Yes or No (enum)'!A3"/>
    <hyperlink ref="B176" r:id="rId78" location="#'Yes or no with comments'!A1"/>
    <hyperlink ref="C177" r:id="rId79" location="#'Yes or No (enum)'!A3"/>
    <hyperlink ref="B179" r:id="rId80" location="#'Yes or no with comments'!A1"/>
    <hyperlink ref="C180" r:id="rId81" location="#'Yes or No (enum)'!A3"/>
    <hyperlink ref="B182" r:id="rId82" location="#'Yes or no with comments'!A1"/>
    <hyperlink ref="C183" r:id="rId83" location="#'Yes or No (enum)'!A3"/>
    <hyperlink ref="B185" r:id="rId84" location="#'Yes or no with comments'!A1"/>
    <hyperlink ref="C186" r:id="rId85" location="#'Yes or No (enum)'!A3"/>
    <hyperlink ref="B188" r:id="rId86" location="#'Monitoring Plan Validation'!A1"/>
    <hyperlink ref="B189" r:id="rId87" location="#'Yes or no with comments'!A1"/>
    <hyperlink ref="C190" r:id="rId88" location="#'Yes or No (enum)'!A3"/>
    <hyperlink ref="B192" r:id="rId89" location="#'Yes or no with comments'!A1"/>
    <hyperlink ref="C193" r:id="rId90" location="#'Yes or No (enum)'!A3"/>
    <hyperlink ref="B195" r:id="rId91" location="#'Yes or no with comments'!A1"/>
    <hyperlink ref="C196" r:id="rId92" location="#'Yes or No (enum)'!A3"/>
    <hyperlink ref="B198" r:id="rId93" location="#'Yes or no with comments'!A1"/>
    <hyperlink ref="C199" r:id="rId94" location="#'Yes or No (enum)'!A3"/>
    <hyperlink ref="B201" r:id="rId95" location="#'Yes or no with comments'!A1"/>
    <hyperlink ref="C202" r:id="rId96" location="#'Yes or No (enum)'!A3"/>
    <hyperlink ref="B204" r:id="rId97" location="#'Yes or no with comments'!A1"/>
    <hyperlink ref="C205" r:id="rId98" location="#'Yes or No (enum)'!A3"/>
    <hyperlink ref="B207" r:id="rId99" location="#'Yes or no with comments'!A1"/>
    <hyperlink ref="C208" r:id="rId100" location="#'Yes or No (enum)'!A3"/>
    <hyperlink ref="B210" r:id="rId101" location="#'Yes or no with comments'!A1"/>
    <hyperlink ref="C211" r:id="rId102" location="#'Yes or No (enum)'!A3"/>
    <hyperlink ref="B213" r:id="rId103" location="#'Yes or no with comments'!A1"/>
    <hyperlink ref="C214" r:id="rId104" location="#'Yes or No (enum)'!A3"/>
    <hyperlink ref="B216" r:id="rId105" location="#'Yes or no with comments'!A1"/>
    <hyperlink ref="C217" r:id="rId106" location="#'Yes or No (enum)'!A3"/>
    <hyperlink ref="B219" r:id="rId107" location="#'Yes or no with comments'!A1"/>
    <hyperlink ref="C220" r:id="rId108" location="#'Yes or No (enum)'!A3"/>
    <hyperlink ref="B222" r:id="rId109" location="#'Yes or no with comments'!A1"/>
    <hyperlink ref="C223" r:id="rId110" location="#'Yes or No (enum)'!A3"/>
    <hyperlink ref="B225" r:id="rId111" location="#'Yes or no with comments'!A1"/>
    <hyperlink ref="C226" r:id="rId112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711</v>
      </c>
      <c r="C5" s="5" t="s">
        <v>17</v>
      </c>
      <c r="D5" s="5"/>
      <c r="E5" s="5" t="s">
        <v>711</v>
      </c>
      <c r="F5" s="5" t="s">
        <v>21</v>
      </c>
      <c r="G5" s="5" t="s">
        <v>712</v>
      </c>
      <c r="H5" s="5" t="s">
        <v>17</v>
      </c>
      <c r="I5" s="5" t="s">
        <v>17</v>
      </c>
      <c r="J5" s="5" t="s">
        <v>713</v>
      </c>
    </row>
    <row r="6" spans="1:10" x14ac:dyDescent="0.25" outlineLevel="1" collapsed="1">
      <c r="A6" s="9" t="s">
        <v>15</v>
      </c>
      <c r="B6" s="9" t="s">
        <v>26</v>
      </c>
      <c r="C6" s="9" t="s">
        <v>487</v>
      </c>
      <c r="D6" s="9"/>
      <c r="E6" s="9" t="s">
        <v>57</v>
      </c>
      <c r="F6" s="9" t="s">
        <v>21</v>
      </c>
      <c r="G6" s="9" t="s">
        <v>714</v>
      </c>
      <c r="H6" s="9" t="s">
        <v>17</v>
      </c>
      <c r="I6" s="9" t="s">
        <v>17</v>
      </c>
      <c r="J6" s="9" t="s">
        <v>489</v>
      </c>
    </row>
    <row r="7" spans="1:10" x14ac:dyDescent="0.25" outlineLevel="1" collapsed="1">
      <c r="A7" s="9" t="s">
        <v>15</v>
      </c>
      <c r="B7" s="9" t="s">
        <v>23</v>
      </c>
      <c r="C7" s="10" t="s">
        <v>715</v>
      </c>
      <c r="D7" s="9"/>
      <c r="E7" s="9" t="s">
        <v>716</v>
      </c>
      <c r="F7" s="9" t="s">
        <v>21</v>
      </c>
      <c r="G7" s="9" t="s">
        <v>717</v>
      </c>
      <c r="H7" s="9" t="s">
        <v>17</v>
      </c>
      <c r="I7" s="9" t="s">
        <v>17</v>
      </c>
      <c r="J7" s="9" t="s">
        <v>718</v>
      </c>
    </row>
    <row r="8" spans="1:10" x14ac:dyDescent="0.25" outlineLevel="1" collapsed="1">
      <c r="A8" s="9" t="s">
        <v>15</v>
      </c>
      <c r="B8" s="9" t="s">
        <v>26</v>
      </c>
      <c r="C8" s="9" t="s">
        <v>501</v>
      </c>
      <c r="D8" s="9"/>
      <c r="E8" s="9" t="s">
        <v>719</v>
      </c>
      <c r="F8" s="9" t="s">
        <v>21</v>
      </c>
      <c r="G8" s="9" t="s">
        <v>720</v>
      </c>
      <c r="H8" s="9" t="s">
        <v>17</v>
      </c>
      <c r="I8" s="9" t="s">
        <v>17</v>
      </c>
      <c r="J8" s="9" t="s">
        <v>721</v>
      </c>
    </row>
    <row r="9" spans="1:10" x14ac:dyDescent="0.25" outlineLevel="1" collapsed="1">
      <c r="A9" s="9" t="s">
        <v>15</v>
      </c>
      <c r="B9" s="9" t="s">
        <v>26</v>
      </c>
      <c r="C9" s="9" t="s">
        <v>75</v>
      </c>
      <c r="D9" s="9"/>
      <c r="E9" s="9" t="s">
        <v>76</v>
      </c>
      <c r="F9" s="9" t="s">
        <v>21</v>
      </c>
      <c r="G9" s="9" t="s">
        <v>722</v>
      </c>
      <c r="H9" s="9" t="s">
        <v>17</v>
      </c>
      <c r="I9" s="9" t="s">
        <v>17</v>
      </c>
      <c r="J9" s="9" t="s">
        <v>78</v>
      </c>
    </row>
    <row r="10" spans="1:10" x14ac:dyDescent="0.25">
      <c r="A10" s="5" t="s">
        <v>15</v>
      </c>
      <c r="B10" s="6" t="s">
        <v>723</v>
      </c>
      <c r="C10" s="5" t="s">
        <v>17</v>
      </c>
      <c r="D10" s="5"/>
      <c r="E10" s="5" t="s">
        <v>723</v>
      </c>
      <c r="F10" s="5" t="s">
        <v>21</v>
      </c>
      <c r="G10" s="5" t="s">
        <v>724</v>
      </c>
      <c r="H10" s="5" t="s">
        <v>17</v>
      </c>
      <c r="I10" s="5" t="s">
        <v>17</v>
      </c>
      <c r="J10" s="5" t="s">
        <v>725</v>
      </c>
    </row>
    <row r="11" spans="1:10" x14ac:dyDescent="0.25" outlineLevel="1" collapsed="1">
      <c r="A11" s="9" t="s">
        <v>15</v>
      </c>
      <c r="B11" s="9" t="s">
        <v>26</v>
      </c>
      <c r="C11" s="9" t="s">
        <v>507</v>
      </c>
      <c r="D11" s="9"/>
      <c r="E11" s="9" t="s">
        <v>726</v>
      </c>
      <c r="F11" s="9" t="s">
        <v>21</v>
      </c>
      <c r="G11" s="9" t="s">
        <v>727</v>
      </c>
      <c r="H11" s="9" t="s">
        <v>17</v>
      </c>
      <c r="I11" s="9" t="s">
        <v>17</v>
      </c>
      <c r="J11" s="9" t="s">
        <v>728</v>
      </c>
    </row>
    <row r="12" spans="1:10" x14ac:dyDescent="0.25" outlineLevel="1" collapsed="1">
      <c r="A12" s="9" t="s">
        <v>15</v>
      </c>
      <c r="B12" s="9" t="s">
        <v>26</v>
      </c>
      <c r="C12" s="9" t="s">
        <v>507</v>
      </c>
      <c r="D12" s="9"/>
      <c r="E12" s="9" t="s">
        <v>729</v>
      </c>
      <c r="F12" s="9" t="s">
        <v>21</v>
      </c>
      <c r="G12" s="9" t="s">
        <v>730</v>
      </c>
      <c r="H12" s="9" t="s">
        <v>17</v>
      </c>
      <c r="I12" s="9" t="s">
        <v>17</v>
      </c>
      <c r="J12" s="9" t="s">
        <v>731</v>
      </c>
    </row>
    <row r="13" spans="1:10" x14ac:dyDescent="0.25" outlineLevel="1" collapsed="1">
      <c r="A13" s="9" t="s">
        <v>15</v>
      </c>
      <c r="B13" s="9" t="s">
        <v>60</v>
      </c>
      <c r="C13" s="9" t="s">
        <v>17</v>
      </c>
      <c r="D13" s="9"/>
      <c r="E13" s="9" t="s">
        <v>504</v>
      </c>
      <c r="F13" s="9" t="s">
        <v>21</v>
      </c>
      <c r="G13" s="9" t="s">
        <v>62</v>
      </c>
      <c r="H13" s="9" t="s">
        <v>17</v>
      </c>
      <c r="I13" s="9" t="s">
        <v>17</v>
      </c>
      <c r="J13" s="9" t="s">
        <v>506</v>
      </c>
    </row>
    <row r="14" spans="1:10" x14ac:dyDescent="0.25" outlineLevel="1" collapsed="1">
      <c r="A14" s="9" t="s">
        <v>15</v>
      </c>
      <c r="B14" s="9" t="s">
        <v>26</v>
      </c>
      <c r="C14" s="9" t="s">
        <v>512</v>
      </c>
      <c r="D14" s="9"/>
      <c r="E14" s="9" t="s">
        <v>732</v>
      </c>
      <c r="F14" s="9" t="s">
        <v>21</v>
      </c>
      <c r="G14" s="9" t="s">
        <v>733</v>
      </c>
      <c r="H14" s="9" t="s">
        <v>17</v>
      </c>
      <c r="I14" s="9" t="s">
        <v>17</v>
      </c>
      <c r="J14" s="9" t="s">
        <v>734</v>
      </c>
    </row>
    <row r="15" spans="1:10" x14ac:dyDescent="0.25">
      <c r="A15" s="5" t="s">
        <v>15</v>
      </c>
      <c r="B15" s="6" t="s">
        <v>735</v>
      </c>
      <c r="C15" s="5" t="s">
        <v>17</v>
      </c>
      <c r="D15" s="5"/>
      <c r="E15" s="5" t="s">
        <v>735</v>
      </c>
      <c r="F15" s="5" t="s">
        <v>21</v>
      </c>
      <c r="G15" s="5" t="s">
        <v>736</v>
      </c>
      <c r="H15" s="5" t="s">
        <v>17</v>
      </c>
      <c r="I15" s="5" t="s">
        <v>17</v>
      </c>
      <c r="J15" s="5" t="s">
        <v>737</v>
      </c>
    </row>
    <row r="16" spans="1:10" x14ac:dyDescent="0.25" outlineLevel="1" collapsed="1">
      <c r="A16" s="9" t="s">
        <v>15</v>
      </c>
      <c r="B16" s="9" t="s">
        <v>26</v>
      </c>
      <c r="C16" s="9" t="s">
        <v>501</v>
      </c>
      <c r="D16" s="9"/>
      <c r="E16" s="9" t="s">
        <v>86</v>
      </c>
      <c r="F16" s="9" t="s">
        <v>21</v>
      </c>
      <c r="G16" s="9" t="s">
        <v>738</v>
      </c>
      <c r="H16" s="9" t="s">
        <v>17</v>
      </c>
      <c r="I16" s="9" t="s">
        <v>17</v>
      </c>
      <c r="J16" s="9" t="s">
        <v>88</v>
      </c>
    </row>
    <row r="17" spans="1:10" x14ac:dyDescent="0.25" outlineLevel="1" collapsed="1">
      <c r="A17" s="9" t="s">
        <v>15</v>
      </c>
      <c r="B17" s="9" t="s">
        <v>26</v>
      </c>
      <c r="C17" s="9" t="s">
        <v>501</v>
      </c>
      <c r="D17" s="9"/>
      <c r="E17" s="9" t="s">
        <v>739</v>
      </c>
      <c r="F17" s="9" t="s">
        <v>21</v>
      </c>
      <c r="G17" s="9" t="s">
        <v>740</v>
      </c>
      <c r="H17" s="9" t="s">
        <v>17</v>
      </c>
      <c r="I17" s="9" t="s">
        <v>17</v>
      </c>
      <c r="J17" s="9" t="s">
        <v>741</v>
      </c>
    </row>
    <row r="18" spans="1:10" x14ac:dyDescent="0.25">
      <c r="A18" s="5" t="s">
        <v>15</v>
      </c>
      <c r="B18" s="6" t="s">
        <v>742</v>
      </c>
      <c r="C18" s="5" t="s">
        <v>17</v>
      </c>
      <c r="D18" s="5"/>
      <c r="E18" s="5" t="s">
        <v>742</v>
      </c>
      <c r="F18" s="5" t="s">
        <v>21</v>
      </c>
      <c r="G18" s="5" t="s">
        <v>743</v>
      </c>
      <c r="H18" s="5" t="s">
        <v>17</v>
      </c>
      <c r="I18" s="5" t="s">
        <v>17</v>
      </c>
      <c r="J18" s="5" t="s">
        <v>744</v>
      </c>
    </row>
    <row r="19" spans="1:10" x14ac:dyDescent="0.25" outlineLevel="1" collapsed="1">
      <c r="A19" s="9" t="s">
        <v>21</v>
      </c>
      <c r="B19" s="9" t="s">
        <v>175</v>
      </c>
      <c r="C19" s="9" t="s">
        <v>17</v>
      </c>
      <c r="D19" s="9"/>
      <c r="E19" s="9" t="s">
        <v>745</v>
      </c>
      <c r="F19" s="9" t="s">
        <v>15</v>
      </c>
      <c r="G19" s="9" t="s">
        <v>746</v>
      </c>
      <c r="H19" s="9" t="s">
        <v>17</v>
      </c>
      <c r="I19" s="9" t="s">
        <v>17</v>
      </c>
      <c r="J19" s="9" t="s">
        <v>747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'Entity Type (enum)'!A4:A8</formula1>
    </dataValidation>
  </dataValidations>
  <hyperlinks>
    <hyperlink ref="B5" r:id="rId1" location="#'Entity Information'!A1"/>
    <hyperlink ref="C7" r:id="rId2" location="#'Entity Type (enum)'!A3"/>
    <hyperlink ref="B10" r:id="rId3" location="#'Contact Person Details'!A1"/>
    <hyperlink ref="B15" r:id="rId4" location="#'Project Related Information'!A1"/>
    <hyperlink ref="B18" r:id="rId5" location="#'Additional Inform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749</v>
      </c>
      <c r="C5" s="5" t="s">
        <v>17</v>
      </c>
      <c r="D5" s="5"/>
      <c r="E5" s="5" t="s">
        <v>749</v>
      </c>
      <c r="F5" s="5" t="s">
        <v>21</v>
      </c>
      <c r="G5" s="5" t="s">
        <v>750</v>
      </c>
      <c r="H5" s="5" t="s">
        <v>17</v>
      </c>
      <c r="I5" s="5" t="s">
        <v>17</v>
      </c>
      <c r="J5" s="5" t="s">
        <v>84</v>
      </c>
    </row>
    <row r="6" spans="1:10" x14ac:dyDescent="0.25" outlineLevel="1" collapsed="1">
      <c r="A6" s="9" t="s">
        <v>15</v>
      </c>
      <c r="B6" s="9" t="s">
        <v>56</v>
      </c>
      <c r="C6" s="9" t="s">
        <v>17</v>
      </c>
      <c r="D6" s="9"/>
      <c r="E6" s="9" t="s">
        <v>86</v>
      </c>
      <c r="F6" s="9" t="s">
        <v>21</v>
      </c>
      <c r="G6" s="9" t="s">
        <v>58</v>
      </c>
      <c r="H6" s="9" t="s">
        <v>17</v>
      </c>
      <c r="I6" s="9" t="s">
        <v>17</v>
      </c>
      <c r="J6" s="9" t="s">
        <v>88</v>
      </c>
    </row>
    <row r="7" spans="1:10" x14ac:dyDescent="0.25" outlineLevel="1" collapsed="1">
      <c r="A7" s="9" t="s">
        <v>15</v>
      </c>
      <c r="B7" s="9" t="s">
        <v>56</v>
      </c>
      <c r="C7" s="9" t="s">
        <v>17</v>
      </c>
      <c r="D7" s="9"/>
      <c r="E7" s="9" t="s">
        <v>751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752</v>
      </c>
    </row>
    <row r="8" spans="1:10" x14ac:dyDescent="0.25" outlineLevel="1" collapsed="1">
      <c r="A8" s="9" t="s">
        <v>15</v>
      </c>
      <c r="B8" s="9" t="s">
        <v>56</v>
      </c>
      <c r="C8" s="9" t="s">
        <v>17</v>
      </c>
      <c r="D8" s="9"/>
      <c r="E8" s="9" t="s">
        <v>753</v>
      </c>
      <c r="F8" s="9" t="s">
        <v>21</v>
      </c>
      <c r="G8" s="9" t="s">
        <v>754</v>
      </c>
      <c r="H8" s="9" t="s">
        <v>17</v>
      </c>
      <c r="I8" s="9" t="s">
        <v>17</v>
      </c>
      <c r="J8" s="9" t="s">
        <v>755</v>
      </c>
    </row>
    <row r="9" spans="1:10" x14ac:dyDescent="0.25" outlineLevel="1" collapsed="1">
      <c r="A9" s="9" t="s">
        <v>15</v>
      </c>
      <c r="B9" s="9" t="s">
        <v>89</v>
      </c>
      <c r="C9" s="9" t="s">
        <v>17</v>
      </c>
      <c r="D9" s="9"/>
      <c r="E9" s="9" t="s">
        <v>756</v>
      </c>
      <c r="F9" s="9" t="s">
        <v>21</v>
      </c>
      <c r="G9" s="9" t="s">
        <v>757</v>
      </c>
      <c r="H9" s="9" t="s">
        <v>17</v>
      </c>
      <c r="I9" s="9" t="s">
        <v>17</v>
      </c>
      <c r="J9" s="9" t="s">
        <v>758</v>
      </c>
    </row>
    <row r="10" spans="1:10" x14ac:dyDescent="0.25" outlineLevel="1" collapsed="1">
      <c r="A10" s="9" t="s">
        <v>15</v>
      </c>
      <c r="B10" s="9" t="s">
        <v>56</v>
      </c>
      <c r="C10" s="9" t="s">
        <v>17</v>
      </c>
      <c r="D10" s="9"/>
      <c r="E10" s="9" t="s">
        <v>759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760</v>
      </c>
    </row>
    <row r="11" spans="1:10" x14ac:dyDescent="0.25">
      <c r="A11" s="5" t="s">
        <v>15</v>
      </c>
      <c r="B11" s="6" t="s">
        <v>761</v>
      </c>
      <c r="C11" s="5" t="s">
        <v>17</v>
      </c>
      <c r="D11" s="5"/>
      <c r="E11" s="5" t="s">
        <v>761</v>
      </c>
      <c r="F11" s="5" t="s">
        <v>21</v>
      </c>
      <c r="G11" s="5" t="s">
        <v>762</v>
      </c>
      <c r="H11" s="5" t="s">
        <v>17</v>
      </c>
      <c r="I11" s="5" t="s">
        <v>17</v>
      </c>
      <c r="J11" s="5" t="s">
        <v>763</v>
      </c>
    </row>
    <row r="12" spans="1:10" x14ac:dyDescent="0.25" outlineLevel="1" collapsed="1">
      <c r="A12" s="9" t="s">
        <v>15</v>
      </c>
      <c r="B12" s="9" t="s">
        <v>23</v>
      </c>
      <c r="C12" s="10" t="s">
        <v>764</v>
      </c>
      <c r="D12" s="9"/>
      <c r="E12" s="9" t="s">
        <v>761</v>
      </c>
      <c r="F12" s="9" t="s">
        <v>15</v>
      </c>
      <c r="G12" s="9" t="s">
        <v>765</v>
      </c>
      <c r="H12" s="9" t="s">
        <v>17</v>
      </c>
      <c r="I12" s="9" t="s">
        <v>17</v>
      </c>
      <c r="J12" s="9" t="s">
        <v>763</v>
      </c>
    </row>
    <row r="13" spans="1:10" x14ac:dyDescent="0.25" outlineLevel="1" collapsed="1">
      <c r="A13" s="9" t="s">
        <v>15</v>
      </c>
      <c r="B13" s="9" t="s">
        <v>169</v>
      </c>
      <c r="C13" s="9" t="s">
        <v>17</v>
      </c>
      <c r="D13" s="9"/>
      <c r="E13" s="9" t="s">
        <v>766</v>
      </c>
      <c r="F13" s="9" t="s">
        <v>21</v>
      </c>
      <c r="G13" s="9" t="s">
        <v>15</v>
      </c>
      <c r="H13" s="9" t="s">
        <v>17</v>
      </c>
      <c r="I13" s="9" t="s">
        <v>17</v>
      </c>
      <c r="J13" s="9" t="s">
        <v>767</v>
      </c>
    </row>
    <row r="14" spans="1:10" x14ac:dyDescent="0.25" outlineLevel="1" collapsed="1">
      <c r="A14" s="9" t="s">
        <v>15</v>
      </c>
      <c r="B14" s="9" t="s">
        <v>89</v>
      </c>
      <c r="C14" s="9" t="s">
        <v>17</v>
      </c>
      <c r="D14" s="9"/>
      <c r="E14" s="9" t="s">
        <v>768</v>
      </c>
      <c r="F14" s="9" t="s">
        <v>21</v>
      </c>
      <c r="G14" s="9" t="s">
        <v>769</v>
      </c>
      <c r="H14" s="9" t="s">
        <v>17</v>
      </c>
      <c r="I14" s="9" t="s">
        <v>17</v>
      </c>
      <c r="J14" s="9" t="s">
        <v>770</v>
      </c>
    </row>
    <row r="15" spans="1:10" x14ac:dyDescent="0.25" outlineLevel="1" collapsed="1">
      <c r="A15" s="9" t="s">
        <v>15</v>
      </c>
      <c r="B15" s="9" t="s">
        <v>79</v>
      </c>
      <c r="C15" s="9" t="s">
        <v>17</v>
      </c>
      <c r="D15" s="9"/>
      <c r="E15" s="9" t="s">
        <v>771</v>
      </c>
      <c r="F15" s="9" t="s">
        <v>21</v>
      </c>
      <c r="G15" s="9">
        <v>320</v>
      </c>
      <c r="H15" s="9" t="s">
        <v>17</v>
      </c>
      <c r="I15" s="9" t="s">
        <v>17</v>
      </c>
      <c r="J15" s="9" t="s">
        <v>772</v>
      </c>
    </row>
    <row r="16" spans="1:10" x14ac:dyDescent="0.25" outlineLevel="1" collapsed="1">
      <c r="A16" s="9" t="s">
        <v>15</v>
      </c>
      <c r="B16" s="9" t="s">
        <v>79</v>
      </c>
      <c r="C16" s="9" t="s">
        <v>17</v>
      </c>
      <c r="D16" s="9"/>
      <c r="E16" s="9" t="s">
        <v>773</v>
      </c>
      <c r="F16" s="9" t="s">
        <v>21</v>
      </c>
      <c r="G16" s="9">
        <v>30</v>
      </c>
      <c r="H16" s="9" t="s">
        <v>17</v>
      </c>
      <c r="I16" s="9" t="s">
        <v>17</v>
      </c>
      <c r="J16" s="9" t="s">
        <v>774</v>
      </c>
    </row>
    <row r="17" spans="1:10" x14ac:dyDescent="0.25" outlineLevel="1" collapsed="1">
      <c r="A17" s="9" t="s">
        <v>15</v>
      </c>
      <c r="B17" s="9" t="s">
        <v>56</v>
      </c>
      <c r="C17" s="9" t="s">
        <v>17</v>
      </c>
      <c r="D17" s="9"/>
      <c r="E17" s="9" t="s">
        <v>775</v>
      </c>
      <c r="F17" s="9" t="s">
        <v>21</v>
      </c>
      <c r="G17" s="9" t="s">
        <v>776</v>
      </c>
      <c r="H17" s="9" t="s">
        <v>17</v>
      </c>
      <c r="I17" s="9" t="s">
        <v>17</v>
      </c>
      <c r="J17" s="9" t="s">
        <v>777</v>
      </c>
    </row>
    <row r="18" spans="1:10" x14ac:dyDescent="0.25">
      <c r="A18" s="5" t="s">
        <v>15</v>
      </c>
      <c r="B18" s="6" t="s">
        <v>778</v>
      </c>
      <c r="C18" s="5" t="s">
        <v>17</v>
      </c>
      <c r="D18" s="5"/>
      <c r="E18" s="5" t="s">
        <v>778</v>
      </c>
      <c r="F18" s="5" t="s">
        <v>21</v>
      </c>
      <c r="G18" s="5" t="s">
        <v>779</v>
      </c>
      <c r="H18" s="5" t="s">
        <v>17</v>
      </c>
      <c r="I18" s="5" t="s">
        <v>17</v>
      </c>
      <c r="J18" s="5" t="s">
        <v>780</v>
      </c>
    </row>
    <row r="19" spans="1:10" x14ac:dyDescent="0.25" outlineLevel="1" collapsed="1">
      <c r="A19" s="9" t="s">
        <v>15</v>
      </c>
      <c r="B19" s="9" t="s">
        <v>79</v>
      </c>
      <c r="C19" s="9" t="s">
        <v>17</v>
      </c>
      <c r="D19" s="9"/>
      <c r="E19" s="9" t="s">
        <v>781</v>
      </c>
      <c r="F19" s="9" t="s">
        <v>21</v>
      </c>
      <c r="G19" s="9">
        <v>0.85</v>
      </c>
      <c r="H19" s="9" t="s">
        <v>17</v>
      </c>
      <c r="I19" s="9" t="s">
        <v>17</v>
      </c>
      <c r="J19" s="9" t="s">
        <v>782</v>
      </c>
    </row>
    <row r="20" spans="1:10" x14ac:dyDescent="0.25" outlineLevel="1" collapsed="1">
      <c r="A20" s="9" t="s">
        <v>15</v>
      </c>
      <c r="B20" s="9" t="s">
        <v>79</v>
      </c>
      <c r="C20" s="9" t="s">
        <v>17</v>
      </c>
      <c r="D20" s="9"/>
      <c r="E20" s="9" t="s">
        <v>783</v>
      </c>
      <c r="F20" s="9" t="s">
        <v>21</v>
      </c>
      <c r="G20" s="9">
        <v>0.82</v>
      </c>
      <c r="H20" s="9" t="s">
        <v>17</v>
      </c>
      <c r="I20" s="9" t="s">
        <v>17</v>
      </c>
      <c r="J20" s="9" t="s">
        <v>784</v>
      </c>
    </row>
    <row r="21" spans="1:10" x14ac:dyDescent="0.25" outlineLevel="1" collapsed="1">
      <c r="A21" s="9" t="s">
        <v>15</v>
      </c>
      <c r="B21" s="9" t="s">
        <v>56</v>
      </c>
      <c r="C21" s="9" t="s">
        <v>17</v>
      </c>
      <c r="D21" s="9"/>
      <c r="E21" s="9" t="s">
        <v>785</v>
      </c>
      <c r="F21" s="9" t="s">
        <v>21</v>
      </c>
      <c r="G21" s="9" t="s">
        <v>786</v>
      </c>
      <c r="H21" s="9" t="s">
        <v>17</v>
      </c>
      <c r="I21" s="9" t="s">
        <v>17</v>
      </c>
      <c r="J21" s="9" t="s">
        <v>787</v>
      </c>
    </row>
    <row r="22" spans="1:10" x14ac:dyDescent="0.25" outlineLevel="1" collapsed="1">
      <c r="A22" s="9" t="s">
        <v>15</v>
      </c>
      <c r="B22" s="9" t="s">
        <v>56</v>
      </c>
      <c r="C22" s="9" t="s">
        <v>17</v>
      </c>
      <c r="D22" s="9"/>
      <c r="E22" s="9" t="s">
        <v>788</v>
      </c>
      <c r="F22" s="9" t="s">
        <v>21</v>
      </c>
      <c r="G22" s="9" t="s">
        <v>789</v>
      </c>
      <c r="H22" s="9" t="s">
        <v>17</v>
      </c>
      <c r="I22" s="9" t="s">
        <v>17</v>
      </c>
      <c r="J22" s="9" t="s">
        <v>790</v>
      </c>
    </row>
    <row r="23" spans="1:10" x14ac:dyDescent="0.25" outlineLevel="1" collapsed="1">
      <c r="A23" s="9" t="s">
        <v>15</v>
      </c>
      <c r="B23" s="9" t="s">
        <v>79</v>
      </c>
      <c r="C23" s="9" t="s">
        <v>17</v>
      </c>
      <c r="D23" s="9"/>
      <c r="E23" s="9" t="s">
        <v>791</v>
      </c>
      <c r="F23" s="9" t="s">
        <v>21</v>
      </c>
      <c r="G23" s="9">
        <v>0.82</v>
      </c>
      <c r="H23" s="9" t="s">
        <v>17</v>
      </c>
      <c r="I23" s="9" t="s">
        <v>17</v>
      </c>
      <c r="J23" s="9" t="s">
        <v>792</v>
      </c>
    </row>
    <row r="24" spans="1:10" x14ac:dyDescent="0.25" outlineLevel="1" collapsed="1">
      <c r="A24" s="9" t="s">
        <v>21</v>
      </c>
      <c r="B24" s="9" t="s">
        <v>56</v>
      </c>
      <c r="C24" s="9" t="s">
        <v>17</v>
      </c>
      <c r="D24" s="9"/>
      <c r="E24" s="9" t="s">
        <v>577</v>
      </c>
      <c r="F24" s="9" t="s">
        <v>21</v>
      </c>
      <c r="G24" s="9" t="s">
        <v>793</v>
      </c>
      <c r="H24" s="9" t="s">
        <v>17</v>
      </c>
      <c r="I24" s="9" t="s">
        <v>17</v>
      </c>
      <c r="J24" s="9" t="s">
        <v>578</v>
      </c>
    </row>
    <row r="25" spans="1:10" x14ac:dyDescent="0.25">
      <c r="A25" s="5" t="s">
        <v>15</v>
      </c>
      <c r="B25" s="6" t="s">
        <v>794</v>
      </c>
      <c r="C25" s="5" t="s">
        <v>17</v>
      </c>
      <c r="D25" s="5"/>
      <c r="E25" s="5" t="s">
        <v>794</v>
      </c>
      <c r="F25" s="5" t="s">
        <v>21</v>
      </c>
      <c r="G25" s="5" t="s">
        <v>795</v>
      </c>
      <c r="H25" s="5" t="s">
        <v>17</v>
      </c>
      <c r="I25" s="5" t="s">
        <v>17</v>
      </c>
      <c r="J25" s="5" t="s">
        <v>796</v>
      </c>
    </row>
    <row r="26" spans="1:10" x14ac:dyDescent="0.25" outlineLevel="1" collapsed="1">
      <c r="A26" s="9" t="s">
        <v>15</v>
      </c>
      <c r="B26" s="9" t="s">
        <v>79</v>
      </c>
      <c r="C26" s="9" t="s">
        <v>17</v>
      </c>
      <c r="D26" s="9"/>
      <c r="E26" s="9" t="s">
        <v>797</v>
      </c>
      <c r="F26" s="9" t="s">
        <v>21</v>
      </c>
      <c r="G26" s="9">
        <v>1</v>
      </c>
      <c r="H26" s="9" t="s">
        <v>17</v>
      </c>
      <c r="I26" s="9" t="s">
        <v>17</v>
      </c>
      <c r="J26" s="9" t="s">
        <v>798</v>
      </c>
    </row>
    <row r="27" spans="1:10" x14ac:dyDescent="0.25" outlineLevel="1" collapsed="1">
      <c r="A27" s="9" t="s">
        <v>15</v>
      </c>
      <c r="B27" s="9" t="s">
        <v>79</v>
      </c>
      <c r="C27" s="9" t="s">
        <v>17</v>
      </c>
      <c r="D27" s="9"/>
      <c r="E27" s="9" t="s">
        <v>799</v>
      </c>
      <c r="F27" s="9" t="s">
        <v>21</v>
      </c>
      <c r="G27" s="9">
        <v>1</v>
      </c>
      <c r="H27" s="9" t="s">
        <v>17</v>
      </c>
      <c r="I27" s="9" t="s">
        <v>17</v>
      </c>
      <c r="J27" s="9" t="s">
        <v>800</v>
      </c>
    </row>
    <row r="28" spans="1:10" x14ac:dyDescent="0.25" outlineLevel="1" collapsed="1">
      <c r="A28" s="9" t="s">
        <v>15</v>
      </c>
      <c r="B28" s="9" t="s">
        <v>79</v>
      </c>
      <c r="C28" s="9" t="s">
        <v>17</v>
      </c>
      <c r="D28" s="9"/>
      <c r="E28" s="9" t="s">
        <v>801</v>
      </c>
      <c r="F28" s="9" t="s">
        <v>21</v>
      </c>
      <c r="G28" s="9">
        <v>1</v>
      </c>
      <c r="H28" s="9" t="s">
        <v>17</v>
      </c>
      <c r="I28" s="9" t="s">
        <v>17</v>
      </c>
      <c r="J28" s="9" t="s">
        <v>802</v>
      </c>
    </row>
    <row r="29" spans="1:10" x14ac:dyDescent="0.25" outlineLevel="1" collapsed="1">
      <c r="A29" s="9" t="s">
        <v>21</v>
      </c>
      <c r="B29" s="9" t="s">
        <v>79</v>
      </c>
      <c r="C29" s="9" t="s">
        <v>17</v>
      </c>
      <c r="D29" s="9"/>
      <c r="E29" s="9" t="s">
        <v>803</v>
      </c>
      <c r="F29" s="9" t="s">
        <v>21</v>
      </c>
      <c r="G29" s="9" t="s">
        <v>804</v>
      </c>
      <c r="H29" s="9" t="s">
        <v>17</v>
      </c>
      <c r="I29" s="9" t="s">
        <v>17</v>
      </c>
      <c r="J29" s="9" t="s">
        <v>805</v>
      </c>
    </row>
    <row r="30" spans="1:10" x14ac:dyDescent="0.25" outlineLevel="1" collapsed="1">
      <c r="A30" s="9" t="s">
        <v>15</v>
      </c>
      <c r="B30" s="9" t="s">
        <v>79</v>
      </c>
      <c r="C30" s="9" t="s">
        <v>17</v>
      </c>
      <c r="D30" s="9"/>
      <c r="E30" s="9" t="s">
        <v>806</v>
      </c>
      <c r="F30" s="9" t="s">
        <v>21</v>
      </c>
      <c r="G30" s="9">
        <v>1</v>
      </c>
      <c r="H30" s="9" t="s">
        <v>17</v>
      </c>
      <c r="I30" s="9" t="s">
        <v>17</v>
      </c>
      <c r="J30" s="9" t="s">
        <v>807</v>
      </c>
    </row>
    <row r="31" spans="1:10" x14ac:dyDescent="0.25" outlineLevel="1" collapsed="1">
      <c r="A31" s="9" t="s">
        <v>21</v>
      </c>
      <c r="B31" s="9" t="s">
        <v>79</v>
      </c>
      <c r="C31" s="9" t="s">
        <v>17</v>
      </c>
      <c r="D31" s="9"/>
      <c r="E31" s="9" t="s">
        <v>808</v>
      </c>
      <c r="F31" s="9" t="s">
        <v>21</v>
      </c>
      <c r="G31" s="9">
        <v>1</v>
      </c>
      <c r="H31" s="9" t="s">
        <v>17</v>
      </c>
      <c r="I31" s="9" t="s">
        <v>17</v>
      </c>
      <c r="J31" s="9" t="s">
        <v>809</v>
      </c>
    </row>
    <row r="32" spans="1:10" x14ac:dyDescent="0.25" outlineLevel="1" collapsed="1">
      <c r="A32" s="9" t="s">
        <v>15</v>
      </c>
      <c r="B32" s="9" t="s">
        <v>169</v>
      </c>
      <c r="C32" s="9" t="s">
        <v>17</v>
      </c>
      <c r="D32" s="9"/>
      <c r="E32" s="9" t="s">
        <v>810</v>
      </c>
      <c r="F32" s="9" t="s">
        <v>21</v>
      </c>
      <c r="G32" s="9" t="s">
        <v>15</v>
      </c>
      <c r="H32" s="9" t="s">
        <v>17</v>
      </c>
      <c r="I32" s="9" t="s">
        <v>17</v>
      </c>
      <c r="J32" s="9" t="s">
        <v>811</v>
      </c>
    </row>
    <row r="33" spans="1:10" x14ac:dyDescent="0.25" outlineLevel="1" collapsed="1">
      <c r="A33" s="9" t="s">
        <v>15</v>
      </c>
      <c r="B33" s="9" t="s">
        <v>56</v>
      </c>
      <c r="C33" s="9" t="s">
        <v>17</v>
      </c>
      <c r="D33" s="9"/>
      <c r="E33" s="9" t="s">
        <v>812</v>
      </c>
      <c r="F33" s="9" t="s">
        <v>21</v>
      </c>
      <c r="G33" s="9" t="s">
        <v>58</v>
      </c>
      <c r="H33" s="9" t="s">
        <v>17</v>
      </c>
      <c r="I33" s="9" t="s">
        <v>17</v>
      </c>
      <c r="J33" s="9" t="s">
        <v>813</v>
      </c>
    </row>
    <row r="34" spans="1:10" x14ac:dyDescent="0.25" outlineLevel="1" collapsed="1">
      <c r="A34" s="9" t="s">
        <v>15</v>
      </c>
      <c r="B34" s="9" t="s">
        <v>169</v>
      </c>
      <c r="C34" s="9" t="s">
        <v>17</v>
      </c>
      <c r="D34" s="9"/>
      <c r="E34" s="9" t="s">
        <v>814</v>
      </c>
      <c r="F34" s="9" t="s">
        <v>21</v>
      </c>
      <c r="G34" s="9" t="s">
        <v>15</v>
      </c>
      <c r="H34" s="9" t="s">
        <v>17</v>
      </c>
      <c r="I34" s="9" t="s">
        <v>17</v>
      </c>
      <c r="J34" s="9" t="s">
        <v>815</v>
      </c>
    </row>
    <row r="35" spans="1:10" x14ac:dyDescent="0.25" outlineLevel="1" collapsed="1">
      <c r="A35" s="9" t="s">
        <v>15</v>
      </c>
      <c r="B35" s="9" t="s">
        <v>56</v>
      </c>
      <c r="C35" s="9" t="s">
        <v>17</v>
      </c>
      <c r="D35" s="9"/>
      <c r="E35" s="9" t="s">
        <v>816</v>
      </c>
      <c r="F35" s="9" t="s">
        <v>21</v>
      </c>
      <c r="G35" s="9" t="s">
        <v>58</v>
      </c>
      <c r="H35" s="9" t="s">
        <v>17</v>
      </c>
      <c r="I35" s="9" t="s">
        <v>17</v>
      </c>
      <c r="J35" s="9" t="s">
        <v>817</v>
      </c>
    </row>
    <row r="36" spans="1:10" x14ac:dyDescent="0.25" outlineLevel="1" collapsed="1">
      <c r="A36" s="7" t="s">
        <v>15</v>
      </c>
      <c r="B36" s="8" t="s">
        <v>818</v>
      </c>
      <c r="C36" s="7" t="s">
        <v>17</v>
      </c>
      <c r="D36" s="7"/>
      <c r="E36" s="7" t="s">
        <v>818</v>
      </c>
      <c r="F36" s="7" t="s">
        <v>21</v>
      </c>
      <c r="G36" s="7" t="s">
        <v>17</v>
      </c>
      <c r="H36" s="7" t="s">
        <v>17</v>
      </c>
      <c r="I36" s="7" t="s">
        <v>17</v>
      </c>
      <c r="J36" s="7" t="s">
        <v>203</v>
      </c>
    </row>
    <row r="37" spans="1:10" x14ac:dyDescent="0.25" outlineLevel="2" collapsed="1">
      <c r="A37" s="9" t="s">
        <v>15</v>
      </c>
      <c r="B37" s="9" t="s">
        <v>56</v>
      </c>
      <c r="C37" s="9" t="s">
        <v>17</v>
      </c>
      <c r="D37" s="9"/>
      <c r="E37" s="9" t="s">
        <v>819</v>
      </c>
      <c r="F37" s="9" t="s">
        <v>21</v>
      </c>
      <c r="G37" s="9" t="s">
        <v>58</v>
      </c>
      <c r="H37" s="9" t="s">
        <v>17</v>
      </c>
      <c r="I37" s="9" t="s">
        <v>17</v>
      </c>
      <c r="J37" s="9" t="s">
        <v>820</v>
      </c>
    </row>
    <row r="38" spans="1:10" x14ac:dyDescent="0.25" outlineLevel="2" collapsed="1">
      <c r="A38" s="9" t="s">
        <v>15</v>
      </c>
      <c r="B38" s="9" t="s">
        <v>56</v>
      </c>
      <c r="C38" s="9" t="s">
        <v>17</v>
      </c>
      <c r="D38" s="9"/>
      <c r="E38" s="9" t="s">
        <v>821</v>
      </c>
      <c r="F38" s="9" t="s">
        <v>21</v>
      </c>
      <c r="G38" s="9" t="s">
        <v>58</v>
      </c>
      <c r="H38" s="9" t="s">
        <v>17</v>
      </c>
      <c r="I38" s="9" t="s">
        <v>17</v>
      </c>
      <c r="J38" s="9" t="s">
        <v>822</v>
      </c>
    </row>
    <row r="39" spans="1:10" x14ac:dyDescent="0.25" outlineLevel="2" collapsed="1">
      <c r="A39" s="9" t="s">
        <v>15</v>
      </c>
      <c r="B39" s="9" t="s">
        <v>89</v>
      </c>
      <c r="C39" s="9" t="s">
        <v>17</v>
      </c>
      <c r="D39" s="9"/>
      <c r="E39" s="9" t="s">
        <v>823</v>
      </c>
      <c r="F39" s="9" t="s">
        <v>21</v>
      </c>
      <c r="G39" s="9" t="s">
        <v>91</v>
      </c>
      <c r="H39" s="9" t="s">
        <v>17</v>
      </c>
      <c r="I39" s="9" t="s">
        <v>17</v>
      </c>
      <c r="J39" s="9" t="s">
        <v>824</v>
      </c>
    </row>
    <row r="40" spans="1:10" x14ac:dyDescent="0.25">
      <c r="A40" s="5" t="s">
        <v>21</v>
      </c>
      <c r="B40" s="5" t="s">
        <v>56</v>
      </c>
      <c r="C40" s="5" t="s">
        <v>17</v>
      </c>
      <c r="D40" s="5"/>
      <c r="E40" s="5" t="s">
        <v>825</v>
      </c>
      <c r="F40" s="5" t="s">
        <v>21</v>
      </c>
      <c r="G40" s="5" t="s">
        <v>58</v>
      </c>
      <c r="H40" s="5" t="s">
        <v>17</v>
      </c>
      <c r="I40" s="5" t="s">
        <v>17</v>
      </c>
      <c r="J40" s="5" t="s">
        <v>826</v>
      </c>
    </row>
  </sheetData>
  <mergeCells count="3">
    <mergeCell ref="A1:J1"/>
    <mergeCell ref="B2:J2"/>
    <mergeCell ref="B3:J3"/>
  </mergeCells>
  <hyperlinks>
    <hyperlink ref="B5" r:id="rId1" location="#'Basic Details'!A1"/>
    <hyperlink ref="B11" r:id="rId2" location="#'Means of Verification'!A1"/>
    <hyperlink ref="C12" r:id="rId3" location="#'Means of Verificatio 2 (enum)'!A3"/>
    <hyperlink ref="B18" r:id="rId4" location="#'Monitoring Verification'!A1"/>
    <hyperlink ref="B25" r:id="rId5" location="#'Verified Emissions'!A1"/>
    <hyperlink ref="B36" r:id="rId6" location="#'Certification Statemen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21</v>
      </c>
      <c r="B5" s="5" t="s">
        <v>56</v>
      </c>
      <c r="C5" s="5" t="s">
        <v>17</v>
      </c>
      <c r="D5" s="5"/>
      <c r="E5" s="5" t="s">
        <v>216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214</v>
      </c>
    </row>
    <row r="6" spans="1:10" x14ac:dyDescent="0.25">
      <c r="A6" s="5" t="s">
        <v>15</v>
      </c>
      <c r="B6" s="6" t="s">
        <v>828</v>
      </c>
      <c r="C6" s="5" t="s">
        <v>17</v>
      </c>
      <c r="D6" s="5"/>
      <c r="E6" s="5" t="s">
        <v>82</v>
      </c>
      <c r="F6" s="5" t="s">
        <v>21</v>
      </c>
      <c r="G6" s="5" t="s">
        <v>829</v>
      </c>
      <c r="H6" s="5" t="s">
        <v>17</v>
      </c>
      <c r="I6" s="5" t="s">
        <v>17</v>
      </c>
      <c r="J6" s="5" t="s">
        <v>84</v>
      </c>
    </row>
    <row r="7" spans="1:10" x14ac:dyDescent="0.25" outlineLevel="1" collapsed="1">
      <c r="A7" s="9" t="s">
        <v>15</v>
      </c>
      <c r="B7" s="9" t="s">
        <v>26</v>
      </c>
      <c r="C7" s="9" t="s">
        <v>85</v>
      </c>
      <c r="D7" s="9"/>
      <c r="E7" s="9" t="s">
        <v>86</v>
      </c>
      <c r="F7" s="9" t="s">
        <v>21</v>
      </c>
      <c r="G7" s="9" t="s">
        <v>830</v>
      </c>
      <c r="H7" s="9" t="s">
        <v>17</v>
      </c>
      <c r="I7" s="9" t="s">
        <v>17</v>
      </c>
      <c r="J7" s="9" t="s">
        <v>88</v>
      </c>
    </row>
    <row r="8" spans="1:10" x14ac:dyDescent="0.25">
      <c r="A8" s="5" t="s">
        <v>15</v>
      </c>
      <c r="B8" s="6" t="s">
        <v>831</v>
      </c>
      <c r="C8" s="5" t="s">
        <v>17</v>
      </c>
      <c r="D8" s="5"/>
      <c r="E8" s="5" t="s">
        <v>217</v>
      </c>
      <c r="F8" s="5" t="s">
        <v>21</v>
      </c>
      <c r="G8" s="5" t="s">
        <v>832</v>
      </c>
      <c r="H8" s="5" t="s">
        <v>17</v>
      </c>
      <c r="I8" s="5" t="s">
        <v>17</v>
      </c>
      <c r="J8" s="5" t="s">
        <v>833</v>
      </c>
    </row>
    <row r="9" spans="1:10" x14ac:dyDescent="0.25" outlineLevel="1" collapsed="1">
      <c r="A9" s="9" t="s">
        <v>15</v>
      </c>
      <c r="B9" s="9" t="s">
        <v>56</v>
      </c>
      <c r="C9" s="9" t="s">
        <v>17</v>
      </c>
      <c r="D9" s="9"/>
      <c r="E9" s="9" t="s">
        <v>220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203</v>
      </c>
    </row>
    <row r="10" spans="1:10" x14ac:dyDescent="0.25" outlineLevel="1" collapsed="1">
      <c r="A10" s="9" t="s">
        <v>15</v>
      </c>
      <c r="B10" s="9" t="s">
        <v>386</v>
      </c>
      <c r="C10" s="9" t="s">
        <v>17</v>
      </c>
      <c r="D10" s="9"/>
      <c r="E10" s="9" t="s">
        <v>834</v>
      </c>
      <c r="F10" s="9" t="s">
        <v>21</v>
      </c>
      <c r="G10" s="9">
        <v>1</v>
      </c>
      <c r="H10" s="9" t="s">
        <v>17</v>
      </c>
      <c r="I10" s="9" t="s">
        <v>17</v>
      </c>
      <c r="J10" s="9" t="s">
        <v>835</v>
      </c>
    </row>
    <row r="11" spans="1:10" x14ac:dyDescent="0.25" outlineLevel="1" collapsed="1">
      <c r="A11" s="9" t="s">
        <v>15</v>
      </c>
      <c r="B11" s="9" t="s">
        <v>56</v>
      </c>
      <c r="C11" s="9" t="s">
        <v>17</v>
      </c>
      <c r="D11" s="9"/>
      <c r="E11" s="9" t="s">
        <v>836</v>
      </c>
      <c r="F11" s="9" t="s">
        <v>21</v>
      </c>
      <c r="G11" s="9" t="s">
        <v>58</v>
      </c>
      <c r="H11" s="9" t="s">
        <v>17</v>
      </c>
      <c r="I11" s="9" t="s">
        <v>17</v>
      </c>
      <c r="J11" s="9" t="s">
        <v>837</v>
      </c>
    </row>
    <row r="12" spans="1:10" x14ac:dyDescent="0.25" outlineLevel="1" collapsed="1">
      <c r="A12" s="9" t="s">
        <v>15</v>
      </c>
      <c r="B12" s="9" t="s">
        <v>386</v>
      </c>
      <c r="C12" s="9" t="s">
        <v>17</v>
      </c>
      <c r="D12" s="9"/>
      <c r="E12" s="9" t="s">
        <v>838</v>
      </c>
      <c r="F12" s="9" t="s">
        <v>21</v>
      </c>
      <c r="G12" s="9">
        <v>1</v>
      </c>
      <c r="H12" s="9" t="s">
        <v>17</v>
      </c>
      <c r="I12" s="9" t="s">
        <v>17</v>
      </c>
      <c r="J12" s="9" t="s">
        <v>839</v>
      </c>
    </row>
    <row r="13" spans="1:10" x14ac:dyDescent="0.25" outlineLevel="1" collapsed="1">
      <c r="A13" s="9" t="s">
        <v>15</v>
      </c>
      <c r="B13" s="9" t="s">
        <v>56</v>
      </c>
      <c r="C13" s="9" t="s">
        <v>17</v>
      </c>
      <c r="D13" s="9"/>
      <c r="E13" s="9" t="s">
        <v>840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841</v>
      </c>
    </row>
    <row r="14" spans="1:10" x14ac:dyDescent="0.25" outlineLevel="1" collapsed="1">
      <c r="A14" s="9" t="s">
        <v>15</v>
      </c>
      <c r="B14" s="9" t="s">
        <v>56</v>
      </c>
      <c r="C14" s="9" t="s">
        <v>17</v>
      </c>
      <c r="D14" s="9"/>
      <c r="E14" s="9" t="s">
        <v>842</v>
      </c>
      <c r="F14" s="9" t="s">
        <v>21</v>
      </c>
      <c r="G14" s="9" t="s">
        <v>58</v>
      </c>
      <c r="H14" s="9" t="s">
        <v>17</v>
      </c>
      <c r="I14" s="9" t="s">
        <v>17</v>
      </c>
      <c r="J14" s="9" t="s">
        <v>843</v>
      </c>
    </row>
    <row r="15" spans="1:10" x14ac:dyDescent="0.25" outlineLevel="1" collapsed="1">
      <c r="A15" s="9" t="s">
        <v>15</v>
      </c>
      <c r="B15" s="9" t="s">
        <v>56</v>
      </c>
      <c r="C15" s="9" t="s">
        <v>17</v>
      </c>
      <c r="D15" s="9"/>
      <c r="E15" s="9" t="s">
        <v>844</v>
      </c>
      <c r="F15" s="9" t="s">
        <v>21</v>
      </c>
      <c r="G15" s="9" t="s">
        <v>58</v>
      </c>
      <c r="H15" s="9" t="s">
        <v>17</v>
      </c>
      <c r="I15" s="9" t="s">
        <v>17</v>
      </c>
      <c r="J15" s="9" t="s">
        <v>845</v>
      </c>
    </row>
    <row r="16" spans="1:10" x14ac:dyDescent="0.25">
      <c r="A16" s="5" t="s">
        <v>15</v>
      </c>
      <c r="B16" s="6" t="s">
        <v>846</v>
      </c>
      <c r="C16" s="5" t="s">
        <v>17</v>
      </c>
      <c r="D16" s="5"/>
      <c r="E16" s="5" t="s">
        <v>53</v>
      </c>
      <c r="F16" s="5" t="s">
        <v>21</v>
      </c>
      <c r="G16" s="5" t="s">
        <v>847</v>
      </c>
      <c r="H16" s="5" t="s">
        <v>17</v>
      </c>
      <c r="I16" s="5" t="s">
        <v>17</v>
      </c>
      <c r="J16" s="5" t="s">
        <v>848</v>
      </c>
    </row>
    <row r="17" spans="1:10" x14ac:dyDescent="0.25" outlineLevel="1" collapsed="1">
      <c r="A17" s="9" t="s">
        <v>15</v>
      </c>
      <c r="B17" s="9" t="s">
        <v>56</v>
      </c>
      <c r="C17" s="9" t="s">
        <v>17</v>
      </c>
      <c r="D17" s="9"/>
      <c r="E17" s="9" t="s">
        <v>57</v>
      </c>
      <c r="F17" s="9" t="s">
        <v>21</v>
      </c>
      <c r="G17" s="9" t="s">
        <v>58</v>
      </c>
      <c r="H17" s="9" t="s">
        <v>17</v>
      </c>
      <c r="I17" s="9" t="s">
        <v>17</v>
      </c>
      <c r="J17" s="9" t="s">
        <v>59</v>
      </c>
    </row>
    <row r="18" spans="1:10" x14ac:dyDescent="0.25" outlineLevel="1" collapsed="1">
      <c r="A18" s="9" t="s">
        <v>15</v>
      </c>
      <c r="B18" s="9" t="s">
        <v>60</v>
      </c>
      <c r="C18" s="9" t="s">
        <v>17</v>
      </c>
      <c r="D18" s="9"/>
      <c r="E18" s="9" t="s">
        <v>61</v>
      </c>
      <c r="F18" s="9" t="s">
        <v>21</v>
      </c>
      <c r="G18" s="9" t="s">
        <v>62</v>
      </c>
      <c r="H18" s="9" t="s">
        <v>17</v>
      </c>
      <c r="I18" s="9" t="s">
        <v>17</v>
      </c>
      <c r="J18" s="9" t="s">
        <v>63</v>
      </c>
    </row>
    <row r="19" spans="1:10" x14ac:dyDescent="0.25" outlineLevel="1" collapsed="1">
      <c r="A19" s="9" t="s">
        <v>15</v>
      </c>
      <c r="B19" s="9" t="s">
        <v>56</v>
      </c>
      <c r="C19" s="9" t="s">
        <v>17</v>
      </c>
      <c r="D19" s="9"/>
      <c r="E19" s="9" t="s">
        <v>64</v>
      </c>
      <c r="F19" s="9" t="s">
        <v>21</v>
      </c>
      <c r="G19" s="9" t="s">
        <v>58</v>
      </c>
      <c r="H19" s="9" t="s">
        <v>17</v>
      </c>
      <c r="I19" s="9" t="s">
        <v>17</v>
      </c>
      <c r="J19" s="9" t="s">
        <v>65</v>
      </c>
    </row>
    <row r="20" spans="1:10" x14ac:dyDescent="0.25" outlineLevel="1" collapsed="1">
      <c r="A20" s="9" t="s">
        <v>15</v>
      </c>
      <c r="B20" s="9" t="s">
        <v>26</v>
      </c>
      <c r="C20" s="9" t="s">
        <v>66</v>
      </c>
      <c r="D20" s="9"/>
      <c r="E20" s="9" t="s">
        <v>67</v>
      </c>
      <c r="F20" s="9" t="s">
        <v>21</v>
      </c>
      <c r="G20" s="9" t="s">
        <v>849</v>
      </c>
      <c r="H20" s="9" t="s">
        <v>17</v>
      </c>
      <c r="I20" s="9" t="s">
        <v>17</v>
      </c>
      <c r="J20" s="9" t="s">
        <v>69</v>
      </c>
    </row>
    <row r="21" spans="1:10" x14ac:dyDescent="0.25" outlineLevel="1" collapsed="1">
      <c r="A21" s="9" t="s">
        <v>21</v>
      </c>
      <c r="B21" s="9" t="s">
        <v>26</v>
      </c>
      <c r="C21" s="9" t="s">
        <v>66</v>
      </c>
      <c r="D21" s="9"/>
      <c r="E21" s="9" t="s">
        <v>70</v>
      </c>
      <c r="F21" s="9" t="s">
        <v>21</v>
      </c>
      <c r="G21" s="9" t="s">
        <v>850</v>
      </c>
      <c r="H21" s="9" t="s">
        <v>17</v>
      </c>
      <c r="I21" s="9" t="s">
        <v>17</v>
      </c>
      <c r="J21" s="9" t="s">
        <v>72</v>
      </c>
    </row>
    <row r="22" spans="1:10" x14ac:dyDescent="0.25" outlineLevel="1" collapsed="1">
      <c r="A22" s="9" t="s">
        <v>21</v>
      </c>
      <c r="B22" s="9" t="s">
        <v>56</v>
      </c>
      <c r="C22" s="9" t="s">
        <v>17</v>
      </c>
      <c r="D22" s="9"/>
      <c r="E22" s="9" t="s">
        <v>73</v>
      </c>
      <c r="F22" s="9" t="s">
        <v>21</v>
      </c>
      <c r="G22" s="9" t="s">
        <v>58</v>
      </c>
      <c r="H22" s="9" t="s">
        <v>17</v>
      </c>
      <c r="I22" s="9" t="s">
        <v>17</v>
      </c>
      <c r="J22" s="9" t="s">
        <v>74</v>
      </c>
    </row>
    <row r="23" spans="1:10" x14ac:dyDescent="0.25" outlineLevel="1" collapsed="1">
      <c r="A23" s="9" t="s">
        <v>21</v>
      </c>
      <c r="B23" s="9" t="s">
        <v>26</v>
      </c>
      <c r="C23" s="9" t="s">
        <v>75</v>
      </c>
      <c r="D23" s="9"/>
      <c r="E23" s="9" t="s">
        <v>76</v>
      </c>
      <c r="F23" s="9" t="s">
        <v>21</v>
      </c>
      <c r="G23" s="9" t="s">
        <v>851</v>
      </c>
      <c r="H23" s="9" t="s">
        <v>17</v>
      </c>
      <c r="I23" s="9" t="s">
        <v>17</v>
      </c>
      <c r="J23" s="9" t="s">
        <v>78</v>
      </c>
    </row>
    <row r="24" spans="1:10" x14ac:dyDescent="0.25" outlineLevel="1" collapsed="1">
      <c r="A24" s="9" t="s">
        <v>15</v>
      </c>
      <c r="B24" s="9" t="s">
        <v>79</v>
      </c>
      <c r="C24" s="9" t="s">
        <v>17</v>
      </c>
      <c r="D24" s="9"/>
      <c r="E24" s="9" t="s">
        <v>80</v>
      </c>
      <c r="F24" s="9" t="s">
        <v>21</v>
      </c>
      <c r="G24" s="9">
        <v>1</v>
      </c>
      <c r="H24" s="9" t="s">
        <v>17</v>
      </c>
      <c r="I24" s="9" t="s">
        <v>17</v>
      </c>
      <c r="J24" s="9" t="s">
        <v>81</v>
      </c>
    </row>
    <row r="25" spans="1:10" x14ac:dyDescent="0.25">
      <c r="A25" s="5" t="s">
        <v>15</v>
      </c>
      <c r="B25" s="6" t="s">
        <v>852</v>
      </c>
      <c r="C25" s="5" t="s">
        <v>17</v>
      </c>
      <c r="D25" s="5"/>
      <c r="E25" s="5" t="s">
        <v>120</v>
      </c>
      <c r="F25" s="5" t="s">
        <v>21</v>
      </c>
      <c r="G25" s="5" t="s">
        <v>853</v>
      </c>
      <c r="H25" s="5" t="s">
        <v>17</v>
      </c>
      <c r="I25" s="5" t="s">
        <v>17</v>
      </c>
      <c r="J25" s="5" t="s">
        <v>121</v>
      </c>
    </row>
    <row r="26" spans="1:10" x14ac:dyDescent="0.25" outlineLevel="1" collapsed="1">
      <c r="A26" s="9" t="s">
        <v>15</v>
      </c>
      <c r="B26" s="9" t="s">
        <v>23</v>
      </c>
      <c r="C26" s="10" t="s">
        <v>854</v>
      </c>
      <c r="D26" s="9"/>
      <c r="E26" s="9" t="s">
        <v>123</v>
      </c>
      <c r="F26" s="9" t="s">
        <v>21</v>
      </c>
      <c r="G26" s="9" t="s">
        <v>124</v>
      </c>
      <c r="H26" s="9" t="s">
        <v>17</v>
      </c>
      <c r="I26" s="9" t="s">
        <v>17</v>
      </c>
      <c r="J26" s="9" t="s">
        <v>125</v>
      </c>
    </row>
    <row r="27" spans="1:10" x14ac:dyDescent="0.25" outlineLevel="1" collapsed="1">
      <c r="A27" s="7" t="s">
        <v>21</v>
      </c>
      <c r="B27" s="8" t="s">
        <v>855</v>
      </c>
      <c r="C27" s="7" t="s">
        <v>17</v>
      </c>
      <c r="D27" s="7">
        <f>EXACT(G26,"HWT, IWT")</f>
      </c>
      <c r="E27" s="7" t="s">
        <v>126</v>
      </c>
      <c r="F27" s="7" t="s">
        <v>21</v>
      </c>
      <c r="G27" s="7" t="s">
        <v>17</v>
      </c>
      <c r="H27" s="7" t="s">
        <v>17</v>
      </c>
      <c r="I27" s="7" t="s">
        <v>17</v>
      </c>
      <c r="J27" s="7" t="s">
        <v>127</v>
      </c>
    </row>
    <row r="28" spans="1:10" x14ac:dyDescent="0.25" outlineLevel="2" collapsed="1">
      <c r="A28" s="9" t="s">
        <v>15</v>
      </c>
      <c r="B28" s="9" t="s">
        <v>23</v>
      </c>
      <c r="C28" s="10" t="s">
        <v>856</v>
      </c>
      <c r="D28" s="9"/>
      <c r="E28" s="9" t="s">
        <v>126</v>
      </c>
      <c r="F28" s="9" t="s">
        <v>21</v>
      </c>
      <c r="G28" s="9" t="s">
        <v>129</v>
      </c>
      <c r="H28" s="9" t="s">
        <v>17</v>
      </c>
      <c r="I28" s="9" t="s">
        <v>17</v>
      </c>
      <c r="J28" s="9" t="s">
        <v>130</v>
      </c>
    </row>
    <row r="29" spans="1:10" x14ac:dyDescent="0.25" outlineLevel="2" collapsed="1">
      <c r="A29" s="9" t="s">
        <v>21</v>
      </c>
      <c r="B29" s="9" t="s">
        <v>56</v>
      </c>
      <c r="C29" s="9" t="s">
        <v>17</v>
      </c>
      <c r="D29" s="9">
        <f>EXACT(G28,"Other (specify)")</f>
      </c>
      <c r="E29" s="9" t="s">
        <v>131</v>
      </c>
      <c r="F29" s="9" t="s">
        <v>21</v>
      </c>
      <c r="G29" s="9" t="s">
        <v>58</v>
      </c>
      <c r="H29" s="9" t="s">
        <v>17</v>
      </c>
      <c r="I29" s="9" t="s">
        <v>17</v>
      </c>
      <c r="J29" s="9" t="s">
        <v>132</v>
      </c>
    </row>
    <row r="30" spans="1:10" x14ac:dyDescent="0.25" outlineLevel="1" collapsed="1">
      <c r="A30" s="9" t="s">
        <v>21</v>
      </c>
      <c r="B30" s="9" t="s">
        <v>56</v>
      </c>
      <c r="C30" s="9" t="s">
        <v>17</v>
      </c>
      <c r="D30" s="9">
        <f>EXACT(G26,"HWT, IWT")</f>
      </c>
      <c r="E30" s="9" t="s">
        <v>133</v>
      </c>
      <c r="F30" s="9" t="s">
        <v>21</v>
      </c>
      <c r="G30" s="9" t="s">
        <v>58</v>
      </c>
      <c r="H30" s="9" t="s">
        <v>17</v>
      </c>
      <c r="I30" s="9" t="s">
        <v>17</v>
      </c>
      <c r="J30" s="9" t="s">
        <v>134</v>
      </c>
    </row>
    <row r="31" spans="1:10" x14ac:dyDescent="0.25" outlineLevel="1" collapsed="1">
      <c r="A31" s="9" t="s">
        <v>21</v>
      </c>
      <c r="B31" s="9" t="s">
        <v>56</v>
      </c>
      <c r="C31" s="9" t="s">
        <v>17</v>
      </c>
      <c r="D31" s="9">
        <f>EXACT(G26,"HWT, IWT")</f>
      </c>
      <c r="E31" s="9" t="s">
        <v>135</v>
      </c>
      <c r="F31" s="9" t="s">
        <v>21</v>
      </c>
      <c r="G31" s="9" t="s">
        <v>58</v>
      </c>
      <c r="H31" s="9" t="s">
        <v>17</v>
      </c>
      <c r="I31" s="9" t="s">
        <v>17</v>
      </c>
      <c r="J31" s="9" t="s">
        <v>136</v>
      </c>
    </row>
    <row r="32" spans="1:10" x14ac:dyDescent="0.25" outlineLevel="1" collapsed="1">
      <c r="A32" s="9" t="s">
        <v>21</v>
      </c>
      <c r="B32" s="9" t="s">
        <v>56</v>
      </c>
      <c r="C32" s="9" t="s">
        <v>17</v>
      </c>
      <c r="D32" s="9">
        <f>EXACT(G26,"HWT, IWT")</f>
      </c>
      <c r="E32" s="9" t="s">
        <v>137</v>
      </c>
      <c r="F32" s="9" t="s">
        <v>21</v>
      </c>
      <c r="G32" s="9" t="s">
        <v>58</v>
      </c>
      <c r="H32" s="9" t="s">
        <v>17</v>
      </c>
      <c r="I32" s="9" t="s">
        <v>17</v>
      </c>
      <c r="J32" s="9" t="s">
        <v>138</v>
      </c>
    </row>
    <row r="33" spans="1:10" x14ac:dyDescent="0.25" outlineLevel="1" collapsed="1">
      <c r="A33" s="9" t="s">
        <v>21</v>
      </c>
      <c r="B33" s="9" t="s">
        <v>56</v>
      </c>
      <c r="C33" s="9" t="s">
        <v>17</v>
      </c>
      <c r="D33" s="9">
        <f>EXACT(G26,"HWT, IWT")</f>
      </c>
      <c r="E33" s="9" t="s">
        <v>139</v>
      </c>
      <c r="F33" s="9" t="s">
        <v>21</v>
      </c>
      <c r="G33" s="9" t="s">
        <v>58</v>
      </c>
      <c r="H33" s="9" t="s">
        <v>17</v>
      </c>
      <c r="I33" s="9" t="s">
        <v>17</v>
      </c>
      <c r="J33" s="9" t="s">
        <v>140</v>
      </c>
    </row>
    <row r="34" spans="1:10" x14ac:dyDescent="0.25" outlineLevel="1" collapsed="1">
      <c r="A34" s="9" t="s">
        <v>21</v>
      </c>
      <c r="B34" s="9" t="s">
        <v>79</v>
      </c>
      <c r="C34" s="9" t="s">
        <v>17</v>
      </c>
      <c r="D34" s="9">
        <f>EXACT(G26,"HWT, IWT")</f>
      </c>
      <c r="E34" s="9" t="s">
        <v>141</v>
      </c>
      <c r="F34" s="9" t="s">
        <v>21</v>
      </c>
      <c r="G34" s="9">
        <v>1</v>
      </c>
      <c r="H34" s="9" t="s">
        <v>17</v>
      </c>
      <c r="I34" s="9" t="s">
        <v>17</v>
      </c>
      <c r="J34" s="9" t="s">
        <v>142</v>
      </c>
    </row>
    <row r="35" spans="1:10" x14ac:dyDescent="0.25" outlineLevel="1" collapsed="1">
      <c r="A35" s="9" t="s">
        <v>21</v>
      </c>
      <c r="B35" s="9" t="s">
        <v>56</v>
      </c>
      <c r="C35" s="9" t="s">
        <v>17</v>
      </c>
      <c r="D35" s="9">
        <f>EXACT(G26,"HWT, IWT")</f>
      </c>
      <c r="E35" s="9" t="s">
        <v>143</v>
      </c>
      <c r="F35" s="9" t="s">
        <v>21</v>
      </c>
      <c r="G35" s="9" t="s">
        <v>58</v>
      </c>
      <c r="H35" s="9" t="s">
        <v>17</v>
      </c>
      <c r="I35" s="9" t="s">
        <v>17</v>
      </c>
      <c r="J35" s="9" t="s">
        <v>144</v>
      </c>
    </row>
    <row r="36" spans="1:10" x14ac:dyDescent="0.25" outlineLevel="1" collapsed="1">
      <c r="A36" s="9" t="s">
        <v>21</v>
      </c>
      <c r="B36" s="9" t="s">
        <v>79</v>
      </c>
      <c r="C36" s="9" t="s">
        <v>17</v>
      </c>
      <c r="D36" s="9">
        <f>EXACT(G26,"HWT, IWT")</f>
      </c>
      <c r="E36" s="9" t="s">
        <v>145</v>
      </c>
      <c r="F36" s="9" t="s">
        <v>21</v>
      </c>
      <c r="G36" s="9">
        <v>1</v>
      </c>
      <c r="H36" s="9" t="s">
        <v>17</v>
      </c>
      <c r="I36" s="9" t="s">
        <v>17</v>
      </c>
      <c r="J36" s="9" t="s">
        <v>146</v>
      </c>
    </row>
    <row r="37" spans="1:10" x14ac:dyDescent="0.25" outlineLevel="1" collapsed="1">
      <c r="A37" s="9" t="s">
        <v>21</v>
      </c>
      <c r="B37" s="9" t="s">
        <v>79</v>
      </c>
      <c r="C37" s="9" t="s">
        <v>17</v>
      </c>
      <c r="D37" s="9">
        <f>EXACT(G26,"HWT, IWT")</f>
      </c>
      <c r="E37" s="9" t="s">
        <v>147</v>
      </c>
      <c r="F37" s="9" t="s">
        <v>21</v>
      </c>
      <c r="G37" s="9">
        <v>1</v>
      </c>
      <c r="H37" s="9" t="s">
        <v>17</v>
      </c>
      <c r="I37" s="9" t="s">
        <v>17</v>
      </c>
      <c r="J37" s="9" t="s">
        <v>148</v>
      </c>
    </row>
    <row r="38" spans="1:10" x14ac:dyDescent="0.25" outlineLevel="1" collapsed="1">
      <c r="A38" s="9" t="s">
        <v>21</v>
      </c>
      <c r="B38" s="9" t="s">
        <v>56</v>
      </c>
      <c r="C38" s="9" t="s">
        <v>17</v>
      </c>
      <c r="D38" s="9">
        <f>EXACT(G26,"HWT, IWT")</f>
      </c>
      <c r="E38" s="9" t="s">
        <v>149</v>
      </c>
      <c r="F38" s="9" t="s">
        <v>21</v>
      </c>
      <c r="G38" s="9" t="s">
        <v>58</v>
      </c>
      <c r="H38" s="9" t="s">
        <v>17</v>
      </c>
      <c r="I38" s="9" t="s">
        <v>17</v>
      </c>
      <c r="J38" s="9" t="s">
        <v>150</v>
      </c>
    </row>
    <row r="39" spans="1:10" x14ac:dyDescent="0.25" outlineLevel="1" collapsed="1">
      <c r="A39" s="7" t="s">
        <v>21</v>
      </c>
      <c r="B39" s="8" t="s">
        <v>857</v>
      </c>
      <c r="C39" s="7" t="s">
        <v>17</v>
      </c>
      <c r="D39" s="7">
        <f>EXACT(G26,"CWT, CWS")</f>
      </c>
      <c r="E39" s="7" t="s">
        <v>126</v>
      </c>
      <c r="F39" s="7" t="s">
        <v>21</v>
      </c>
      <c r="G39" s="7" t="s">
        <v>17</v>
      </c>
      <c r="H39" s="7" t="s">
        <v>17</v>
      </c>
      <c r="I39" s="7" t="s">
        <v>17</v>
      </c>
      <c r="J39" s="7" t="s">
        <v>152</v>
      </c>
    </row>
    <row r="40" spans="1:10" x14ac:dyDescent="0.25" outlineLevel="2" collapsed="1">
      <c r="A40" s="9" t="s">
        <v>15</v>
      </c>
      <c r="B40" s="9" t="s">
        <v>23</v>
      </c>
      <c r="C40" s="10" t="s">
        <v>858</v>
      </c>
      <c r="D40" s="9"/>
      <c r="E40" s="9" t="s">
        <v>126</v>
      </c>
      <c r="F40" s="9" t="s">
        <v>21</v>
      </c>
      <c r="G40" s="9" t="s">
        <v>154</v>
      </c>
      <c r="H40" s="9" t="s">
        <v>17</v>
      </c>
      <c r="I40" s="9" t="s">
        <v>17</v>
      </c>
      <c r="J40" s="9" t="s">
        <v>155</v>
      </c>
    </row>
    <row r="41" spans="1:10" x14ac:dyDescent="0.25" outlineLevel="2" collapsed="1">
      <c r="A41" s="9" t="s">
        <v>21</v>
      </c>
      <c r="B41" s="9" t="s">
        <v>56</v>
      </c>
      <c r="C41" s="9" t="s">
        <v>17</v>
      </c>
      <c r="D41" s="9">
        <f>EXACT(G40,"Other (specify)")</f>
      </c>
      <c r="E41" s="9" t="s">
        <v>131</v>
      </c>
      <c r="F41" s="9" t="s">
        <v>21</v>
      </c>
      <c r="G41" s="9" t="s">
        <v>58</v>
      </c>
      <c r="H41" s="9" t="s">
        <v>17</v>
      </c>
      <c r="I41" s="9" t="s">
        <v>17</v>
      </c>
      <c r="J41" s="9" t="s">
        <v>132</v>
      </c>
    </row>
    <row r="42" spans="1:10" x14ac:dyDescent="0.25" outlineLevel="1" collapsed="1">
      <c r="A42" s="9" t="s">
        <v>21</v>
      </c>
      <c r="B42" s="9" t="s">
        <v>56</v>
      </c>
      <c r="C42" s="9" t="s">
        <v>17</v>
      </c>
      <c r="D42" s="9">
        <f>EXACT(G26,"CWT, CWS")</f>
      </c>
      <c r="E42" s="9" t="s">
        <v>133</v>
      </c>
      <c r="F42" s="9" t="s">
        <v>21</v>
      </c>
      <c r="G42" s="9" t="s">
        <v>58</v>
      </c>
      <c r="H42" s="9" t="s">
        <v>17</v>
      </c>
      <c r="I42" s="9" t="s">
        <v>17</v>
      </c>
      <c r="J42" s="9" t="s">
        <v>156</v>
      </c>
    </row>
    <row r="43" spans="1:10" x14ac:dyDescent="0.25" outlineLevel="1" collapsed="1">
      <c r="A43" s="9" t="s">
        <v>21</v>
      </c>
      <c r="B43" s="9" t="s">
        <v>56</v>
      </c>
      <c r="C43" s="9" t="s">
        <v>17</v>
      </c>
      <c r="D43" s="9">
        <f>EXACT(G26,"CWT, CWS")</f>
      </c>
      <c r="E43" s="9" t="s">
        <v>157</v>
      </c>
      <c r="F43" s="9" t="s">
        <v>21</v>
      </c>
      <c r="G43" s="9" t="s">
        <v>58</v>
      </c>
      <c r="H43" s="9" t="s">
        <v>17</v>
      </c>
      <c r="I43" s="9" t="s">
        <v>17</v>
      </c>
      <c r="J43" s="9" t="s">
        <v>158</v>
      </c>
    </row>
    <row r="44" spans="1:10" x14ac:dyDescent="0.25" outlineLevel="1" collapsed="1">
      <c r="A44" s="9" t="s">
        <v>21</v>
      </c>
      <c r="B44" s="9" t="s">
        <v>56</v>
      </c>
      <c r="C44" s="9" t="s">
        <v>17</v>
      </c>
      <c r="D44" s="9">
        <f>EXACT(G26,"CWT, CWS")</f>
      </c>
      <c r="E44" s="9" t="s">
        <v>159</v>
      </c>
      <c r="F44" s="9" t="s">
        <v>21</v>
      </c>
      <c r="G44" s="9" t="s">
        <v>58</v>
      </c>
      <c r="H44" s="9" t="s">
        <v>17</v>
      </c>
      <c r="I44" s="9" t="s">
        <v>17</v>
      </c>
      <c r="J44" s="9" t="s">
        <v>160</v>
      </c>
    </row>
    <row r="45" spans="1:10" x14ac:dyDescent="0.25" outlineLevel="1" collapsed="1">
      <c r="A45" s="9" t="s">
        <v>21</v>
      </c>
      <c r="B45" s="9" t="s">
        <v>79</v>
      </c>
      <c r="C45" s="9" t="s">
        <v>17</v>
      </c>
      <c r="D45" s="9">
        <f>EXACT(G26,"CWT, CWS")</f>
      </c>
      <c r="E45" s="9" t="s">
        <v>161</v>
      </c>
      <c r="F45" s="9" t="s">
        <v>21</v>
      </c>
      <c r="G45" s="9">
        <v>1</v>
      </c>
      <c r="H45" s="9" t="s">
        <v>17</v>
      </c>
      <c r="I45" s="9" t="s">
        <v>17</v>
      </c>
      <c r="J45" s="9" t="s">
        <v>162</v>
      </c>
    </row>
    <row r="46" spans="1:10" x14ac:dyDescent="0.25" outlineLevel="1" collapsed="1">
      <c r="A46" s="9" t="s">
        <v>21</v>
      </c>
      <c r="B46" s="9" t="s">
        <v>79</v>
      </c>
      <c r="C46" s="9" t="s">
        <v>17</v>
      </c>
      <c r="D46" s="9">
        <f>EXACT(G26,"CWT, CWS")</f>
      </c>
      <c r="E46" s="9" t="s">
        <v>163</v>
      </c>
      <c r="F46" s="9" t="s">
        <v>21</v>
      </c>
      <c r="G46" s="9">
        <v>1</v>
      </c>
      <c r="H46" s="9" t="s">
        <v>17</v>
      </c>
      <c r="I46" s="9" t="s">
        <v>17</v>
      </c>
      <c r="J46" s="9" t="s">
        <v>164</v>
      </c>
    </row>
    <row r="47" spans="1:10" x14ac:dyDescent="0.25" outlineLevel="1" collapsed="1">
      <c r="A47" s="9" t="s">
        <v>21</v>
      </c>
      <c r="B47" s="9" t="s">
        <v>56</v>
      </c>
      <c r="C47" s="9" t="s">
        <v>17</v>
      </c>
      <c r="D47" s="9">
        <f>EXACT(G26,"CWT, CWS")</f>
      </c>
      <c r="E47" s="9" t="s">
        <v>137</v>
      </c>
      <c r="F47" s="9" t="s">
        <v>21</v>
      </c>
      <c r="G47" s="9" t="s">
        <v>58</v>
      </c>
      <c r="H47" s="9" t="s">
        <v>17</v>
      </c>
      <c r="I47" s="9" t="s">
        <v>17</v>
      </c>
      <c r="J47" s="9" t="s">
        <v>165</v>
      </c>
    </row>
    <row r="48" spans="1:10" x14ac:dyDescent="0.25" outlineLevel="1" collapsed="1">
      <c r="A48" s="9" t="s">
        <v>21</v>
      </c>
      <c r="B48" s="9" t="s">
        <v>56</v>
      </c>
      <c r="C48" s="9" t="s">
        <v>17</v>
      </c>
      <c r="D48" s="9">
        <f>EXACT(G26,"CWT, CWS")</f>
      </c>
      <c r="E48" s="9" t="s">
        <v>139</v>
      </c>
      <c r="F48" s="9" t="s">
        <v>21</v>
      </c>
      <c r="G48" s="9" t="s">
        <v>58</v>
      </c>
      <c r="H48" s="9" t="s">
        <v>17</v>
      </c>
      <c r="I48" s="9" t="s">
        <v>17</v>
      </c>
      <c r="J48" s="9" t="s">
        <v>166</v>
      </c>
    </row>
    <row r="49" spans="1:10" x14ac:dyDescent="0.25" outlineLevel="1" collapsed="1">
      <c r="A49" s="9" t="s">
        <v>21</v>
      </c>
      <c r="B49" s="9" t="s">
        <v>56</v>
      </c>
      <c r="C49" s="9" t="s">
        <v>17</v>
      </c>
      <c r="D49" s="9">
        <f>EXACT(G26,"CWT, CWS")</f>
      </c>
      <c r="E49" s="9" t="s">
        <v>167</v>
      </c>
      <c r="F49" s="9" t="s">
        <v>21</v>
      </c>
      <c r="G49" s="9" t="s">
        <v>58</v>
      </c>
      <c r="H49" s="9" t="s">
        <v>17</v>
      </c>
      <c r="I49" s="9" t="s">
        <v>17</v>
      </c>
      <c r="J49" s="9" t="s">
        <v>168</v>
      </c>
    </row>
    <row r="50" spans="1:10" x14ac:dyDescent="0.25" outlineLevel="1" collapsed="1">
      <c r="A50" s="9" t="s">
        <v>21</v>
      </c>
      <c r="B50" s="9" t="s">
        <v>169</v>
      </c>
      <c r="C50" s="9" t="s">
        <v>17</v>
      </c>
      <c r="D50" s="9">
        <f>EXACT(G26,"CWT, CWS")</f>
      </c>
      <c r="E50" s="9" t="s">
        <v>170</v>
      </c>
      <c r="F50" s="9" t="s">
        <v>21</v>
      </c>
      <c r="G50" s="9" t="b">
        <v>1</v>
      </c>
      <c r="H50" s="9" t="s">
        <v>17</v>
      </c>
      <c r="I50" s="9" t="s">
        <v>17</v>
      </c>
      <c r="J50" s="9" t="s">
        <v>171</v>
      </c>
    </row>
    <row r="51" spans="1:10" x14ac:dyDescent="0.25" outlineLevel="1" collapsed="1">
      <c r="A51" s="9" t="s">
        <v>21</v>
      </c>
      <c r="B51" s="9" t="s">
        <v>56</v>
      </c>
      <c r="C51" s="9" t="s">
        <v>17</v>
      </c>
      <c r="D51" s="9">
        <f>EXACT(G26,"CWT, CWS")</f>
      </c>
      <c r="E51" s="9" t="s">
        <v>2</v>
      </c>
      <c r="F51" s="9" t="s">
        <v>21</v>
      </c>
      <c r="G51" s="9" t="s">
        <v>58</v>
      </c>
      <c r="H51" s="9" t="s">
        <v>17</v>
      </c>
      <c r="I51" s="9" t="s">
        <v>17</v>
      </c>
      <c r="J51" s="9" t="s">
        <v>172</v>
      </c>
    </row>
    <row r="52" spans="1:10" x14ac:dyDescent="0.25" outlineLevel="1" collapsed="1">
      <c r="A52" s="9" t="s">
        <v>21</v>
      </c>
      <c r="B52" s="9" t="s">
        <v>56</v>
      </c>
      <c r="C52" s="9" t="s">
        <v>17</v>
      </c>
      <c r="D52" s="9">
        <f>EXACT(G26,"CWT, CWS")</f>
      </c>
      <c r="E52" s="9" t="s">
        <v>173</v>
      </c>
      <c r="F52" s="9" t="s">
        <v>21</v>
      </c>
      <c r="G52" s="9" t="s">
        <v>58</v>
      </c>
      <c r="H52" s="9" t="s">
        <v>17</v>
      </c>
      <c r="I52" s="9" t="s">
        <v>17</v>
      </c>
      <c r="J52" s="9" t="s">
        <v>174</v>
      </c>
    </row>
    <row r="53" spans="1:10" x14ac:dyDescent="0.25" outlineLevel="1" collapsed="1">
      <c r="A53" s="9" t="s">
        <v>21</v>
      </c>
      <c r="B53" s="9" t="s">
        <v>175</v>
      </c>
      <c r="C53" s="9" t="s">
        <v>17</v>
      </c>
      <c r="D53" s="9">
        <f>EXACT(G26,"CWT, CWS")</f>
      </c>
      <c r="E53" s="9" t="s">
        <v>176</v>
      </c>
      <c r="F53" s="9" t="s">
        <v>21</v>
      </c>
      <c r="G53" s="9" t="s">
        <v>859</v>
      </c>
      <c r="H53" s="9" t="s">
        <v>17</v>
      </c>
      <c r="I53" s="9" t="s">
        <v>17</v>
      </c>
      <c r="J53" s="9" t="s">
        <v>178</v>
      </c>
    </row>
    <row r="54" spans="1:10" x14ac:dyDescent="0.25" outlineLevel="1" collapsed="1">
      <c r="A54" s="7" t="s">
        <v>21</v>
      </c>
      <c r="B54" s="8" t="s">
        <v>860</v>
      </c>
      <c r="C54" s="7" t="s">
        <v>17</v>
      </c>
      <c r="D54" s="7">
        <f>EXACT(G26,"CWT, CWS")</f>
      </c>
      <c r="E54" s="7" t="s">
        <v>180</v>
      </c>
      <c r="F54" s="7" t="s">
        <v>21</v>
      </c>
      <c r="G54" s="7" t="s">
        <v>17</v>
      </c>
      <c r="H54" s="7" t="s">
        <v>17</v>
      </c>
      <c r="I54" s="7" t="s">
        <v>17</v>
      </c>
      <c r="J54" s="7" t="s">
        <v>181</v>
      </c>
    </row>
    <row r="55" spans="1:10" x14ac:dyDescent="0.25" outlineLevel="2" collapsed="1">
      <c r="A55" s="9" t="s">
        <v>15</v>
      </c>
      <c r="B55" s="9" t="s">
        <v>169</v>
      </c>
      <c r="C55" s="9" t="s">
        <v>17</v>
      </c>
      <c r="D55" s="9"/>
      <c r="E55" s="9" t="s">
        <v>182</v>
      </c>
      <c r="F55" s="9" t="s">
        <v>21</v>
      </c>
      <c r="G55" s="9" t="b">
        <v>1</v>
      </c>
      <c r="H55" s="9" t="s">
        <v>17</v>
      </c>
      <c r="I55" s="9" t="s">
        <v>17</v>
      </c>
      <c r="J55" s="9" t="s">
        <v>183</v>
      </c>
    </row>
    <row r="56" spans="1:10" x14ac:dyDescent="0.25" outlineLevel="2" collapsed="1">
      <c r="A56" s="9" t="s">
        <v>21</v>
      </c>
      <c r="B56" s="9" t="s">
        <v>89</v>
      </c>
      <c r="C56" s="9" t="s">
        <v>17</v>
      </c>
      <c r="D56" s="9">
        <f>EXACT(G55,true)</f>
      </c>
      <c r="E56" s="9" t="s">
        <v>184</v>
      </c>
      <c r="F56" s="9" t="s">
        <v>21</v>
      </c>
      <c r="G56" s="9" t="s">
        <v>91</v>
      </c>
      <c r="H56" s="9" t="s">
        <v>17</v>
      </c>
      <c r="I56" s="9" t="s">
        <v>17</v>
      </c>
      <c r="J56" s="9" t="s">
        <v>185</v>
      </c>
    </row>
    <row r="57" spans="1:10" x14ac:dyDescent="0.25" outlineLevel="2" collapsed="1">
      <c r="A57" s="9" t="s">
        <v>21</v>
      </c>
      <c r="B57" s="9" t="s">
        <v>26</v>
      </c>
      <c r="C57" s="9" t="s">
        <v>186</v>
      </c>
      <c r="D57" s="9">
        <f>EXACT(G55,true)</f>
      </c>
      <c r="E57" s="9" t="s">
        <v>187</v>
      </c>
      <c r="F57" s="9" t="s">
        <v>21</v>
      </c>
      <c r="G57" s="9" t="s">
        <v>861</v>
      </c>
      <c r="H57" s="9" t="s">
        <v>17</v>
      </c>
      <c r="I57" s="9" t="s">
        <v>17</v>
      </c>
      <c r="J57" s="9" t="s">
        <v>189</v>
      </c>
    </row>
    <row r="58" spans="1:10" x14ac:dyDescent="0.25" outlineLevel="2" collapsed="1">
      <c r="A58" s="9" t="s">
        <v>21</v>
      </c>
      <c r="B58" s="9" t="s">
        <v>89</v>
      </c>
      <c r="C58" s="9" t="s">
        <v>17</v>
      </c>
      <c r="D58" s="9">
        <f>EXACT(G55,true)</f>
      </c>
      <c r="E58" s="9" t="s">
        <v>190</v>
      </c>
      <c r="F58" s="9" t="s">
        <v>21</v>
      </c>
      <c r="G58" s="9" t="s">
        <v>91</v>
      </c>
      <c r="H58" s="9" t="s">
        <v>17</v>
      </c>
      <c r="I58" s="9" t="s">
        <v>17</v>
      </c>
      <c r="J58" s="9" t="s">
        <v>191</v>
      </c>
    </row>
    <row r="59" spans="1:10" x14ac:dyDescent="0.25" outlineLevel="2" collapsed="1">
      <c r="A59" s="9" t="s">
        <v>21</v>
      </c>
      <c r="B59" s="9" t="s">
        <v>175</v>
      </c>
      <c r="C59" s="9" t="s">
        <v>17</v>
      </c>
      <c r="D59" s="9">
        <f>EXACT(G55,true)</f>
      </c>
      <c r="E59" s="9" t="s">
        <v>192</v>
      </c>
      <c r="F59" s="9" t="s">
        <v>21</v>
      </c>
      <c r="G59" s="9" t="s">
        <v>862</v>
      </c>
      <c r="H59" s="9" t="s">
        <v>17</v>
      </c>
      <c r="I59" s="9" t="s">
        <v>17</v>
      </c>
      <c r="J59" s="9" t="s">
        <v>194</v>
      </c>
    </row>
    <row r="60" spans="1:10" x14ac:dyDescent="0.25" outlineLevel="2" collapsed="1">
      <c r="A60" s="9" t="s">
        <v>21</v>
      </c>
      <c r="B60" s="9" t="s">
        <v>175</v>
      </c>
      <c r="C60" s="9" t="s">
        <v>17</v>
      </c>
      <c r="D60" s="9">
        <f>EXACT(G55,true)</f>
      </c>
      <c r="E60" s="9" t="s">
        <v>195</v>
      </c>
      <c r="F60" s="9" t="s">
        <v>21</v>
      </c>
      <c r="G60" s="9" t="s">
        <v>863</v>
      </c>
      <c r="H60" s="9" t="s">
        <v>17</v>
      </c>
      <c r="I60" s="9" t="s">
        <v>17</v>
      </c>
      <c r="J60" s="9" t="s">
        <v>197</v>
      </c>
    </row>
    <row r="61" spans="1:10" x14ac:dyDescent="0.25" outlineLevel="1" collapsed="1">
      <c r="A61" s="9" t="s">
        <v>15</v>
      </c>
      <c r="B61" s="9" t="s">
        <v>56</v>
      </c>
      <c r="C61" s="9" t="s">
        <v>17</v>
      </c>
      <c r="D61" s="9"/>
      <c r="E61" s="9" t="s">
        <v>198</v>
      </c>
      <c r="F61" s="9" t="s">
        <v>21</v>
      </c>
      <c r="G61" s="9" t="s">
        <v>58</v>
      </c>
      <c r="H61" s="9" t="s">
        <v>17</v>
      </c>
      <c r="I61" s="9" t="s">
        <v>17</v>
      </c>
      <c r="J61" s="9" t="s">
        <v>199</v>
      </c>
    </row>
    <row r="62" spans="1:10" x14ac:dyDescent="0.25">
      <c r="A62" s="5" t="s">
        <v>15</v>
      </c>
      <c r="B62" s="6" t="s">
        <v>864</v>
      </c>
      <c r="C62" s="5" t="s">
        <v>17</v>
      </c>
      <c r="D62" s="5"/>
      <c r="E62" s="5" t="s">
        <v>16</v>
      </c>
      <c r="F62" s="5" t="s">
        <v>15</v>
      </c>
      <c r="G62" s="5" t="s">
        <v>865</v>
      </c>
      <c r="H62" s="5" t="s">
        <v>17</v>
      </c>
      <c r="I62" s="5" t="s">
        <v>17</v>
      </c>
      <c r="J62" s="5" t="s">
        <v>19</v>
      </c>
    </row>
    <row r="63" spans="1:10" x14ac:dyDescent="0.25" outlineLevel="1" collapsed="1">
      <c r="A63" s="7" t="s">
        <v>15</v>
      </c>
      <c r="B63" s="8" t="s">
        <v>866</v>
      </c>
      <c r="C63" s="7" t="s">
        <v>17</v>
      </c>
      <c r="D63" s="7"/>
      <c r="E63" s="7" t="s">
        <v>20</v>
      </c>
      <c r="F63" s="7" t="s">
        <v>21</v>
      </c>
      <c r="G63" s="7" t="s">
        <v>17</v>
      </c>
      <c r="H63" s="7" t="s">
        <v>17</v>
      </c>
      <c r="I63" s="7" t="s">
        <v>17</v>
      </c>
      <c r="J63" s="7" t="s">
        <v>22</v>
      </c>
    </row>
    <row r="64" spans="1:10" x14ac:dyDescent="0.25" outlineLevel="2" collapsed="1">
      <c r="A64" s="9" t="s">
        <v>15</v>
      </c>
      <c r="B64" s="9" t="s">
        <v>23</v>
      </c>
      <c r="C64" s="10" t="s">
        <v>867</v>
      </c>
      <c r="D64" s="9"/>
      <c r="E64" s="9" t="s">
        <v>20</v>
      </c>
      <c r="F64" s="9" t="s">
        <v>21</v>
      </c>
      <c r="G64" s="9" t="s">
        <v>25</v>
      </c>
      <c r="H64" s="9" t="s">
        <v>17</v>
      </c>
      <c r="I64" s="9" t="s">
        <v>17</v>
      </c>
      <c r="J64" s="9" t="s">
        <v>22</v>
      </c>
    </row>
    <row r="65" spans="1:10" x14ac:dyDescent="0.25" outlineLevel="1" collapsed="1">
      <c r="A65" s="9" t="s">
        <v>15</v>
      </c>
      <c r="B65" s="9" t="s">
        <v>26</v>
      </c>
      <c r="C65" s="9" t="s">
        <v>27</v>
      </c>
      <c r="D65" s="9"/>
      <c r="E65" s="9" t="s">
        <v>28</v>
      </c>
      <c r="F65" s="9" t="s">
        <v>21</v>
      </c>
      <c r="G65" s="9" t="s">
        <v>868</v>
      </c>
      <c r="H65" s="9" t="s">
        <v>17</v>
      </c>
      <c r="I65" s="9" t="s">
        <v>17</v>
      </c>
      <c r="J65" s="9" t="s">
        <v>30</v>
      </c>
    </row>
    <row r="66" spans="1:10" x14ac:dyDescent="0.25" outlineLevel="1" collapsed="1">
      <c r="A66" s="9" t="s">
        <v>15</v>
      </c>
      <c r="B66" s="9" t="s">
        <v>26</v>
      </c>
      <c r="C66" s="9" t="s">
        <v>31</v>
      </c>
      <c r="D66" s="9"/>
      <c r="E66" s="9" t="s">
        <v>32</v>
      </c>
      <c r="F66" s="9" t="s">
        <v>21</v>
      </c>
      <c r="G66" s="9" t="s">
        <v>869</v>
      </c>
      <c r="H66" s="9" t="s">
        <v>17</v>
      </c>
      <c r="I66" s="9" t="s">
        <v>17</v>
      </c>
      <c r="J66" s="9" t="s">
        <v>34</v>
      </c>
    </row>
    <row r="67" spans="1:10" x14ac:dyDescent="0.25" outlineLevel="1" collapsed="1">
      <c r="A67" s="9" t="s">
        <v>15</v>
      </c>
      <c r="B67" s="9" t="s">
        <v>26</v>
      </c>
      <c r="C67" s="9" t="s">
        <v>35</v>
      </c>
      <c r="D67" s="9"/>
      <c r="E67" s="9" t="s">
        <v>36</v>
      </c>
      <c r="F67" s="9" t="s">
        <v>21</v>
      </c>
      <c r="G67" s="9" t="s">
        <v>870</v>
      </c>
      <c r="H67" s="9" t="s">
        <v>17</v>
      </c>
      <c r="I67" s="9" t="s">
        <v>17</v>
      </c>
      <c r="J67" s="9" t="s">
        <v>38</v>
      </c>
    </row>
    <row r="68" spans="1:10" x14ac:dyDescent="0.25" outlineLevel="1" collapsed="1">
      <c r="A68" s="9" t="s">
        <v>15</v>
      </c>
      <c r="B68" s="9" t="s">
        <v>23</v>
      </c>
      <c r="C68" s="10" t="s">
        <v>871</v>
      </c>
      <c r="D68" s="9"/>
      <c r="E68" s="9" t="s">
        <v>40</v>
      </c>
      <c r="F68" s="9" t="s">
        <v>21</v>
      </c>
      <c r="G68" s="9" t="s">
        <v>41</v>
      </c>
      <c r="H68" s="9" t="s">
        <v>17</v>
      </c>
      <c r="I68" s="9" t="s">
        <v>17</v>
      </c>
      <c r="J68" s="9" t="s">
        <v>42</v>
      </c>
    </row>
    <row r="69" spans="1:10" x14ac:dyDescent="0.25" outlineLevel="1" collapsed="1">
      <c r="A69" s="9" t="s">
        <v>15</v>
      </c>
      <c r="B69" s="9" t="s">
        <v>43</v>
      </c>
      <c r="C69" s="9" t="s">
        <v>17</v>
      </c>
      <c r="D69" s="9"/>
      <c r="E69" s="9" t="s">
        <v>44</v>
      </c>
      <c r="F69" s="9" t="s">
        <v>21</v>
      </c>
      <c r="G69" s="9" t="s">
        <v>17</v>
      </c>
      <c r="H69" s="9" t="s">
        <v>17</v>
      </c>
      <c r="I69" s="9" t="s">
        <v>17</v>
      </c>
      <c r="J69" s="9" t="s">
        <v>19</v>
      </c>
    </row>
    <row r="70" spans="1:10" x14ac:dyDescent="0.25" outlineLevel="1" collapsed="1">
      <c r="A70" s="9" t="s">
        <v>15</v>
      </c>
      <c r="B70" s="9" t="s">
        <v>26</v>
      </c>
      <c r="C70" s="9" t="s">
        <v>45</v>
      </c>
      <c r="D70" s="9"/>
      <c r="E70" s="9" t="s">
        <v>46</v>
      </c>
      <c r="F70" s="9" t="s">
        <v>21</v>
      </c>
      <c r="G70" s="9" t="s">
        <v>872</v>
      </c>
      <c r="H70" s="9" t="s">
        <v>17</v>
      </c>
      <c r="I70" s="9" t="s">
        <v>17</v>
      </c>
      <c r="J70" s="9" t="s">
        <v>48</v>
      </c>
    </row>
    <row r="71" spans="1:10" x14ac:dyDescent="0.25" outlineLevel="1" collapsed="1">
      <c r="A71" s="9" t="s">
        <v>15</v>
      </c>
      <c r="B71" s="9" t="s">
        <v>26</v>
      </c>
      <c r="C71" s="9" t="s">
        <v>49</v>
      </c>
      <c r="D71" s="9"/>
      <c r="E71" s="9" t="s">
        <v>50</v>
      </c>
      <c r="F71" s="9" t="s">
        <v>21</v>
      </c>
      <c r="G71" s="9" t="s">
        <v>873</v>
      </c>
      <c r="H71" s="9" t="s">
        <v>17</v>
      </c>
      <c r="I71" s="9" t="s">
        <v>17</v>
      </c>
      <c r="J71" s="9" t="s">
        <v>52</v>
      </c>
    </row>
    <row r="72" spans="1:10" x14ac:dyDescent="0.25">
      <c r="A72" s="5" t="s">
        <v>15</v>
      </c>
      <c r="B72" s="6" t="s">
        <v>874</v>
      </c>
      <c r="C72" s="5" t="s">
        <v>17</v>
      </c>
      <c r="D72" s="5"/>
      <c r="E72" s="5" t="s">
        <v>874</v>
      </c>
      <c r="F72" s="5" t="s">
        <v>21</v>
      </c>
      <c r="G72" s="5" t="s">
        <v>875</v>
      </c>
      <c r="H72" s="5" t="s">
        <v>17</v>
      </c>
      <c r="I72" s="5" t="s">
        <v>17</v>
      </c>
      <c r="J72" s="5" t="s">
        <v>876</v>
      </c>
    </row>
    <row r="73" spans="1:10" x14ac:dyDescent="0.25" outlineLevel="1" collapsed="1">
      <c r="A73" s="9" t="s">
        <v>15</v>
      </c>
      <c r="B73" s="9" t="s">
        <v>56</v>
      </c>
      <c r="C73" s="9" t="s">
        <v>17</v>
      </c>
      <c r="D73" s="9"/>
      <c r="E73" s="9" t="s">
        <v>877</v>
      </c>
      <c r="F73" s="9" t="s">
        <v>21</v>
      </c>
      <c r="G73" s="9" t="s">
        <v>58</v>
      </c>
      <c r="H73" s="9" t="s">
        <v>17</v>
      </c>
      <c r="I73" s="9" t="s">
        <v>17</v>
      </c>
      <c r="J73" s="9" t="s">
        <v>878</v>
      </c>
    </row>
    <row r="74" spans="1:10" x14ac:dyDescent="0.25" outlineLevel="1" collapsed="1">
      <c r="A74" s="9" t="s">
        <v>15</v>
      </c>
      <c r="B74" s="9" t="s">
        <v>56</v>
      </c>
      <c r="C74" s="9" t="s">
        <v>17</v>
      </c>
      <c r="D74" s="9"/>
      <c r="E74" s="9" t="s">
        <v>879</v>
      </c>
      <c r="F74" s="9" t="s">
        <v>21</v>
      </c>
      <c r="G74" s="9" t="s">
        <v>58</v>
      </c>
      <c r="H74" s="9" t="s">
        <v>17</v>
      </c>
      <c r="I74" s="9" t="s">
        <v>17</v>
      </c>
      <c r="J74" s="9" t="s">
        <v>880</v>
      </c>
    </row>
    <row r="75" spans="1:10" x14ac:dyDescent="0.25" outlineLevel="1" collapsed="1">
      <c r="A75" s="9" t="s">
        <v>15</v>
      </c>
      <c r="B75" s="9" t="s">
        <v>56</v>
      </c>
      <c r="C75" s="9" t="s">
        <v>17</v>
      </c>
      <c r="D75" s="9"/>
      <c r="E75" s="9" t="s">
        <v>881</v>
      </c>
      <c r="F75" s="9" t="s">
        <v>21</v>
      </c>
      <c r="G75" s="9" t="s">
        <v>58</v>
      </c>
      <c r="H75" s="9" t="s">
        <v>17</v>
      </c>
      <c r="I75" s="9" t="s">
        <v>17</v>
      </c>
      <c r="J75" s="9" t="s">
        <v>882</v>
      </c>
    </row>
    <row r="76" spans="1:10" x14ac:dyDescent="0.25" outlineLevel="1" collapsed="1">
      <c r="A76" s="9" t="s">
        <v>15</v>
      </c>
      <c r="B76" s="9" t="s">
        <v>89</v>
      </c>
      <c r="C76" s="9" t="s">
        <v>17</v>
      </c>
      <c r="D76" s="9"/>
      <c r="E76" s="9" t="s">
        <v>883</v>
      </c>
      <c r="F76" s="9" t="s">
        <v>21</v>
      </c>
      <c r="G76" s="9" t="s">
        <v>91</v>
      </c>
      <c r="H76" s="9" t="s">
        <v>17</v>
      </c>
      <c r="I76" s="9" t="s">
        <v>17</v>
      </c>
      <c r="J76" s="9" t="s">
        <v>884</v>
      </c>
    </row>
    <row r="77" spans="1:10" x14ac:dyDescent="0.25">
      <c r="A77" s="5" t="s">
        <v>15</v>
      </c>
      <c r="B77" s="6" t="s">
        <v>885</v>
      </c>
      <c r="C77" s="5" t="s">
        <v>17</v>
      </c>
      <c r="D77" s="5"/>
      <c r="E77" s="5" t="s">
        <v>886</v>
      </c>
      <c r="F77" s="5" t="s">
        <v>21</v>
      </c>
      <c r="G77" s="5" t="s">
        <v>887</v>
      </c>
      <c r="H77" s="5" t="s">
        <v>17</v>
      </c>
      <c r="I77" s="5" t="s">
        <v>17</v>
      </c>
      <c r="J77" s="5" t="s">
        <v>888</v>
      </c>
    </row>
    <row r="78" spans="1:10" x14ac:dyDescent="0.25" outlineLevel="1" collapsed="1">
      <c r="A78" s="9" t="s">
        <v>15</v>
      </c>
      <c r="B78" s="9" t="s">
        <v>56</v>
      </c>
      <c r="C78" s="9" t="s">
        <v>17</v>
      </c>
      <c r="D78" s="9"/>
      <c r="E78" s="9" t="s">
        <v>889</v>
      </c>
      <c r="F78" s="9" t="s">
        <v>21</v>
      </c>
      <c r="G78" s="9" t="s">
        <v>58</v>
      </c>
      <c r="H78" s="9" t="s">
        <v>17</v>
      </c>
      <c r="I78" s="9" t="s">
        <v>17</v>
      </c>
      <c r="J78" s="9" t="s">
        <v>890</v>
      </c>
    </row>
    <row r="79" spans="1:10" x14ac:dyDescent="0.25" outlineLevel="1" collapsed="1">
      <c r="A79" s="9" t="s">
        <v>15</v>
      </c>
      <c r="B79" s="9" t="s">
        <v>56</v>
      </c>
      <c r="C79" s="9" t="s">
        <v>17</v>
      </c>
      <c r="D79" s="9"/>
      <c r="E79" s="9" t="s">
        <v>891</v>
      </c>
      <c r="F79" s="9" t="s">
        <v>21</v>
      </c>
      <c r="G79" s="9" t="s">
        <v>58</v>
      </c>
      <c r="H79" s="9" t="s">
        <v>17</v>
      </c>
      <c r="I79" s="9" t="s">
        <v>17</v>
      </c>
      <c r="J79" s="9" t="s">
        <v>892</v>
      </c>
    </row>
    <row r="80" spans="1:10" x14ac:dyDescent="0.25" outlineLevel="1" collapsed="1">
      <c r="A80" s="9" t="s">
        <v>15</v>
      </c>
      <c r="B80" s="9" t="s">
        <v>56</v>
      </c>
      <c r="C80" s="9" t="s">
        <v>17</v>
      </c>
      <c r="D80" s="9"/>
      <c r="E80" s="9" t="s">
        <v>893</v>
      </c>
      <c r="F80" s="9" t="s">
        <v>21</v>
      </c>
      <c r="G80" s="9" t="s">
        <v>58</v>
      </c>
      <c r="H80" s="9" t="s">
        <v>17</v>
      </c>
      <c r="I80" s="9" t="s">
        <v>17</v>
      </c>
      <c r="J80" s="9" t="s">
        <v>894</v>
      </c>
    </row>
    <row r="81" spans="1:10" x14ac:dyDescent="0.25" outlineLevel="1" collapsed="1">
      <c r="A81" s="9" t="s">
        <v>15</v>
      </c>
      <c r="B81" s="9" t="s">
        <v>56</v>
      </c>
      <c r="C81" s="9" t="s">
        <v>17</v>
      </c>
      <c r="D81" s="9"/>
      <c r="E81" s="9" t="s">
        <v>895</v>
      </c>
      <c r="F81" s="9" t="s">
        <v>21</v>
      </c>
      <c r="G81" s="9" t="s">
        <v>58</v>
      </c>
      <c r="H81" s="9" t="s">
        <v>17</v>
      </c>
      <c r="I81" s="9" t="s">
        <v>17</v>
      </c>
      <c r="J81" s="9" t="s">
        <v>896</v>
      </c>
    </row>
    <row r="82" spans="1:10" x14ac:dyDescent="0.25">
      <c r="A82" s="5" t="s">
        <v>15</v>
      </c>
      <c r="B82" s="6" t="s">
        <v>897</v>
      </c>
      <c r="C82" s="5" t="s">
        <v>17</v>
      </c>
      <c r="D82" s="5"/>
      <c r="E82" s="5" t="s">
        <v>898</v>
      </c>
      <c r="F82" s="5" t="s">
        <v>21</v>
      </c>
      <c r="G82" s="5" t="s">
        <v>899</v>
      </c>
      <c r="H82" s="5" t="s">
        <v>17</v>
      </c>
      <c r="I82" s="5" t="s">
        <v>17</v>
      </c>
      <c r="J82" s="5" t="s">
        <v>900</v>
      </c>
    </row>
    <row r="83" spans="1:10" x14ac:dyDescent="0.25" outlineLevel="1" collapsed="1">
      <c r="A83" s="9" t="s">
        <v>15</v>
      </c>
      <c r="B83" s="9" t="s">
        <v>56</v>
      </c>
      <c r="C83" s="9" t="s">
        <v>17</v>
      </c>
      <c r="D83" s="9"/>
      <c r="E83" s="9" t="s">
        <v>901</v>
      </c>
      <c r="F83" s="9" t="s">
        <v>21</v>
      </c>
      <c r="G83" s="9" t="s">
        <v>58</v>
      </c>
      <c r="H83" s="9" t="s">
        <v>17</v>
      </c>
      <c r="I83" s="9" t="s">
        <v>17</v>
      </c>
      <c r="J83" s="9" t="s">
        <v>203</v>
      </c>
    </row>
    <row r="84" spans="1:10" x14ac:dyDescent="0.25" outlineLevel="1" collapsed="1">
      <c r="A84" s="9" t="s">
        <v>21</v>
      </c>
      <c r="B84" s="9" t="s">
        <v>466</v>
      </c>
      <c r="C84" s="11" t="s">
        <v>467</v>
      </c>
      <c r="D84" s="9"/>
      <c r="E84" s="12" t="s">
        <v>902</v>
      </c>
      <c r="F84" s="9" t="s">
        <v>21</v>
      </c>
      <c r="G84" s="9" t="s">
        <v>17</v>
      </c>
      <c r="H84" s="9" t="s">
        <v>17</v>
      </c>
      <c r="I84" s="9" t="s">
        <v>17</v>
      </c>
      <c r="J84" s="9" t="s">
        <v>903</v>
      </c>
    </row>
    <row r="85" spans="1:10" x14ac:dyDescent="0.25" outlineLevel="1" collapsed="1">
      <c r="A85" s="7" t="s">
        <v>21</v>
      </c>
      <c r="B85" s="8" t="s">
        <v>904</v>
      </c>
      <c r="C85" s="7" t="s">
        <v>17</v>
      </c>
      <c r="D85" s="7"/>
      <c r="E85" s="7" t="s">
        <v>905</v>
      </c>
      <c r="F85" s="7" t="s">
        <v>15</v>
      </c>
      <c r="G85" s="7" t="s">
        <v>17</v>
      </c>
      <c r="H85" s="7" t="s">
        <v>17</v>
      </c>
      <c r="I85" s="7" t="s">
        <v>17</v>
      </c>
      <c r="J85" s="7" t="s">
        <v>222</v>
      </c>
    </row>
    <row r="86" spans="1:10" x14ac:dyDescent="0.25" outlineLevel="2" collapsed="1">
      <c r="A86" s="9" t="s">
        <v>15</v>
      </c>
      <c r="B86" s="9" t="s">
        <v>89</v>
      </c>
      <c r="C86" s="9" t="s">
        <v>17</v>
      </c>
      <c r="D86" s="9"/>
      <c r="E86" s="9" t="s">
        <v>906</v>
      </c>
      <c r="F86" s="9" t="s">
        <v>21</v>
      </c>
      <c r="G86" s="9" t="s">
        <v>91</v>
      </c>
      <c r="H86" s="9" t="s">
        <v>17</v>
      </c>
      <c r="I86" s="9" t="s">
        <v>17</v>
      </c>
      <c r="J86" s="9" t="s">
        <v>907</v>
      </c>
    </row>
    <row r="87" spans="1:10" x14ac:dyDescent="0.25" outlineLevel="2" collapsed="1">
      <c r="A87" s="9" t="s">
        <v>15</v>
      </c>
      <c r="B87" s="9" t="s">
        <v>56</v>
      </c>
      <c r="C87" s="9" t="s">
        <v>17</v>
      </c>
      <c r="D87" s="9"/>
      <c r="E87" s="9" t="s">
        <v>908</v>
      </c>
      <c r="F87" s="9" t="s">
        <v>21</v>
      </c>
      <c r="G87" s="9" t="s">
        <v>58</v>
      </c>
      <c r="H87" s="9" t="s">
        <v>17</v>
      </c>
      <c r="I87" s="9" t="s">
        <v>17</v>
      </c>
      <c r="J87" s="9" t="s">
        <v>909</v>
      </c>
    </row>
    <row r="88" spans="1:10" x14ac:dyDescent="0.25" outlineLevel="2" collapsed="1">
      <c r="A88" s="9" t="s">
        <v>15</v>
      </c>
      <c r="B88" s="9" t="s">
        <v>56</v>
      </c>
      <c r="C88" s="9" t="s">
        <v>17</v>
      </c>
      <c r="D88" s="9"/>
      <c r="E88" s="9" t="s">
        <v>910</v>
      </c>
      <c r="F88" s="9" t="s">
        <v>21</v>
      </c>
      <c r="G88" s="9" t="s">
        <v>58</v>
      </c>
      <c r="H88" s="9" t="s">
        <v>17</v>
      </c>
      <c r="I88" s="9" t="s">
        <v>17</v>
      </c>
      <c r="J88" s="9" t="s">
        <v>911</v>
      </c>
    </row>
    <row r="89" spans="1:10" x14ac:dyDescent="0.25" outlineLevel="2" collapsed="1">
      <c r="A89" s="9" t="s">
        <v>15</v>
      </c>
      <c r="B89" s="9" t="s">
        <v>56</v>
      </c>
      <c r="C89" s="9" t="s">
        <v>17</v>
      </c>
      <c r="D89" s="9"/>
      <c r="E89" s="9" t="s">
        <v>912</v>
      </c>
      <c r="F89" s="9" t="s">
        <v>21</v>
      </c>
      <c r="G89" s="9" t="s">
        <v>58</v>
      </c>
      <c r="H89" s="9" t="s">
        <v>17</v>
      </c>
      <c r="I89" s="9" t="s">
        <v>17</v>
      </c>
      <c r="J89" s="9" t="s">
        <v>913</v>
      </c>
    </row>
    <row r="90" spans="1:10" x14ac:dyDescent="0.25" outlineLevel="2" collapsed="1">
      <c r="A90" s="9" t="s">
        <v>15</v>
      </c>
      <c r="B90" s="9" t="s">
        <v>56</v>
      </c>
      <c r="C90" s="9" t="s">
        <v>17</v>
      </c>
      <c r="D90" s="9"/>
      <c r="E90" s="9" t="s">
        <v>914</v>
      </c>
      <c r="F90" s="9" t="s">
        <v>21</v>
      </c>
      <c r="G90" s="9" t="s">
        <v>58</v>
      </c>
      <c r="H90" s="9" t="s">
        <v>17</v>
      </c>
      <c r="I90" s="9" t="s">
        <v>17</v>
      </c>
      <c r="J90" s="9" t="s">
        <v>915</v>
      </c>
    </row>
    <row r="91" spans="1:10" x14ac:dyDescent="0.25" outlineLevel="2" collapsed="1">
      <c r="A91" s="9" t="s">
        <v>15</v>
      </c>
      <c r="B91" s="9" t="s">
        <v>56</v>
      </c>
      <c r="C91" s="9" t="s">
        <v>17</v>
      </c>
      <c r="D91" s="9"/>
      <c r="E91" s="9" t="s">
        <v>916</v>
      </c>
      <c r="F91" s="9" t="s">
        <v>21</v>
      </c>
      <c r="G91" s="9" t="s">
        <v>58</v>
      </c>
      <c r="H91" s="9" t="s">
        <v>17</v>
      </c>
      <c r="I91" s="9" t="s">
        <v>17</v>
      </c>
      <c r="J91" s="9" t="s">
        <v>917</v>
      </c>
    </row>
    <row r="92" spans="1:10" x14ac:dyDescent="0.25" outlineLevel="2" collapsed="1">
      <c r="A92" s="9" t="s">
        <v>15</v>
      </c>
      <c r="B92" s="9" t="s">
        <v>26</v>
      </c>
      <c r="C92" s="9" t="s">
        <v>918</v>
      </c>
      <c r="D92" s="9"/>
      <c r="E92" s="9" t="s">
        <v>919</v>
      </c>
      <c r="F92" s="9" t="s">
        <v>21</v>
      </c>
      <c r="G92" s="9" t="s">
        <v>920</v>
      </c>
      <c r="H92" s="9" t="s">
        <v>17</v>
      </c>
      <c r="I92" s="9" t="s">
        <v>17</v>
      </c>
      <c r="J92" s="9" t="s">
        <v>921</v>
      </c>
    </row>
    <row r="93" spans="1:10" x14ac:dyDescent="0.25" outlineLevel="2" collapsed="1">
      <c r="A93" s="9" t="s">
        <v>15</v>
      </c>
      <c r="B93" s="9" t="s">
        <v>386</v>
      </c>
      <c r="C93" s="9" t="s">
        <v>17</v>
      </c>
      <c r="D93" s="9"/>
      <c r="E93" s="9" t="s">
        <v>922</v>
      </c>
      <c r="F93" s="9" t="s">
        <v>21</v>
      </c>
      <c r="G93" s="9">
        <v>1</v>
      </c>
      <c r="H93" s="9" t="s">
        <v>17</v>
      </c>
      <c r="I93" s="9" t="s">
        <v>17</v>
      </c>
      <c r="J93" s="9" t="s">
        <v>923</v>
      </c>
    </row>
    <row r="94" spans="1:10" x14ac:dyDescent="0.25" outlineLevel="2" collapsed="1">
      <c r="A94" s="9" t="s">
        <v>15</v>
      </c>
      <c r="B94" s="9" t="s">
        <v>56</v>
      </c>
      <c r="C94" s="9" t="s">
        <v>17</v>
      </c>
      <c r="D94" s="9"/>
      <c r="E94" s="9" t="s">
        <v>924</v>
      </c>
      <c r="F94" s="9" t="s">
        <v>21</v>
      </c>
      <c r="G94" s="9" t="s">
        <v>58</v>
      </c>
      <c r="H94" s="9" t="s">
        <v>17</v>
      </c>
      <c r="I94" s="9" t="s">
        <v>17</v>
      </c>
      <c r="J94" s="9" t="s">
        <v>925</v>
      </c>
    </row>
    <row r="95" spans="1:10" x14ac:dyDescent="0.25" outlineLevel="2" collapsed="1">
      <c r="A95" s="9" t="s">
        <v>15</v>
      </c>
      <c r="B95" s="9" t="s">
        <v>175</v>
      </c>
      <c r="C95" s="9" t="s">
        <v>17</v>
      </c>
      <c r="D95" s="9"/>
      <c r="E95" s="9" t="s">
        <v>926</v>
      </c>
      <c r="F95" s="9" t="s">
        <v>21</v>
      </c>
      <c r="G95" s="9" t="s">
        <v>927</v>
      </c>
      <c r="H95" s="9" t="s">
        <v>17</v>
      </c>
      <c r="I95" s="9" t="s">
        <v>17</v>
      </c>
      <c r="J95" s="9" t="s">
        <v>928</v>
      </c>
    </row>
    <row r="96" spans="1:10" x14ac:dyDescent="0.25" outlineLevel="1" collapsed="1">
      <c r="A96" s="9" t="s">
        <v>15</v>
      </c>
      <c r="B96" s="9" t="s">
        <v>23</v>
      </c>
      <c r="C96" s="10" t="s">
        <v>929</v>
      </c>
      <c r="D96" s="9"/>
      <c r="E96" s="9" t="s">
        <v>123</v>
      </c>
      <c r="F96" s="9" t="s">
        <v>21</v>
      </c>
      <c r="G96" s="9" t="s">
        <v>124</v>
      </c>
      <c r="H96" s="9" t="s">
        <v>17</v>
      </c>
      <c r="I96" s="9" t="s">
        <v>17</v>
      </c>
      <c r="J96" s="9" t="s">
        <v>125</v>
      </c>
    </row>
    <row r="97" spans="1:10" x14ac:dyDescent="0.25" outlineLevel="1" collapsed="1">
      <c r="A97" s="7" t="s">
        <v>21</v>
      </c>
      <c r="B97" s="8" t="s">
        <v>930</v>
      </c>
      <c r="C97" s="7" t="s">
        <v>17</v>
      </c>
      <c r="D97" s="7">
        <f>EXACT(G96,"CWT, CWS")</f>
      </c>
      <c r="E97" s="7" t="s">
        <v>931</v>
      </c>
      <c r="F97" s="7" t="s">
        <v>21</v>
      </c>
      <c r="G97" s="7" t="s">
        <v>17</v>
      </c>
      <c r="H97" s="7" t="s">
        <v>17</v>
      </c>
      <c r="I97" s="7" t="s">
        <v>17</v>
      </c>
      <c r="J97" s="7" t="s">
        <v>932</v>
      </c>
    </row>
    <row r="98" spans="1:10" x14ac:dyDescent="0.25" outlineLevel="2" collapsed="1">
      <c r="A98" s="9" t="s">
        <v>15</v>
      </c>
      <c r="B98" s="9" t="s">
        <v>56</v>
      </c>
      <c r="C98" s="9" t="s">
        <v>17</v>
      </c>
      <c r="D98" s="9"/>
      <c r="E98" s="9" t="s">
        <v>933</v>
      </c>
      <c r="F98" s="9" t="s">
        <v>21</v>
      </c>
      <c r="G98" s="9" t="s">
        <v>58</v>
      </c>
      <c r="H98" s="9" t="s">
        <v>17</v>
      </c>
      <c r="I98" s="9" t="s">
        <v>17</v>
      </c>
      <c r="J98" s="9" t="s">
        <v>934</v>
      </c>
    </row>
    <row r="99" spans="1:10" x14ac:dyDescent="0.25" outlineLevel="2" collapsed="1">
      <c r="A99" s="9" t="s">
        <v>15</v>
      </c>
      <c r="B99" s="9" t="s">
        <v>56</v>
      </c>
      <c r="C99" s="9" t="s">
        <v>17</v>
      </c>
      <c r="D99" s="9"/>
      <c r="E99" s="9" t="s">
        <v>935</v>
      </c>
      <c r="F99" s="9" t="s">
        <v>21</v>
      </c>
      <c r="G99" s="9" t="s">
        <v>58</v>
      </c>
      <c r="H99" s="9" t="s">
        <v>17</v>
      </c>
      <c r="I99" s="9" t="s">
        <v>17</v>
      </c>
      <c r="J99" s="9" t="s">
        <v>936</v>
      </c>
    </row>
    <row r="100" spans="1:10" x14ac:dyDescent="0.25" outlineLevel="2" collapsed="1">
      <c r="A100" s="9" t="s">
        <v>15</v>
      </c>
      <c r="B100" s="9" t="s">
        <v>386</v>
      </c>
      <c r="C100" s="9" t="s">
        <v>17</v>
      </c>
      <c r="D100" s="9"/>
      <c r="E100" s="9" t="s">
        <v>937</v>
      </c>
      <c r="F100" s="9" t="s">
        <v>21</v>
      </c>
      <c r="G100" s="9">
        <v>1</v>
      </c>
      <c r="H100" s="9" t="s">
        <v>17</v>
      </c>
      <c r="I100" s="9" t="s">
        <v>17</v>
      </c>
      <c r="J100" s="9" t="s">
        <v>938</v>
      </c>
    </row>
    <row r="101" spans="1:10" x14ac:dyDescent="0.25" outlineLevel="2" collapsed="1">
      <c r="A101" s="9" t="s">
        <v>15</v>
      </c>
      <c r="B101" s="9" t="s">
        <v>56</v>
      </c>
      <c r="C101" s="9" t="s">
        <v>17</v>
      </c>
      <c r="D101" s="9"/>
      <c r="E101" s="9" t="s">
        <v>939</v>
      </c>
      <c r="F101" s="9" t="s">
        <v>21</v>
      </c>
      <c r="G101" s="9" t="s">
        <v>58</v>
      </c>
      <c r="H101" s="9" t="s">
        <v>17</v>
      </c>
      <c r="I101" s="9" t="s">
        <v>17</v>
      </c>
      <c r="J101" s="9" t="s">
        <v>940</v>
      </c>
    </row>
    <row r="102" spans="1:10" x14ac:dyDescent="0.25" outlineLevel="2" collapsed="1">
      <c r="A102" s="9" t="s">
        <v>15</v>
      </c>
      <c r="B102" s="9" t="s">
        <v>56</v>
      </c>
      <c r="C102" s="9" t="s">
        <v>17</v>
      </c>
      <c r="D102" s="9"/>
      <c r="E102" s="9" t="s">
        <v>941</v>
      </c>
      <c r="F102" s="9" t="s">
        <v>21</v>
      </c>
      <c r="G102" s="9" t="s">
        <v>58</v>
      </c>
      <c r="H102" s="9" t="s">
        <v>17</v>
      </c>
      <c r="I102" s="9" t="s">
        <v>17</v>
      </c>
      <c r="J102" s="9" t="s">
        <v>942</v>
      </c>
    </row>
    <row r="103" spans="1:10" x14ac:dyDescent="0.25" outlineLevel="2" collapsed="1">
      <c r="A103" s="9" t="s">
        <v>15</v>
      </c>
      <c r="B103" s="9" t="s">
        <v>169</v>
      </c>
      <c r="C103" s="9" t="s">
        <v>17</v>
      </c>
      <c r="D103" s="9"/>
      <c r="E103" s="9" t="s">
        <v>943</v>
      </c>
      <c r="F103" s="9" t="s">
        <v>21</v>
      </c>
      <c r="G103" s="9" t="b">
        <v>1</v>
      </c>
      <c r="H103" s="9" t="s">
        <v>17</v>
      </c>
      <c r="I103" s="9" t="s">
        <v>17</v>
      </c>
      <c r="J103" s="9" t="s">
        <v>944</v>
      </c>
    </row>
    <row r="104" spans="1:10" x14ac:dyDescent="0.25" outlineLevel="2" collapsed="1">
      <c r="A104" s="9" t="s">
        <v>15</v>
      </c>
      <c r="B104" s="9" t="s">
        <v>56</v>
      </c>
      <c r="C104" s="9" t="s">
        <v>17</v>
      </c>
      <c r="D104" s="9"/>
      <c r="E104" s="9" t="s">
        <v>945</v>
      </c>
      <c r="F104" s="9" t="s">
        <v>21</v>
      </c>
      <c r="G104" s="9" t="s">
        <v>58</v>
      </c>
      <c r="H104" s="9" t="s">
        <v>17</v>
      </c>
      <c r="I104" s="9" t="s">
        <v>17</v>
      </c>
      <c r="J104" s="9" t="s">
        <v>946</v>
      </c>
    </row>
    <row r="105" spans="1:10" x14ac:dyDescent="0.25" outlineLevel="2" collapsed="1">
      <c r="A105" s="9" t="s">
        <v>15</v>
      </c>
      <c r="B105" s="9" t="s">
        <v>175</v>
      </c>
      <c r="C105" s="9" t="s">
        <v>17</v>
      </c>
      <c r="D105" s="9"/>
      <c r="E105" s="9" t="s">
        <v>947</v>
      </c>
      <c r="F105" s="9" t="s">
        <v>21</v>
      </c>
      <c r="G105" s="9" t="s">
        <v>948</v>
      </c>
      <c r="H105" s="9" t="s">
        <v>17</v>
      </c>
      <c r="I105" s="9" t="s">
        <v>17</v>
      </c>
      <c r="J105" s="9" t="s">
        <v>949</v>
      </c>
    </row>
    <row r="106" spans="1:10" x14ac:dyDescent="0.25" outlineLevel="1" collapsed="1">
      <c r="A106" s="7" t="s">
        <v>21</v>
      </c>
      <c r="B106" s="8" t="s">
        <v>950</v>
      </c>
      <c r="C106" s="7" t="s">
        <v>17</v>
      </c>
      <c r="D106" s="7">
        <f>EXACT(G96,"CWT, CWS")</f>
      </c>
      <c r="E106" s="7" t="s">
        <v>951</v>
      </c>
      <c r="F106" s="7" t="s">
        <v>21</v>
      </c>
      <c r="G106" s="7" t="s">
        <v>17</v>
      </c>
      <c r="H106" s="7" t="s">
        <v>17</v>
      </c>
      <c r="I106" s="7" t="s">
        <v>17</v>
      </c>
      <c r="J106" s="7" t="s">
        <v>952</v>
      </c>
    </row>
    <row r="107" spans="1:10" x14ac:dyDescent="0.25" outlineLevel="2" collapsed="1">
      <c r="A107" s="9" t="s">
        <v>15</v>
      </c>
      <c r="B107" s="9" t="s">
        <v>386</v>
      </c>
      <c r="C107" s="9" t="s">
        <v>17</v>
      </c>
      <c r="D107" s="9"/>
      <c r="E107" s="9" t="s">
        <v>953</v>
      </c>
      <c r="F107" s="9" t="s">
        <v>21</v>
      </c>
      <c r="G107" s="9">
        <v>1</v>
      </c>
      <c r="H107" s="9" t="s">
        <v>17</v>
      </c>
      <c r="I107" s="9" t="s">
        <v>17</v>
      </c>
      <c r="J107" s="9" t="s">
        <v>954</v>
      </c>
    </row>
    <row r="108" spans="1:10" x14ac:dyDescent="0.25" outlineLevel="2" collapsed="1">
      <c r="A108" s="9" t="s">
        <v>15</v>
      </c>
      <c r="B108" s="9" t="s">
        <v>386</v>
      </c>
      <c r="C108" s="9" t="s">
        <v>17</v>
      </c>
      <c r="D108" s="9"/>
      <c r="E108" s="9" t="s">
        <v>955</v>
      </c>
      <c r="F108" s="9" t="s">
        <v>21</v>
      </c>
      <c r="G108" s="9">
        <v>1</v>
      </c>
      <c r="H108" s="9" t="s">
        <v>17</v>
      </c>
      <c r="I108" s="9" t="s">
        <v>17</v>
      </c>
      <c r="J108" s="9" t="s">
        <v>956</v>
      </c>
    </row>
    <row r="109" spans="1:10" x14ac:dyDescent="0.25" outlineLevel="2" collapsed="1">
      <c r="A109" s="9" t="s">
        <v>15</v>
      </c>
      <c r="B109" s="9" t="s">
        <v>386</v>
      </c>
      <c r="C109" s="9" t="s">
        <v>17</v>
      </c>
      <c r="D109" s="9"/>
      <c r="E109" s="9" t="s">
        <v>957</v>
      </c>
      <c r="F109" s="9" t="s">
        <v>21</v>
      </c>
      <c r="G109" s="9">
        <v>1</v>
      </c>
      <c r="H109" s="9" t="s">
        <v>17</v>
      </c>
      <c r="I109" s="9" t="s">
        <v>17</v>
      </c>
      <c r="J109" s="9" t="s">
        <v>958</v>
      </c>
    </row>
    <row r="110" spans="1:10" x14ac:dyDescent="0.25" outlineLevel="2" collapsed="1">
      <c r="A110" s="9" t="s">
        <v>15</v>
      </c>
      <c r="B110" s="9" t="s">
        <v>79</v>
      </c>
      <c r="C110" s="9" t="s">
        <v>17</v>
      </c>
      <c r="D110" s="9"/>
      <c r="E110" s="9" t="s">
        <v>959</v>
      </c>
      <c r="F110" s="9" t="s">
        <v>21</v>
      </c>
      <c r="G110" s="9">
        <v>1</v>
      </c>
      <c r="H110" s="9" t="s">
        <v>17</v>
      </c>
      <c r="I110" s="9" t="s">
        <v>17</v>
      </c>
      <c r="J110" s="9" t="s">
        <v>960</v>
      </c>
    </row>
    <row r="111" spans="1:10" x14ac:dyDescent="0.25" outlineLevel="2" collapsed="1">
      <c r="A111" s="9" t="s">
        <v>15</v>
      </c>
      <c r="B111" s="9" t="s">
        <v>386</v>
      </c>
      <c r="C111" s="9" t="s">
        <v>17</v>
      </c>
      <c r="D111" s="9"/>
      <c r="E111" s="9" t="s">
        <v>961</v>
      </c>
      <c r="F111" s="9" t="s">
        <v>21</v>
      </c>
      <c r="G111" s="9">
        <v>1</v>
      </c>
      <c r="H111" s="9" t="s">
        <v>17</v>
      </c>
      <c r="I111" s="9" t="s">
        <v>17</v>
      </c>
      <c r="J111" s="9" t="s">
        <v>962</v>
      </c>
    </row>
    <row r="112" spans="1:10" x14ac:dyDescent="0.25" outlineLevel="1" collapsed="1">
      <c r="A112" s="7" t="s">
        <v>21</v>
      </c>
      <c r="B112" s="8" t="s">
        <v>963</v>
      </c>
      <c r="C112" s="7" t="s">
        <v>17</v>
      </c>
      <c r="D112" s="7">
        <f>EXACT(G96,"HWT, IWT")</f>
      </c>
      <c r="E112" s="7" t="s">
        <v>964</v>
      </c>
      <c r="F112" s="7" t="s">
        <v>21</v>
      </c>
      <c r="G112" s="7" t="s">
        <v>17</v>
      </c>
      <c r="H112" s="7" t="s">
        <v>17</v>
      </c>
      <c r="I112" s="7" t="s">
        <v>17</v>
      </c>
      <c r="J112" s="7" t="s">
        <v>471</v>
      </c>
    </row>
    <row r="113" spans="1:10" x14ac:dyDescent="0.25" outlineLevel="2" collapsed="1">
      <c r="A113" s="9" t="s">
        <v>15</v>
      </c>
      <c r="B113" s="9" t="s">
        <v>169</v>
      </c>
      <c r="C113" s="9" t="s">
        <v>17</v>
      </c>
      <c r="D113" s="9"/>
      <c r="E113" s="9" t="s">
        <v>965</v>
      </c>
      <c r="F113" s="9" t="s">
        <v>21</v>
      </c>
      <c r="G113" s="9" t="b">
        <v>1</v>
      </c>
      <c r="H113" s="9" t="s">
        <v>17</v>
      </c>
      <c r="I113" s="9" t="s">
        <v>17</v>
      </c>
      <c r="J113" s="9" t="s">
        <v>966</v>
      </c>
    </row>
    <row r="114" spans="1:10" x14ac:dyDescent="0.25" outlineLevel="2" collapsed="1">
      <c r="A114" s="9" t="s">
        <v>15</v>
      </c>
      <c r="B114" s="9" t="s">
        <v>56</v>
      </c>
      <c r="C114" s="9" t="s">
        <v>17</v>
      </c>
      <c r="D114" s="9"/>
      <c r="E114" s="9" t="s">
        <v>967</v>
      </c>
      <c r="F114" s="9" t="s">
        <v>21</v>
      </c>
      <c r="G114" s="9" t="s">
        <v>58</v>
      </c>
      <c r="H114" s="9" t="s">
        <v>17</v>
      </c>
      <c r="I114" s="9" t="s">
        <v>17</v>
      </c>
      <c r="J114" s="9" t="s">
        <v>968</v>
      </c>
    </row>
    <row r="115" spans="1:10" x14ac:dyDescent="0.25" outlineLevel="2" collapsed="1">
      <c r="A115" s="9" t="s">
        <v>15</v>
      </c>
      <c r="B115" s="9" t="s">
        <v>26</v>
      </c>
      <c r="C115" s="9" t="s">
        <v>918</v>
      </c>
      <c r="D115" s="9"/>
      <c r="E115" s="9" t="s">
        <v>969</v>
      </c>
      <c r="F115" s="9" t="s">
        <v>21</v>
      </c>
      <c r="G115" s="9" t="s">
        <v>970</v>
      </c>
      <c r="H115" s="9" t="s">
        <v>17</v>
      </c>
      <c r="I115" s="9" t="s">
        <v>17</v>
      </c>
      <c r="J115" s="9" t="s">
        <v>971</v>
      </c>
    </row>
    <row r="116" spans="1:10" x14ac:dyDescent="0.25" outlineLevel="2" collapsed="1">
      <c r="A116" s="9" t="s">
        <v>15</v>
      </c>
      <c r="B116" s="9" t="s">
        <v>56</v>
      </c>
      <c r="C116" s="9" t="s">
        <v>17</v>
      </c>
      <c r="D116" s="9"/>
      <c r="E116" s="9" t="s">
        <v>972</v>
      </c>
      <c r="F116" s="9" t="s">
        <v>21</v>
      </c>
      <c r="G116" s="9" t="s">
        <v>58</v>
      </c>
      <c r="H116" s="9" t="s">
        <v>17</v>
      </c>
      <c r="I116" s="9" t="s">
        <v>17</v>
      </c>
      <c r="J116" s="9" t="s">
        <v>973</v>
      </c>
    </row>
    <row r="117" spans="1:10" x14ac:dyDescent="0.25" outlineLevel="2" collapsed="1">
      <c r="A117" s="9" t="s">
        <v>15</v>
      </c>
      <c r="B117" s="9" t="s">
        <v>56</v>
      </c>
      <c r="C117" s="9" t="s">
        <v>17</v>
      </c>
      <c r="D117" s="9"/>
      <c r="E117" s="9" t="s">
        <v>974</v>
      </c>
      <c r="F117" s="9" t="s">
        <v>21</v>
      </c>
      <c r="G117" s="9" t="s">
        <v>58</v>
      </c>
      <c r="H117" s="9" t="s">
        <v>17</v>
      </c>
      <c r="I117" s="9" t="s">
        <v>17</v>
      </c>
      <c r="J117" s="9" t="s">
        <v>975</v>
      </c>
    </row>
    <row r="118" spans="1:10" x14ac:dyDescent="0.25" outlineLevel="1" collapsed="1">
      <c r="A118" s="7" t="s">
        <v>21</v>
      </c>
      <c r="B118" s="8" t="s">
        <v>976</v>
      </c>
      <c r="C118" s="7" t="s">
        <v>17</v>
      </c>
      <c r="D118" s="7"/>
      <c r="E118" s="7" t="s">
        <v>977</v>
      </c>
      <c r="F118" s="7" t="s">
        <v>15</v>
      </c>
      <c r="G118" s="7" t="s">
        <v>17</v>
      </c>
      <c r="H118" s="7" t="s">
        <v>17</v>
      </c>
      <c r="I118" s="7" t="s">
        <v>17</v>
      </c>
      <c r="J118" s="7" t="s">
        <v>978</v>
      </c>
    </row>
    <row r="119" spans="1:10" x14ac:dyDescent="0.25" outlineLevel="2" collapsed="1">
      <c r="A119" s="9" t="s">
        <v>15</v>
      </c>
      <c r="B119" s="9" t="s">
        <v>89</v>
      </c>
      <c r="C119" s="9" t="s">
        <v>17</v>
      </c>
      <c r="D119" s="9"/>
      <c r="E119" s="9" t="s">
        <v>979</v>
      </c>
      <c r="F119" s="9" t="s">
        <v>21</v>
      </c>
      <c r="G119" s="9" t="s">
        <v>91</v>
      </c>
      <c r="H119" s="9" t="s">
        <v>17</v>
      </c>
      <c r="I119" s="9" t="s">
        <v>17</v>
      </c>
      <c r="J119" s="9" t="s">
        <v>980</v>
      </c>
    </row>
    <row r="120" spans="1:10" x14ac:dyDescent="0.25" outlineLevel="2" collapsed="1">
      <c r="A120" s="9" t="s">
        <v>15</v>
      </c>
      <c r="B120" s="9" t="s">
        <v>56</v>
      </c>
      <c r="C120" s="9" t="s">
        <v>17</v>
      </c>
      <c r="D120" s="9"/>
      <c r="E120" s="9" t="s">
        <v>981</v>
      </c>
      <c r="F120" s="9" t="s">
        <v>21</v>
      </c>
      <c r="G120" s="9" t="s">
        <v>58</v>
      </c>
      <c r="H120" s="9" t="s">
        <v>17</v>
      </c>
      <c r="I120" s="9" t="s">
        <v>17</v>
      </c>
      <c r="J120" s="9" t="s">
        <v>982</v>
      </c>
    </row>
    <row r="121" spans="1:10" x14ac:dyDescent="0.25" outlineLevel="2" collapsed="1">
      <c r="A121" s="9" t="s">
        <v>15</v>
      </c>
      <c r="B121" s="9" t="s">
        <v>56</v>
      </c>
      <c r="C121" s="9" t="s">
        <v>17</v>
      </c>
      <c r="D121" s="9"/>
      <c r="E121" s="9" t="s">
        <v>271</v>
      </c>
      <c r="F121" s="9" t="s">
        <v>21</v>
      </c>
      <c r="G121" s="9" t="s">
        <v>58</v>
      </c>
      <c r="H121" s="9" t="s">
        <v>17</v>
      </c>
      <c r="I121" s="9" t="s">
        <v>17</v>
      </c>
      <c r="J121" s="9" t="s">
        <v>272</v>
      </c>
    </row>
    <row r="122" spans="1:10" x14ac:dyDescent="0.25" outlineLevel="2" collapsed="1">
      <c r="A122" s="9" t="s">
        <v>15</v>
      </c>
      <c r="B122" s="9" t="s">
        <v>175</v>
      </c>
      <c r="C122" s="9" t="s">
        <v>17</v>
      </c>
      <c r="D122" s="9"/>
      <c r="E122" s="9" t="s">
        <v>983</v>
      </c>
      <c r="F122" s="9" t="s">
        <v>21</v>
      </c>
      <c r="G122" s="9" t="s">
        <v>984</v>
      </c>
      <c r="H122" s="9" t="s">
        <v>17</v>
      </c>
      <c r="I122" s="9" t="s">
        <v>17</v>
      </c>
      <c r="J122" s="9" t="s">
        <v>985</v>
      </c>
    </row>
    <row r="123" spans="1:10" x14ac:dyDescent="0.25">
      <c r="A123" s="5" t="s">
        <v>15</v>
      </c>
      <c r="B123" s="6" t="s">
        <v>986</v>
      </c>
      <c r="C123" s="5" t="s">
        <v>17</v>
      </c>
      <c r="D123" s="5"/>
      <c r="E123" s="5" t="s">
        <v>987</v>
      </c>
      <c r="F123" s="5" t="s">
        <v>21</v>
      </c>
      <c r="G123" s="5" t="s">
        <v>988</v>
      </c>
      <c r="H123" s="5" t="s">
        <v>17</v>
      </c>
      <c r="I123" s="5" t="s">
        <v>17</v>
      </c>
      <c r="J123" s="5" t="s">
        <v>989</v>
      </c>
    </row>
    <row r="124" spans="1:10" x14ac:dyDescent="0.25" outlineLevel="1" collapsed="1">
      <c r="A124" s="9" t="s">
        <v>15</v>
      </c>
      <c r="B124" s="9" t="s">
        <v>56</v>
      </c>
      <c r="C124" s="9" t="s">
        <v>17</v>
      </c>
      <c r="D124" s="9"/>
      <c r="E124" s="9" t="s">
        <v>990</v>
      </c>
      <c r="F124" s="9" t="s">
        <v>21</v>
      </c>
      <c r="G124" s="9" t="s">
        <v>58</v>
      </c>
      <c r="H124" s="9" t="s">
        <v>17</v>
      </c>
      <c r="I124" s="9" t="s">
        <v>17</v>
      </c>
      <c r="J124" s="9" t="s">
        <v>991</v>
      </c>
    </row>
    <row r="125" spans="1:10" x14ac:dyDescent="0.25" outlineLevel="1" collapsed="1">
      <c r="A125" s="9" t="s">
        <v>21</v>
      </c>
      <c r="B125" s="9" t="s">
        <v>175</v>
      </c>
      <c r="C125" s="9" t="s">
        <v>17</v>
      </c>
      <c r="D125" s="9"/>
      <c r="E125" s="9" t="s">
        <v>992</v>
      </c>
      <c r="F125" s="9" t="s">
        <v>15</v>
      </c>
      <c r="G125" s="9" t="s">
        <v>993</v>
      </c>
      <c r="H125" s="9" t="s">
        <v>17</v>
      </c>
      <c r="I125" s="9" t="s">
        <v>17</v>
      </c>
      <c r="J125" s="9" t="s">
        <v>994</v>
      </c>
    </row>
    <row r="126" spans="1:10" x14ac:dyDescent="0.25" outlineLevel="1" collapsed="1">
      <c r="A126" s="9" t="s">
        <v>15</v>
      </c>
      <c r="B126" s="9" t="s">
        <v>56</v>
      </c>
      <c r="C126" s="9" t="s">
        <v>17</v>
      </c>
      <c r="D126" s="9"/>
      <c r="E126" s="9" t="s">
        <v>995</v>
      </c>
      <c r="F126" s="9" t="s">
        <v>21</v>
      </c>
      <c r="G126" s="9" t="s">
        <v>58</v>
      </c>
      <c r="H126" s="9" t="s">
        <v>17</v>
      </c>
      <c r="I126" s="9" t="s">
        <v>17</v>
      </c>
      <c r="J126" s="9" t="s">
        <v>996</v>
      </c>
    </row>
    <row r="127" spans="1:10" x14ac:dyDescent="0.25" outlineLevel="1" collapsed="1">
      <c r="A127" s="9" t="s">
        <v>15</v>
      </c>
      <c r="B127" s="9" t="s">
        <v>56</v>
      </c>
      <c r="C127" s="9" t="s">
        <v>17</v>
      </c>
      <c r="D127" s="9"/>
      <c r="E127" s="9" t="s">
        <v>997</v>
      </c>
      <c r="F127" s="9" t="s">
        <v>21</v>
      </c>
      <c r="G127" s="9" t="s">
        <v>58</v>
      </c>
      <c r="H127" s="9" t="s">
        <v>17</v>
      </c>
      <c r="I127" s="9" t="s">
        <v>17</v>
      </c>
      <c r="J127" s="9" t="s">
        <v>998</v>
      </c>
    </row>
    <row r="128" spans="1:10" x14ac:dyDescent="0.25" outlineLevel="1" collapsed="1">
      <c r="A128" s="7" t="s">
        <v>15</v>
      </c>
      <c r="B128" s="8" t="s">
        <v>999</v>
      </c>
      <c r="C128" s="7" t="s">
        <v>17</v>
      </c>
      <c r="D128" s="7"/>
      <c r="E128" s="7" t="s">
        <v>999</v>
      </c>
      <c r="F128" s="7" t="s">
        <v>15</v>
      </c>
      <c r="G128" s="7" t="s">
        <v>17</v>
      </c>
      <c r="H128" s="7" t="s">
        <v>17</v>
      </c>
      <c r="I128" s="7" t="s">
        <v>17</v>
      </c>
      <c r="J128" s="7" t="s">
        <v>1000</v>
      </c>
    </row>
    <row r="129" spans="1:10" x14ac:dyDescent="0.25" outlineLevel="2" collapsed="1">
      <c r="A129" s="9" t="s">
        <v>15</v>
      </c>
      <c r="B129" s="9" t="s">
        <v>43</v>
      </c>
      <c r="C129" s="9" t="s">
        <v>17</v>
      </c>
      <c r="D129" s="9"/>
      <c r="E129" s="9" t="s">
        <v>271</v>
      </c>
      <c r="F129" s="9" t="s">
        <v>21</v>
      </c>
      <c r="G129" s="9" t="s">
        <v>17</v>
      </c>
      <c r="H129" s="9" t="s">
        <v>17</v>
      </c>
      <c r="I129" s="9" t="s">
        <v>17</v>
      </c>
      <c r="J129" s="9" t="s">
        <v>272</v>
      </c>
    </row>
    <row r="130" spans="1:10" x14ac:dyDescent="0.25" outlineLevel="2" collapsed="1">
      <c r="A130" s="7" t="s">
        <v>15</v>
      </c>
      <c r="B130" s="8" t="s">
        <v>1001</v>
      </c>
      <c r="C130" s="7" t="s">
        <v>17</v>
      </c>
      <c r="D130" s="7"/>
      <c r="E130" s="7" t="s">
        <v>1002</v>
      </c>
      <c r="F130" s="7" t="s">
        <v>15</v>
      </c>
      <c r="G130" s="7" t="s">
        <v>17</v>
      </c>
      <c r="H130" s="7" t="s">
        <v>17</v>
      </c>
      <c r="I130" s="7" t="s">
        <v>17</v>
      </c>
      <c r="J130" s="7" t="s">
        <v>1003</v>
      </c>
    </row>
    <row r="131" spans="1:10" x14ac:dyDescent="0.25" outlineLevel="3" collapsed="1">
      <c r="A131" s="9" t="s">
        <v>15</v>
      </c>
      <c r="B131" s="9" t="s">
        <v>56</v>
      </c>
      <c r="C131" s="9" t="s">
        <v>17</v>
      </c>
      <c r="D131" s="9"/>
      <c r="E131" s="9" t="s">
        <v>1004</v>
      </c>
      <c r="F131" s="9" t="s">
        <v>21</v>
      </c>
      <c r="G131" s="9" t="s">
        <v>58</v>
      </c>
      <c r="H131" s="9" t="s">
        <v>17</v>
      </c>
      <c r="I131" s="9" t="s">
        <v>17</v>
      </c>
      <c r="J131" s="9" t="s">
        <v>1005</v>
      </c>
    </row>
    <row r="132" spans="1:10" x14ac:dyDescent="0.25" outlineLevel="3" collapsed="1">
      <c r="A132" s="9" t="s">
        <v>15</v>
      </c>
      <c r="B132" s="9" t="s">
        <v>79</v>
      </c>
      <c r="C132" s="9" t="s">
        <v>17</v>
      </c>
      <c r="D132" s="9"/>
      <c r="E132" s="9" t="s">
        <v>1006</v>
      </c>
      <c r="F132" s="9" t="s">
        <v>21</v>
      </c>
      <c r="G132" s="9">
        <v>1</v>
      </c>
      <c r="H132" s="9" t="s">
        <v>17</v>
      </c>
      <c r="I132" s="9" t="s">
        <v>17</v>
      </c>
      <c r="J132" s="9" t="s">
        <v>1007</v>
      </c>
    </row>
    <row r="133" spans="1:10" x14ac:dyDescent="0.25" outlineLevel="3" collapsed="1">
      <c r="A133" s="9" t="s">
        <v>21</v>
      </c>
      <c r="B133" s="9" t="s">
        <v>79</v>
      </c>
      <c r="C133" s="9" t="s">
        <v>17</v>
      </c>
      <c r="D133" s="9" t="s">
        <v>375</v>
      </c>
      <c r="E133" s="9" t="s">
        <v>1008</v>
      </c>
      <c r="F133" s="9" t="s">
        <v>21</v>
      </c>
      <c r="G133" s="9">
        <v>1</v>
      </c>
      <c r="H133" s="9" t="s">
        <v>17</v>
      </c>
      <c r="I133" s="9" t="s">
        <v>17</v>
      </c>
      <c r="J133" s="9" t="s">
        <v>1009</v>
      </c>
    </row>
    <row r="134" spans="1:10" x14ac:dyDescent="0.25" outlineLevel="3" collapsed="1">
      <c r="A134" s="9" t="s">
        <v>15</v>
      </c>
      <c r="B134" s="9" t="s">
        <v>79</v>
      </c>
      <c r="C134" s="9" t="s">
        <v>17</v>
      </c>
      <c r="D134" s="9"/>
      <c r="E134" s="9" t="s">
        <v>1010</v>
      </c>
      <c r="F134" s="9" t="s">
        <v>21</v>
      </c>
      <c r="G134" s="9">
        <v>1</v>
      </c>
      <c r="H134" s="9" t="s">
        <v>17</v>
      </c>
      <c r="I134" s="9" t="s">
        <v>17</v>
      </c>
      <c r="J134" s="9" t="s">
        <v>1011</v>
      </c>
    </row>
    <row r="135" spans="1:10" x14ac:dyDescent="0.25" outlineLevel="3" collapsed="1">
      <c r="A135" s="9" t="s">
        <v>15</v>
      </c>
      <c r="B135" s="9" t="s">
        <v>79</v>
      </c>
      <c r="C135" s="9" t="s">
        <v>17</v>
      </c>
      <c r="D135" s="9"/>
      <c r="E135" s="9" t="s">
        <v>1012</v>
      </c>
      <c r="F135" s="9" t="s">
        <v>21</v>
      </c>
      <c r="G135" s="9">
        <v>1</v>
      </c>
      <c r="H135" s="9" t="s">
        <v>17</v>
      </c>
      <c r="I135" s="9" t="s">
        <v>17</v>
      </c>
      <c r="J135" s="9" t="s">
        <v>1013</v>
      </c>
    </row>
    <row r="136" spans="1:10" x14ac:dyDescent="0.25" outlineLevel="3" collapsed="1">
      <c r="A136" s="9" t="s">
        <v>15</v>
      </c>
      <c r="B136" s="9" t="s">
        <v>79</v>
      </c>
      <c r="C136" s="9" t="s">
        <v>17</v>
      </c>
      <c r="D136" s="9"/>
      <c r="E136" s="9" t="s">
        <v>1014</v>
      </c>
      <c r="F136" s="9" t="s">
        <v>21</v>
      </c>
      <c r="G136" s="9">
        <v>1</v>
      </c>
      <c r="H136" s="9" t="s">
        <v>17</v>
      </c>
      <c r="I136" s="9" t="s">
        <v>17</v>
      </c>
      <c r="J136" s="9" t="s">
        <v>1015</v>
      </c>
    </row>
    <row r="137" spans="1:10" x14ac:dyDescent="0.25" outlineLevel="3" collapsed="1">
      <c r="A137" s="9" t="s">
        <v>21</v>
      </c>
      <c r="B137" s="9" t="s">
        <v>79</v>
      </c>
      <c r="C137" s="9" t="s">
        <v>17</v>
      </c>
      <c r="D137" s="9" t="s">
        <v>375</v>
      </c>
      <c r="E137" s="9" t="s">
        <v>1016</v>
      </c>
      <c r="F137" s="9" t="s">
        <v>21</v>
      </c>
      <c r="G137" s="9">
        <v>1</v>
      </c>
      <c r="H137" s="9" t="s">
        <v>17</v>
      </c>
      <c r="I137" s="9" t="s">
        <v>17</v>
      </c>
      <c r="J137" s="9" t="s">
        <v>1017</v>
      </c>
    </row>
    <row r="138" spans="1:10" x14ac:dyDescent="0.25" outlineLevel="3" collapsed="1">
      <c r="A138" s="9" t="s">
        <v>15</v>
      </c>
      <c r="B138" s="9" t="s">
        <v>79</v>
      </c>
      <c r="C138" s="9" t="s">
        <v>17</v>
      </c>
      <c r="D138" s="9"/>
      <c r="E138" s="9" t="s">
        <v>1018</v>
      </c>
      <c r="F138" s="9" t="s">
        <v>21</v>
      </c>
      <c r="G138" s="9">
        <v>1</v>
      </c>
      <c r="H138" s="9" t="s">
        <v>17</v>
      </c>
      <c r="I138" s="9" t="s">
        <v>17</v>
      </c>
      <c r="J138" s="9" t="s">
        <v>1019</v>
      </c>
    </row>
    <row r="139" spans="1:10" x14ac:dyDescent="0.25" outlineLevel="2" collapsed="1">
      <c r="A139" s="7" t="s">
        <v>15</v>
      </c>
      <c r="B139" s="8" t="s">
        <v>1020</v>
      </c>
      <c r="C139" s="7" t="s">
        <v>17</v>
      </c>
      <c r="D139" s="7"/>
      <c r="E139" s="7" t="s">
        <v>1021</v>
      </c>
      <c r="F139" s="7" t="s">
        <v>21</v>
      </c>
      <c r="G139" s="7" t="s">
        <v>17</v>
      </c>
      <c r="H139" s="7" t="s">
        <v>17</v>
      </c>
      <c r="I139" s="7" t="s">
        <v>17</v>
      </c>
      <c r="J139" s="7" t="s">
        <v>1022</v>
      </c>
    </row>
    <row r="140" spans="1:10" x14ac:dyDescent="0.25" outlineLevel="3" collapsed="1">
      <c r="A140" s="9" t="s">
        <v>15</v>
      </c>
      <c r="B140" s="9" t="s">
        <v>23</v>
      </c>
      <c r="C140" s="10" t="s">
        <v>1023</v>
      </c>
      <c r="D140" s="9"/>
      <c r="E140" s="9" t="s">
        <v>123</v>
      </c>
      <c r="F140" s="9" t="s">
        <v>21</v>
      </c>
      <c r="G140" s="9" t="s">
        <v>124</v>
      </c>
      <c r="H140" s="9" t="s">
        <v>17</v>
      </c>
      <c r="I140" s="9" t="s">
        <v>17</v>
      </c>
      <c r="J140" s="9" t="s">
        <v>1024</v>
      </c>
    </row>
    <row r="141" spans="1:10" x14ac:dyDescent="0.25" outlineLevel="3" collapsed="1">
      <c r="A141" s="7" t="s">
        <v>21</v>
      </c>
      <c r="B141" s="8" t="s">
        <v>1025</v>
      </c>
      <c r="C141" s="7" t="s">
        <v>17</v>
      </c>
      <c r="D141" s="7">
        <f>EXACT(G140,"HWT, IWT")</f>
      </c>
      <c r="E141" s="7" t="s">
        <v>1026</v>
      </c>
      <c r="F141" s="7" t="s">
        <v>15</v>
      </c>
      <c r="G141" s="7" t="s">
        <v>17</v>
      </c>
      <c r="H141" s="7" t="s">
        <v>17</v>
      </c>
      <c r="I141" s="7" t="s">
        <v>17</v>
      </c>
      <c r="J141" s="7" t="s">
        <v>1027</v>
      </c>
    </row>
    <row r="142" spans="1:10" x14ac:dyDescent="0.25" outlineLevel="4" collapsed="1">
      <c r="A142" s="9" t="s">
        <v>15</v>
      </c>
      <c r="B142" s="9" t="s">
        <v>386</v>
      </c>
      <c r="C142" s="9" t="s">
        <v>17</v>
      </c>
      <c r="D142" s="9"/>
      <c r="E142" s="9" t="s">
        <v>1028</v>
      </c>
      <c r="F142" s="9" t="s">
        <v>21</v>
      </c>
      <c r="G142" s="9">
        <v>1</v>
      </c>
      <c r="H142" s="9" t="s">
        <v>17</v>
      </c>
      <c r="I142" s="9" t="s">
        <v>17</v>
      </c>
      <c r="J142" s="9" t="s">
        <v>1029</v>
      </c>
    </row>
    <row r="143" spans="1:10" x14ac:dyDescent="0.25" outlineLevel="4" collapsed="1">
      <c r="A143" s="9" t="s">
        <v>15</v>
      </c>
      <c r="B143" s="9" t="s">
        <v>79</v>
      </c>
      <c r="C143" s="9" t="s">
        <v>17</v>
      </c>
      <c r="D143" s="9"/>
      <c r="E143" s="9" t="s">
        <v>1030</v>
      </c>
      <c r="F143" s="9" t="s">
        <v>21</v>
      </c>
      <c r="G143" s="9">
        <v>1</v>
      </c>
      <c r="H143" s="9" t="s">
        <v>17</v>
      </c>
      <c r="I143" s="9" t="s">
        <v>17</v>
      </c>
      <c r="J143" s="9" t="s">
        <v>1031</v>
      </c>
    </row>
    <row r="144" spans="1:10" x14ac:dyDescent="0.25" outlineLevel="4" collapsed="1">
      <c r="A144" s="9" t="s">
        <v>15</v>
      </c>
      <c r="B144" s="9" t="s">
        <v>386</v>
      </c>
      <c r="C144" s="9" t="s">
        <v>17</v>
      </c>
      <c r="D144" s="9"/>
      <c r="E144" s="9" t="s">
        <v>1032</v>
      </c>
      <c r="F144" s="9" t="s">
        <v>21</v>
      </c>
      <c r="G144" s="9">
        <v>1</v>
      </c>
      <c r="H144" s="9" t="s">
        <v>17</v>
      </c>
      <c r="I144" s="9" t="s">
        <v>17</v>
      </c>
      <c r="J144" s="9" t="s">
        <v>1033</v>
      </c>
    </row>
    <row r="145" spans="1:10" x14ac:dyDescent="0.25" outlineLevel="3" collapsed="1">
      <c r="A145" s="9" t="s">
        <v>21</v>
      </c>
      <c r="B145" s="9" t="s">
        <v>79</v>
      </c>
      <c r="C145" s="9" t="s">
        <v>17</v>
      </c>
      <c r="D145" s="9">
        <f>EXACT(G140,"HWT, IWT")</f>
      </c>
      <c r="E145" s="9" t="s">
        <v>1034</v>
      </c>
      <c r="F145" s="9" t="s">
        <v>21</v>
      </c>
      <c r="G145" s="9">
        <v>1</v>
      </c>
      <c r="H145" s="9" t="s">
        <v>17</v>
      </c>
      <c r="I145" s="9" t="s">
        <v>17</v>
      </c>
      <c r="J145" s="9" t="s">
        <v>1035</v>
      </c>
    </row>
    <row r="146" spans="1:10" x14ac:dyDescent="0.25" outlineLevel="3" collapsed="1">
      <c r="A146" s="9" t="s">
        <v>21</v>
      </c>
      <c r="B146" s="9" t="s">
        <v>79</v>
      </c>
      <c r="C146" s="9" t="s">
        <v>17</v>
      </c>
      <c r="D146" s="9">
        <f>EXACT(G140,"HWT, IWT")</f>
      </c>
      <c r="E146" s="9" t="s">
        <v>1036</v>
      </c>
      <c r="F146" s="9" t="s">
        <v>21</v>
      </c>
      <c r="G146" s="9">
        <v>1</v>
      </c>
      <c r="H146" s="9" t="s">
        <v>17</v>
      </c>
      <c r="I146" s="9" t="s">
        <v>17</v>
      </c>
      <c r="J146" s="9" t="s">
        <v>1037</v>
      </c>
    </row>
    <row r="147" spans="1:10" x14ac:dyDescent="0.25" outlineLevel="3" collapsed="1">
      <c r="A147" s="9" t="s">
        <v>21</v>
      </c>
      <c r="B147" s="9" t="s">
        <v>79</v>
      </c>
      <c r="C147" s="9" t="s">
        <v>17</v>
      </c>
      <c r="D147" s="9">
        <f>EXACT(G140,"HWT, IWT")</f>
      </c>
      <c r="E147" s="9" t="s">
        <v>1038</v>
      </c>
      <c r="F147" s="9" t="s">
        <v>21</v>
      </c>
      <c r="G147" s="9">
        <v>1</v>
      </c>
      <c r="H147" s="9" t="s">
        <v>17</v>
      </c>
      <c r="I147" s="9" t="s">
        <v>17</v>
      </c>
      <c r="J147" s="9" t="s">
        <v>968</v>
      </c>
    </row>
    <row r="148" spans="1:10" x14ac:dyDescent="0.25" outlineLevel="3" collapsed="1">
      <c r="A148" s="9" t="s">
        <v>21</v>
      </c>
      <c r="B148" s="9" t="s">
        <v>79</v>
      </c>
      <c r="C148" s="9" t="s">
        <v>17</v>
      </c>
      <c r="D148" s="9">
        <f>EXACT(G140,"HWT, IWT")</f>
      </c>
      <c r="E148" s="9" t="s">
        <v>1039</v>
      </c>
      <c r="F148" s="9" t="s">
        <v>21</v>
      </c>
      <c r="G148" s="9">
        <v>1</v>
      </c>
      <c r="H148" s="9" t="s">
        <v>17</v>
      </c>
      <c r="I148" s="9" t="s">
        <v>17</v>
      </c>
      <c r="J148" s="9" t="s">
        <v>1040</v>
      </c>
    </row>
    <row r="149" spans="1:10" x14ac:dyDescent="0.25" outlineLevel="3" collapsed="1">
      <c r="A149" s="9" t="s">
        <v>21</v>
      </c>
      <c r="B149" s="9" t="s">
        <v>79</v>
      </c>
      <c r="C149" s="9" t="s">
        <v>17</v>
      </c>
      <c r="D149" s="9">
        <f>EXACT(G140,"HWT, IWT")</f>
      </c>
      <c r="E149" s="9" t="s">
        <v>1041</v>
      </c>
      <c r="F149" s="9" t="s">
        <v>21</v>
      </c>
      <c r="G149" s="9">
        <v>1</v>
      </c>
      <c r="H149" s="9" t="s">
        <v>17</v>
      </c>
      <c r="I149" s="9" t="s">
        <v>17</v>
      </c>
      <c r="J149" s="9" t="s">
        <v>1042</v>
      </c>
    </row>
    <row r="150" spans="1:10" x14ac:dyDescent="0.25" outlineLevel="3" collapsed="1">
      <c r="A150" s="9" t="s">
        <v>21</v>
      </c>
      <c r="B150" s="9" t="s">
        <v>79</v>
      </c>
      <c r="C150" s="9" t="s">
        <v>17</v>
      </c>
      <c r="D150" s="9">
        <f>EXACT(G140,"CWT, CWS")</f>
      </c>
      <c r="E150" s="9" t="s">
        <v>1043</v>
      </c>
      <c r="F150" s="9" t="s">
        <v>21</v>
      </c>
      <c r="G150" s="9">
        <v>1</v>
      </c>
      <c r="H150" s="9" t="s">
        <v>17</v>
      </c>
      <c r="I150" s="9" t="s">
        <v>17</v>
      </c>
      <c r="J150" s="9" t="s">
        <v>1044</v>
      </c>
    </row>
    <row r="151" spans="1:10" x14ac:dyDescent="0.25" outlineLevel="3" collapsed="1">
      <c r="A151" s="7" t="s">
        <v>21</v>
      </c>
      <c r="B151" s="8" t="s">
        <v>1045</v>
      </c>
      <c r="C151" s="7" t="s">
        <v>17</v>
      </c>
      <c r="D151" s="7">
        <f>EXACT(G140,"CWT, CWS")</f>
      </c>
      <c r="E151" s="7" t="s">
        <v>1026</v>
      </c>
      <c r="F151" s="7" t="s">
        <v>15</v>
      </c>
      <c r="G151" s="7" t="s">
        <v>17</v>
      </c>
      <c r="H151" s="7" t="s">
        <v>17</v>
      </c>
      <c r="I151" s="7" t="s">
        <v>17</v>
      </c>
      <c r="J151" s="7" t="s">
        <v>1046</v>
      </c>
    </row>
    <row r="152" spans="1:10" x14ac:dyDescent="0.25" outlineLevel="4" collapsed="1">
      <c r="A152" s="9" t="s">
        <v>15</v>
      </c>
      <c r="B152" s="9" t="s">
        <v>56</v>
      </c>
      <c r="C152" s="9" t="s">
        <v>17</v>
      </c>
      <c r="D152" s="9"/>
      <c r="E152" s="9" t="s">
        <v>1047</v>
      </c>
      <c r="F152" s="9" t="s">
        <v>21</v>
      </c>
      <c r="G152" s="9" t="s">
        <v>58</v>
      </c>
      <c r="H152" s="9" t="s">
        <v>17</v>
      </c>
      <c r="I152" s="9" t="s">
        <v>17</v>
      </c>
      <c r="J152" s="9" t="s">
        <v>1048</v>
      </c>
    </row>
    <row r="153" spans="1:10" x14ac:dyDescent="0.25" outlineLevel="4" collapsed="1">
      <c r="A153" s="9" t="s">
        <v>15</v>
      </c>
      <c r="B153" s="9" t="s">
        <v>386</v>
      </c>
      <c r="C153" s="9" t="s">
        <v>17</v>
      </c>
      <c r="D153" s="9"/>
      <c r="E153" s="9" t="s">
        <v>1049</v>
      </c>
      <c r="F153" s="9" t="s">
        <v>21</v>
      </c>
      <c r="G153" s="9">
        <v>1</v>
      </c>
      <c r="H153" s="9" t="s">
        <v>17</v>
      </c>
      <c r="I153" s="9" t="s">
        <v>17</v>
      </c>
      <c r="J153" s="9" t="s">
        <v>1050</v>
      </c>
    </row>
    <row r="154" spans="1:10" x14ac:dyDescent="0.25" outlineLevel="4" collapsed="1">
      <c r="A154" s="9" t="s">
        <v>15</v>
      </c>
      <c r="B154" s="9" t="s">
        <v>79</v>
      </c>
      <c r="C154" s="9" t="s">
        <v>17</v>
      </c>
      <c r="D154" s="9"/>
      <c r="E154" s="9" t="s">
        <v>1041</v>
      </c>
      <c r="F154" s="9" t="s">
        <v>21</v>
      </c>
      <c r="G154" s="9">
        <v>1</v>
      </c>
      <c r="H154" s="9" t="s">
        <v>17</v>
      </c>
      <c r="I154" s="9" t="s">
        <v>17</v>
      </c>
      <c r="J154" s="9" t="s">
        <v>1051</v>
      </c>
    </row>
    <row r="155" spans="1:10" x14ac:dyDescent="0.25" outlineLevel="4" collapsed="1">
      <c r="A155" s="9" t="s">
        <v>15</v>
      </c>
      <c r="B155" s="9" t="s">
        <v>79</v>
      </c>
      <c r="C155" s="9" t="s">
        <v>17</v>
      </c>
      <c r="D155" s="9"/>
      <c r="E155" s="9" t="s">
        <v>1052</v>
      </c>
      <c r="F155" s="9" t="s">
        <v>21</v>
      </c>
      <c r="G155" s="9">
        <v>1</v>
      </c>
      <c r="H155" s="9" t="s">
        <v>17</v>
      </c>
      <c r="I155" s="9" t="s">
        <v>17</v>
      </c>
      <c r="J155" s="9" t="s">
        <v>1053</v>
      </c>
    </row>
    <row r="156" spans="1:10" x14ac:dyDescent="0.25" outlineLevel="4" collapsed="1">
      <c r="A156" s="9" t="s">
        <v>15</v>
      </c>
      <c r="B156" s="9" t="s">
        <v>386</v>
      </c>
      <c r="C156" s="9" t="s">
        <v>17</v>
      </c>
      <c r="D156" s="9"/>
      <c r="E156" s="9" t="s">
        <v>1032</v>
      </c>
      <c r="F156" s="9" t="s">
        <v>21</v>
      </c>
      <c r="G156" s="9">
        <v>1</v>
      </c>
      <c r="H156" s="9" t="s">
        <v>17</v>
      </c>
      <c r="I156" s="9" t="s">
        <v>17</v>
      </c>
      <c r="J156" s="9" t="s">
        <v>1054</v>
      </c>
    </row>
    <row r="157" spans="1:10" x14ac:dyDescent="0.25" outlineLevel="3" collapsed="1">
      <c r="A157" s="9" t="s">
        <v>21</v>
      </c>
      <c r="B157" s="9" t="s">
        <v>79</v>
      </c>
      <c r="C157" s="9" t="s">
        <v>17</v>
      </c>
      <c r="D157" s="9" t="s">
        <v>375</v>
      </c>
      <c r="E157" s="9" t="s">
        <v>609</v>
      </c>
      <c r="F157" s="9" t="s">
        <v>21</v>
      </c>
      <c r="G157" s="9">
        <v>1</v>
      </c>
      <c r="H157" s="9" t="s">
        <v>17</v>
      </c>
      <c r="I157" s="9" t="s">
        <v>17</v>
      </c>
      <c r="J157" s="9" t="s">
        <v>1055</v>
      </c>
    </row>
    <row r="158" spans="1:10" x14ac:dyDescent="0.25" outlineLevel="2" collapsed="1">
      <c r="A158" s="7" t="s">
        <v>15</v>
      </c>
      <c r="B158" s="8" t="s">
        <v>612</v>
      </c>
      <c r="C158" s="7" t="s">
        <v>17</v>
      </c>
      <c r="D158" s="7"/>
      <c r="E158" s="7" t="s">
        <v>612</v>
      </c>
      <c r="F158" s="7" t="s">
        <v>21</v>
      </c>
      <c r="G158" s="7" t="s">
        <v>17</v>
      </c>
      <c r="H158" s="7" t="s">
        <v>17</v>
      </c>
      <c r="I158" s="7" t="s">
        <v>17</v>
      </c>
      <c r="J158" s="7" t="s">
        <v>613</v>
      </c>
    </row>
    <row r="159" spans="1:10" x14ac:dyDescent="0.25" outlineLevel="3" collapsed="1">
      <c r="A159" s="7" t="s">
        <v>15</v>
      </c>
      <c r="B159" s="8" t="s">
        <v>1056</v>
      </c>
      <c r="C159" s="7" t="s">
        <v>17</v>
      </c>
      <c r="D159" s="7"/>
      <c r="E159" s="7" t="s">
        <v>1056</v>
      </c>
      <c r="F159" s="7" t="s">
        <v>15</v>
      </c>
      <c r="G159" s="7" t="s">
        <v>17</v>
      </c>
      <c r="H159" s="7" t="s">
        <v>17</v>
      </c>
      <c r="I159" s="7" t="s">
        <v>17</v>
      </c>
      <c r="J159" s="7" t="s">
        <v>1057</v>
      </c>
    </row>
    <row r="160" spans="1:10" x14ac:dyDescent="0.25" outlineLevel="4" collapsed="1">
      <c r="A160" s="9" t="s">
        <v>15</v>
      </c>
      <c r="B160" s="9" t="s">
        <v>56</v>
      </c>
      <c r="C160" s="9" t="s">
        <v>17</v>
      </c>
      <c r="D160" s="9"/>
      <c r="E160" s="9" t="s">
        <v>304</v>
      </c>
      <c r="F160" s="9" t="s">
        <v>21</v>
      </c>
      <c r="G160" s="9" t="s">
        <v>58</v>
      </c>
      <c r="H160" s="9" t="s">
        <v>17</v>
      </c>
      <c r="I160" s="9" t="s">
        <v>17</v>
      </c>
      <c r="J160" s="9" t="s">
        <v>305</v>
      </c>
    </row>
    <row r="161" spans="1:10" x14ac:dyDescent="0.25" outlineLevel="4" collapsed="1">
      <c r="A161" s="9" t="s">
        <v>15</v>
      </c>
      <c r="B161" s="9" t="s">
        <v>79</v>
      </c>
      <c r="C161" s="9" t="s">
        <v>17</v>
      </c>
      <c r="D161" s="9"/>
      <c r="E161" s="9" t="s">
        <v>1058</v>
      </c>
      <c r="F161" s="9" t="s">
        <v>21</v>
      </c>
      <c r="G161" s="9">
        <v>1</v>
      </c>
      <c r="H161" s="9" t="s">
        <v>17</v>
      </c>
      <c r="I161" s="9" t="s">
        <v>17</v>
      </c>
      <c r="J161" s="9" t="s">
        <v>1059</v>
      </c>
    </row>
    <row r="162" spans="1:10" x14ac:dyDescent="0.25" outlineLevel="4" collapsed="1">
      <c r="A162" s="9" t="s">
        <v>15</v>
      </c>
      <c r="B162" s="9" t="s">
        <v>79</v>
      </c>
      <c r="C162" s="9" t="s">
        <v>17</v>
      </c>
      <c r="D162" s="9"/>
      <c r="E162" s="9" t="s">
        <v>1060</v>
      </c>
      <c r="F162" s="9" t="s">
        <v>21</v>
      </c>
      <c r="G162" s="9">
        <v>1</v>
      </c>
      <c r="H162" s="9" t="s">
        <v>17</v>
      </c>
      <c r="I162" s="9" t="s">
        <v>17</v>
      </c>
      <c r="J162" s="9" t="s">
        <v>1061</v>
      </c>
    </row>
    <row r="163" spans="1:10" x14ac:dyDescent="0.25" outlineLevel="4" collapsed="1">
      <c r="A163" s="9" t="s">
        <v>15</v>
      </c>
      <c r="B163" s="9" t="s">
        <v>79</v>
      </c>
      <c r="C163" s="9" t="s">
        <v>17</v>
      </c>
      <c r="D163" s="9"/>
      <c r="E163" s="9" t="s">
        <v>1062</v>
      </c>
      <c r="F163" s="9" t="s">
        <v>21</v>
      </c>
      <c r="G163" s="9">
        <v>1</v>
      </c>
      <c r="H163" s="9" t="s">
        <v>17</v>
      </c>
      <c r="I163" s="9" t="s">
        <v>17</v>
      </c>
      <c r="J163" s="9" t="s">
        <v>1063</v>
      </c>
    </row>
    <row r="164" spans="1:10" x14ac:dyDescent="0.25" outlineLevel="3" collapsed="1">
      <c r="A164" s="9" t="s">
        <v>21</v>
      </c>
      <c r="B164" s="9" t="s">
        <v>79</v>
      </c>
      <c r="C164" s="9" t="s">
        <v>17</v>
      </c>
      <c r="D164" s="9" t="s">
        <v>375</v>
      </c>
      <c r="E164" s="9" t="s">
        <v>1056</v>
      </c>
      <c r="F164" s="9" t="s">
        <v>21</v>
      </c>
      <c r="G164" s="9">
        <v>1</v>
      </c>
      <c r="H164" s="9" t="s">
        <v>17</v>
      </c>
      <c r="I164" s="9" t="s">
        <v>17</v>
      </c>
      <c r="J164" s="9" t="s">
        <v>1064</v>
      </c>
    </row>
    <row r="165" spans="1:10" x14ac:dyDescent="0.25" outlineLevel="3" collapsed="1">
      <c r="A165" s="7" t="s">
        <v>15</v>
      </c>
      <c r="B165" s="8" t="s">
        <v>1065</v>
      </c>
      <c r="C165" s="7" t="s">
        <v>17</v>
      </c>
      <c r="D165" s="7"/>
      <c r="E165" s="7" t="s">
        <v>1065</v>
      </c>
      <c r="F165" s="7" t="s">
        <v>21</v>
      </c>
      <c r="G165" s="7" t="s">
        <v>17</v>
      </c>
      <c r="H165" s="7" t="s">
        <v>17</v>
      </c>
      <c r="I165" s="7" t="s">
        <v>17</v>
      </c>
      <c r="J165" s="7" t="s">
        <v>1066</v>
      </c>
    </row>
    <row r="166" spans="1:10" x14ac:dyDescent="0.25" outlineLevel="4" collapsed="1">
      <c r="A166" s="9" t="s">
        <v>15</v>
      </c>
      <c r="B166" s="9" t="s">
        <v>79</v>
      </c>
      <c r="C166" s="9" t="s">
        <v>17</v>
      </c>
      <c r="D166" s="9"/>
      <c r="E166" s="9" t="s">
        <v>1067</v>
      </c>
      <c r="F166" s="9" t="s">
        <v>21</v>
      </c>
      <c r="G166" s="9">
        <v>1</v>
      </c>
      <c r="H166" s="9" t="s">
        <v>17</v>
      </c>
      <c r="I166" s="9" t="s">
        <v>17</v>
      </c>
      <c r="J166" s="9" t="s">
        <v>1068</v>
      </c>
    </row>
    <row r="167" spans="1:10" x14ac:dyDescent="0.25" outlineLevel="4" collapsed="1">
      <c r="A167" s="9" t="s">
        <v>15</v>
      </c>
      <c r="B167" s="9" t="s">
        <v>79</v>
      </c>
      <c r="C167" s="9" t="s">
        <v>17</v>
      </c>
      <c r="D167" s="9"/>
      <c r="E167" s="9" t="s">
        <v>1069</v>
      </c>
      <c r="F167" s="9" t="s">
        <v>21</v>
      </c>
      <c r="G167" s="9">
        <v>1</v>
      </c>
      <c r="H167" s="9" t="s">
        <v>17</v>
      </c>
      <c r="I167" s="9" t="s">
        <v>17</v>
      </c>
      <c r="J167" s="9" t="s">
        <v>1070</v>
      </c>
    </row>
    <row r="168" spans="1:10" x14ac:dyDescent="0.25" outlineLevel="4" collapsed="1">
      <c r="A168" s="9" t="s">
        <v>15</v>
      </c>
      <c r="B168" s="9" t="s">
        <v>79</v>
      </c>
      <c r="C168" s="9" t="s">
        <v>17</v>
      </c>
      <c r="D168" s="9"/>
      <c r="E168" s="9" t="s">
        <v>1071</v>
      </c>
      <c r="F168" s="9" t="s">
        <v>21</v>
      </c>
      <c r="G168" s="9">
        <v>1</v>
      </c>
      <c r="H168" s="9" t="s">
        <v>17</v>
      </c>
      <c r="I168" s="9" t="s">
        <v>17</v>
      </c>
      <c r="J168" s="9" t="s">
        <v>1072</v>
      </c>
    </row>
    <row r="169" spans="1:10" x14ac:dyDescent="0.25" outlineLevel="3" collapsed="1">
      <c r="A169" s="9" t="s">
        <v>21</v>
      </c>
      <c r="B169" s="9" t="s">
        <v>79</v>
      </c>
      <c r="C169" s="9" t="s">
        <v>17</v>
      </c>
      <c r="D169" s="9" t="s">
        <v>375</v>
      </c>
      <c r="E169" s="9" t="s">
        <v>1073</v>
      </c>
      <c r="F169" s="9" t="s">
        <v>21</v>
      </c>
      <c r="G169" s="9">
        <v>1</v>
      </c>
      <c r="H169" s="9" t="s">
        <v>17</v>
      </c>
      <c r="I169" s="9" t="s">
        <v>17</v>
      </c>
      <c r="J169" s="9" t="s">
        <v>1074</v>
      </c>
    </row>
    <row r="170" spans="1:10" x14ac:dyDescent="0.25" outlineLevel="3" collapsed="1">
      <c r="A170" s="9" t="s">
        <v>21</v>
      </c>
      <c r="B170" s="9" t="s">
        <v>79</v>
      </c>
      <c r="C170" s="9" t="s">
        <v>17</v>
      </c>
      <c r="D170" s="9" t="s">
        <v>375</v>
      </c>
      <c r="E170" s="9" t="s">
        <v>1075</v>
      </c>
      <c r="F170" s="9" t="s">
        <v>21</v>
      </c>
      <c r="G170" s="9">
        <v>1</v>
      </c>
      <c r="H170" s="9" t="s">
        <v>17</v>
      </c>
      <c r="I170" s="9" t="s">
        <v>17</v>
      </c>
      <c r="J170" s="9" t="s">
        <v>1076</v>
      </c>
    </row>
    <row r="171" spans="1:10" x14ac:dyDescent="0.25" outlineLevel="2" collapsed="1">
      <c r="A171" s="7" t="s">
        <v>15</v>
      </c>
      <c r="B171" s="8" t="s">
        <v>614</v>
      </c>
      <c r="C171" s="7" t="s">
        <v>17</v>
      </c>
      <c r="D171" s="7"/>
      <c r="E171" s="7" t="s">
        <v>614</v>
      </c>
      <c r="F171" s="7" t="s">
        <v>21</v>
      </c>
      <c r="G171" s="7" t="s">
        <v>17</v>
      </c>
      <c r="H171" s="7" t="s">
        <v>17</v>
      </c>
      <c r="I171" s="7" t="s">
        <v>17</v>
      </c>
      <c r="J171" s="7" t="s">
        <v>615</v>
      </c>
    </row>
    <row r="172" spans="1:10" x14ac:dyDescent="0.25" outlineLevel="3" collapsed="1">
      <c r="A172" s="9" t="s">
        <v>15</v>
      </c>
      <c r="B172" s="9" t="s">
        <v>79</v>
      </c>
      <c r="C172" s="9" t="s">
        <v>17</v>
      </c>
      <c r="D172" s="9"/>
      <c r="E172" s="9" t="s">
        <v>1077</v>
      </c>
      <c r="F172" s="9" t="s">
        <v>21</v>
      </c>
      <c r="G172" s="9">
        <v>1</v>
      </c>
      <c r="H172" s="9" t="s">
        <v>17</v>
      </c>
      <c r="I172" s="9" t="s">
        <v>17</v>
      </c>
      <c r="J172" s="9" t="s">
        <v>615</v>
      </c>
    </row>
    <row r="173" spans="1:10" x14ac:dyDescent="0.25" outlineLevel="3" collapsed="1">
      <c r="A173" s="9" t="s">
        <v>21</v>
      </c>
      <c r="B173" s="9" t="s">
        <v>79</v>
      </c>
      <c r="C173" s="9" t="s">
        <v>17</v>
      </c>
      <c r="D173" s="9"/>
      <c r="E173" s="9" t="s">
        <v>1078</v>
      </c>
      <c r="F173" s="9" t="s">
        <v>21</v>
      </c>
      <c r="G173" s="9">
        <v>1</v>
      </c>
      <c r="H173" s="9" t="s">
        <v>17</v>
      </c>
      <c r="I173" s="9" t="s">
        <v>17</v>
      </c>
      <c r="J173" s="9" t="s">
        <v>1079</v>
      </c>
    </row>
    <row r="174" spans="1:10" x14ac:dyDescent="0.25" outlineLevel="2" collapsed="1">
      <c r="A174" s="9" t="s">
        <v>21</v>
      </c>
      <c r="B174" s="9" t="s">
        <v>79</v>
      </c>
      <c r="C174" s="9" t="s">
        <v>17</v>
      </c>
      <c r="D174" s="9" t="s">
        <v>375</v>
      </c>
      <c r="E174" s="9" t="s">
        <v>1080</v>
      </c>
      <c r="F174" s="9" t="s">
        <v>21</v>
      </c>
      <c r="G174" s="9">
        <v>1</v>
      </c>
      <c r="H174" s="9" t="s">
        <v>17</v>
      </c>
      <c r="I174" s="9" t="s">
        <v>17</v>
      </c>
      <c r="J174" s="9" t="s">
        <v>1081</v>
      </c>
    </row>
    <row r="175" spans="1:10" x14ac:dyDescent="0.25" outlineLevel="2" collapsed="1">
      <c r="A175" s="9" t="s">
        <v>15</v>
      </c>
      <c r="B175" s="9" t="s">
        <v>79</v>
      </c>
      <c r="C175" s="9" t="s">
        <v>17</v>
      </c>
      <c r="D175" s="9"/>
      <c r="E175" s="9" t="s">
        <v>1082</v>
      </c>
      <c r="F175" s="9" t="s">
        <v>21</v>
      </c>
      <c r="G175" s="9">
        <v>1</v>
      </c>
      <c r="H175" s="9" t="s">
        <v>17</v>
      </c>
      <c r="I175" s="9" t="s">
        <v>17</v>
      </c>
      <c r="J175" s="9" t="s">
        <v>1083</v>
      </c>
    </row>
    <row r="176" spans="1:10" x14ac:dyDescent="0.25" outlineLevel="2" collapsed="1">
      <c r="A176" s="9" t="s">
        <v>15</v>
      </c>
      <c r="B176" s="9" t="s">
        <v>79</v>
      </c>
      <c r="C176" s="9" t="s">
        <v>17</v>
      </c>
      <c r="D176" s="9"/>
      <c r="E176" s="9" t="s">
        <v>1084</v>
      </c>
      <c r="F176" s="9" t="s">
        <v>21</v>
      </c>
      <c r="G176" s="9">
        <v>1</v>
      </c>
      <c r="H176" s="9" t="s">
        <v>17</v>
      </c>
      <c r="I176" s="9" t="s">
        <v>17</v>
      </c>
      <c r="J176" s="9" t="s">
        <v>1085</v>
      </c>
    </row>
    <row r="177" spans="1:10" x14ac:dyDescent="0.25" outlineLevel="2" collapsed="1">
      <c r="A177" s="9" t="s">
        <v>15</v>
      </c>
      <c r="B177" s="9" t="s">
        <v>79</v>
      </c>
      <c r="C177" s="9" t="s">
        <v>17</v>
      </c>
      <c r="D177" s="9"/>
      <c r="E177" s="9" t="s">
        <v>1086</v>
      </c>
      <c r="F177" s="9" t="s">
        <v>21</v>
      </c>
      <c r="G177" s="9">
        <v>1</v>
      </c>
      <c r="H177" s="9" t="s">
        <v>17</v>
      </c>
      <c r="I177" s="9" t="s">
        <v>17</v>
      </c>
      <c r="J177" s="9" t="s">
        <v>1087</v>
      </c>
    </row>
    <row r="178" spans="1:10" x14ac:dyDescent="0.25" outlineLevel="1" collapsed="1">
      <c r="A178" s="9" t="s">
        <v>21</v>
      </c>
      <c r="B178" s="9" t="s">
        <v>79</v>
      </c>
      <c r="C178" s="9" t="s">
        <v>17</v>
      </c>
      <c r="D178" s="9" t="s">
        <v>375</v>
      </c>
      <c r="E178" s="9" t="s">
        <v>1088</v>
      </c>
      <c r="F178" s="9" t="s">
        <v>21</v>
      </c>
      <c r="G178" s="9">
        <v>1</v>
      </c>
      <c r="H178" s="9" t="s">
        <v>17</v>
      </c>
      <c r="I178" s="9" t="s">
        <v>17</v>
      </c>
      <c r="J178" s="9" t="s">
        <v>1089</v>
      </c>
    </row>
    <row r="179" spans="1:10" x14ac:dyDescent="0.25">
      <c r="A179" s="5" t="s">
        <v>15</v>
      </c>
      <c r="B179" s="6" t="s">
        <v>1090</v>
      </c>
      <c r="C179" s="5" t="s">
        <v>17</v>
      </c>
      <c r="D179" s="5"/>
      <c r="E179" s="5" t="s">
        <v>1090</v>
      </c>
      <c r="F179" s="5" t="s">
        <v>21</v>
      </c>
      <c r="G179" s="5" t="s">
        <v>1091</v>
      </c>
      <c r="H179" s="5" t="s">
        <v>17</v>
      </c>
      <c r="I179" s="5" t="s">
        <v>17</v>
      </c>
      <c r="J179" s="5" t="s">
        <v>1092</v>
      </c>
    </row>
    <row r="180" spans="1:10" x14ac:dyDescent="0.25" outlineLevel="1" collapsed="1">
      <c r="A180" s="9" t="s">
        <v>15</v>
      </c>
      <c r="B180" s="9" t="s">
        <v>23</v>
      </c>
      <c r="C180" s="10" t="s">
        <v>1093</v>
      </c>
      <c r="D180" s="9"/>
      <c r="E180" s="9" t="s">
        <v>1094</v>
      </c>
      <c r="F180" s="9" t="s">
        <v>15</v>
      </c>
      <c r="G180" s="9" t="s">
        <v>1095</v>
      </c>
      <c r="H180" s="9" t="s">
        <v>17</v>
      </c>
      <c r="I180" s="9" t="s">
        <v>17</v>
      </c>
      <c r="J180" s="9" t="s">
        <v>1096</v>
      </c>
    </row>
    <row r="181" spans="1:10" x14ac:dyDescent="0.25" outlineLevel="1" collapsed="1">
      <c r="A181" s="9" t="s">
        <v>15</v>
      </c>
      <c r="B181" s="9" t="s">
        <v>175</v>
      </c>
      <c r="C181" s="9" t="s">
        <v>17</v>
      </c>
      <c r="D181" s="9"/>
      <c r="E181" s="9" t="s">
        <v>1097</v>
      </c>
      <c r="F181" s="9" t="s">
        <v>15</v>
      </c>
      <c r="G181" s="9" t="s">
        <v>1098</v>
      </c>
      <c r="H181" s="9" t="s">
        <v>17</v>
      </c>
      <c r="I181" s="9" t="s">
        <v>17</v>
      </c>
      <c r="J181" s="9" t="s">
        <v>1099</v>
      </c>
    </row>
    <row r="182" spans="1:10" x14ac:dyDescent="0.25">
      <c r="A182" s="5" t="s">
        <v>21</v>
      </c>
      <c r="B182" s="5" t="s">
        <v>56</v>
      </c>
      <c r="C182" s="5" t="s">
        <v>17</v>
      </c>
      <c r="D182" s="5"/>
      <c r="E182" s="5" t="s">
        <v>825</v>
      </c>
      <c r="F182" s="5" t="s">
        <v>21</v>
      </c>
      <c r="G182" s="5" t="s">
        <v>58</v>
      </c>
      <c r="H182" s="5" t="s">
        <v>17</v>
      </c>
      <c r="I182" s="5" t="s">
        <v>17</v>
      </c>
      <c r="J182" s="5" t="s">
        <v>826</v>
      </c>
    </row>
  </sheetData>
  <mergeCells count="3">
    <mergeCell ref="A1:J1"/>
    <mergeCell ref="B2:J2"/>
    <mergeCell ref="B3:J3"/>
  </mergeCells>
  <dataValidations count="7">
    <dataValidation type="list" allowBlank="1" sqref="G140:I140">
      <formula1>'Treatment Technology 8 (enum)'!A4:A5</formula1>
    </dataValidation>
    <dataValidation type="list" allowBlank="1" sqref="G26:I26">
      <formula1>'Treatment Technology 6 (enum)'!A4:A5</formula1>
    </dataValidation>
    <dataValidation type="list" allowBlank="1" sqref="G28:I28">
      <formula1>'Treatment Technology 4 (enum)'!A4:A9</formula1>
    </dataValidation>
    <dataValidation type="list" allowBlank="1" sqref="G40:I40">
      <formula1>'Treatment Technology 5 (enum)'!A4:A9</formula1>
    </dataValidation>
    <dataValidation type="list" allowBlank="1" sqref="G64:I64">
      <formula1>'Country 4 (enum)'!A4:A256</formula1>
    </dataValidation>
    <dataValidation type="list" allowBlank="1" sqref="G68:I68">
      <formula1>'UrbanRural Classific 2 (enum)'!A4:A5</formula1>
    </dataValidation>
    <dataValidation type="list" allowBlank="1" sqref="G96:I96">
      <formula1>'Treatment Technology 7 (enum)'!A4:A5</formula1>
    </dataValidation>
  </dataValidations>
  <hyperlinks>
    <hyperlink ref="B6" r:id="rId1" location="#'Project Details - Project Name'!A1"/>
    <hyperlink ref="B8" r:id="rId2" location="#'Monitoring report Basic Inform'!A1"/>
    <hyperlink ref="B16" r:id="rId3" location="#'Project Developer Details 2'!A1"/>
    <hyperlink ref="B25" r:id="rId4" location="#'Water Treatment Technology 2'!A1"/>
    <hyperlink ref="C26" r:id="rId5" location="#'Treatment Technology 6 (enum)'!A3"/>
    <hyperlink ref="B27" r:id="rId6" location="#'Treatment Technology Sub-ty 3'!A1"/>
    <hyperlink ref="C28" r:id="rId7" location="#'Treatment Technology 4 (enum)'!A3"/>
    <hyperlink ref="B39" r:id="rId8" location="#'Treatment Technology Sub-ty 4'!A1"/>
    <hyperlink ref="C40" r:id="rId9" location="#'Treatment Technology 5 (enum)'!A3"/>
    <hyperlink ref="B54" r:id="rId10" location="#'If the Project Installation 2'!A1"/>
    <hyperlink ref="B62" r:id="rId11" location="#'Project Location Details 2'!A1"/>
    <hyperlink ref="B63" r:id="rId12" location="#'Country 2'!A1"/>
    <hyperlink ref="C64" r:id="rId13" location="#'Country 4 (enum)'!A3"/>
    <hyperlink ref="C68" r:id="rId14" location="#'UrbanRural Classific 2 (enum)'!A3"/>
    <hyperlink ref="B72" r:id="rId15" location="#'Project Participants'!A1"/>
    <hyperlink ref="B77" r:id="rId16" location="#'Implementation of Project Acti'!A1"/>
    <hyperlink ref="B82" r:id="rId17" location="#'Description of Monitoring S 6'!A1"/>
    <hyperlink ref="B85" r:id="rId18" location="#'Description of Monitoring Syst'!A1"/>
    <hyperlink ref="C96" r:id="rId19" location="#'Treatment Technology 7 (enum)'!A3"/>
    <hyperlink ref="B97" r:id="rId20" location="#'Description of Monitoring S 2'!A1"/>
    <hyperlink ref="B106" r:id="rId21" location="#'Description of Monitoring S 3'!A1"/>
    <hyperlink ref="B112" r:id="rId22" location="#'Description of Monitoring S 4'!A1"/>
    <hyperlink ref="B118" r:id="rId23" location="#'Description of Monitoring S 5'!A1"/>
    <hyperlink ref="B123" r:id="rId24" location="#'Calculation of Emission Reduct'!A1"/>
    <hyperlink ref="B128" r:id="rId25" location="#'Location Based Details'!A1"/>
    <hyperlink ref="B130" r:id="rId26" location="#'Stove Details Unit Schema'!A1"/>
    <hyperlink ref="B139" r:id="rId27" location="#'Quantity of water'!A1"/>
    <hyperlink ref="C140" r:id="rId28" location="#'Treatment Technology 8 (enum)'!A3"/>
    <hyperlink ref="B141" r:id="rId29" location="#'Project Water Supply Premises'!A1"/>
    <hyperlink ref="B151" r:id="rId30" location="#'Premises Water Usage Details -'!A1"/>
    <hyperlink ref="B158" r:id="rId31" location="#'Project Emission'!A1"/>
    <hyperlink ref="B159" r:id="rId32" location="#'Emission by fuel'!A1"/>
    <hyperlink ref="B165" r:id="rId33" location="#'Emission by Electricity'!A1"/>
    <hyperlink ref="B171" r:id="rId34" location="#'Leakage Emission'!A1"/>
    <hyperlink ref="B179" r:id="rId35" location="#'SDG Co-Benefits'!A1"/>
    <hyperlink ref="C180" r:id="rId36" location="#'SDG Items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629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89</v>
      </c>
      <c r="C5" s="5" t="s">
        <v>17</v>
      </c>
      <c r="D5" s="5"/>
      <c r="E5" s="5" t="s">
        <v>633</v>
      </c>
      <c r="F5" s="5" t="s">
        <v>21</v>
      </c>
      <c r="G5" s="5" t="s">
        <v>91</v>
      </c>
      <c r="H5" s="5" t="s">
        <v>17</v>
      </c>
      <c r="I5" s="5" t="s">
        <v>17</v>
      </c>
      <c r="J5" s="5" t="s">
        <v>634</v>
      </c>
    </row>
    <row r="6" spans="1:10" x14ac:dyDescent="0.25">
      <c r="A6" s="5" t="s">
        <v>15</v>
      </c>
      <c r="B6" s="5" t="s">
        <v>89</v>
      </c>
      <c r="C6" s="5" t="s">
        <v>17</v>
      </c>
      <c r="D6" s="5"/>
      <c r="E6" s="5" t="s">
        <v>629</v>
      </c>
      <c r="F6" s="5" t="s">
        <v>21</v>
      </c>
      <c r="G6" s="5" t="s">
        <v>91</v>
      </c>
      <c r="H6" s="5" t="s">
        <v>17</v>
      </c>
      <c r="I6" s="5" t="s">
        <v>17</v>
      </c>
      <c r="J6" s="5" t="s">
        <v>370</v>
      </c>
    </row>
    <row r="7" spans="1:10" x14ac:dyDescent="0.25">
      <c r="A7" s="5" t="s">
        <v>15</v>
      </c>
      <c r="B7" s="5" t="s">
        <v>23</v>
      </c>
      <c r="C7" s="6" t="s">
        <v>635</v>
      </c>
      <c r="D7" s="5"/>
      <c r="E7" s="5" t="s">
        <v>636</v>
      </c>
      <c r="F7" s="5" t="s">
        <v>21</v>
      </c>
      <c r="G7" s="5" t="s">
        <v>380</v>
      </c>
      <c r="H7" s="5" t="s">
        <v>17</v>
      </c>
      <c r="I7" s="5" t="s">
        <v>17</v>
      </c>
      <c r="J7" s="5" t="s">
        <v>381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637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377</v>
      </c>
    </row>
  </sheetData>
  <mergeCells count="3">
    <mergeCell ref="A1:J1"/>
    <mergeCell ref="B2:J2"/>
    <mergeCell ref="B3:J3"/>
  </mergeCells>
  <dataValidations count="1">
    <dataValidation type="list" allowBlank="1" sqref="G7:I7">
      <formula1>'Type of crediting perio (enum)'!A4:A5</formula1>
    </dataValidation>
  </dataValidations>
  <hyperlinks>
    <hyperlink ref="C7" r:id="rId1" location="#'Type of crediting peri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402</v>
      </c>
      <c r="C5" s="5" t="s">
        <v>17</v>
      </c>
      <c r="D5" s="5"/>
      <c r="E5" s="5" t="s">
        <v>402</v>
      </c>
      <c r="F5" s="5" t="s">
        <v>15</v>
      </c>
      <c r="G5" s="5" t="s">
        <v>17</v>
      </c>
      <c r="H5" s="5" t="s">
        <v>17</v>
      </c>
      <c r="I5" s="5" t="s">
        <v>17</v>
      </c>
      <c r="J5" s="5" t="s">
        <v>403</v>
      </c>
    </row>
    <row r="6" spans="1:10" x14ac:dyDescent="0.25" outlineLevel="1" collapsed="1">
      <c r="A6" s="9" t="s">
        <v>15</v>
      </c>
      <c r="B6" s="9" t="s">
        <v>56</v>
      </c>
      <c r="C6" s="9" t="s">
        <v>17</v>
      </c>
      <c r="D6" s="9"/>
      <c r="E6" s="9" t="s">
        <v>402</v>
      </c>
      <c r="F6" s="9" t="s">
        <v>21</v>
      </c>
      <c r="G6" s="9" t="s">
        <v>58</v>
      </c>
      <c r="H6" s="9" t="s">
        <v>17</v>
      </c>
      <c r="I6" s="9" t="s">
        <v>17</v>
      </c>
      <c r="J6" s="9" t="s">
        <v>404</v>
      </c>
    </row>
    <row r="7" spans="1:10" x14ac:dyDescent="0.25" outlineLevel="1" collapsed="1">
      <c r="A7" s="7" t="s">
        <v>15</v>
      </c>
      <c r="B7" s="8" t="s">
        <v>405</v>
      </c>
      <c r="C7" s="7" t="s">
        <v>17</v>
      </c>
      <c r="D7" s="7"/>
      <c r="E7" s="7" t="s">
        <v>406</v>
      </c>
      <c r="F7" s="7" t="s">
        <v>15</v>
      </c>
      <c r="G7" s="7" t="s">
        <v>17</v>
      </c>
      <c r="H7" s="7" t="s">
        <v>17</v>
      </c>
      <c r="I7" s="7" t="s">
        <v>17</v>
      </c>
      <c r="J7" s="7" t="s">
        <v>407</v>
      </c>
    </row>
    <row r="8" spans="1:10" x14ac:dyDescent="0.25" outlineLevel="2" collapsed="1">
      <c r="A8" s="9" t="s">
        <v>15</v>
      </c>
      <c r="B8" s="9" t="s">
        <v>56</v>
      </c>
      <c r="C8" s="9" t="s">
        <v>17</v>
      </c>
      <c r="D8" s="9"/>
      <c r="E8" s="9" t="s">
        <v>408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409</v>
      </c>
    </row>
    <row r="9" spans="1:10" x14ac:dyDescent="0.25" outlineLevel="2" collapsed="1">
      <c r="A9" s="9" t="s">
        <v>15</v>
      </c>
      <c r="B9" s="9" t="s">
        <v>169</v>
      </c>
      <c r="C9" s="9" t="s">
        <v>17</v>
      </c>
      <c r="D9" s="9"/>
      <c r="E9" s="9" t="s">
        <v>410</v>
      </c>
      <c r="F9" s="9" t="s">
        <v>21</v>
      </c>
      <c r="G9" s="9" t="b">
        <v>1</v>
      </c>
      <c r="H9" s="9" t="s">
        <v>17</v>
      </c>
      <c r="I9" s="9" t="s">
        <v>17</v>
      </c>
      <c r="J9" s="9" t="s">
        <v>411</v>
      </c>
    </row>
    <row r="10" spans="1:10" x14ac:dyDescent="0.25" outlineLevel="2" collapsed="1">
      <c r="A10" s="9" t="s">
        <v>15</v>
      </c>
      <c r="B10" s="9" t="s">
        <v>56</v>
      </c>
      <c r="C10" s="9" t="s">
        <v>17</v>
      </c>
      <c r="D10" s="9"/>
      <c r="E10" s="9" t="s">
        <v>412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413</v>
      </c>
    </row>
  </sheetData>
  <mergeCells count="3">
    <mergeCell ref="A1:J1"/>
    <mergeCell ref="B2:J2"/>
    <mergeCell ref="B3:J3"/>
  </mergeCells>
  <hyperlinks>
    <hyperlink ref="B5" r:id="rId1" location="#'Source'!A1"/>
    <hyperlink ref="B7" r:id="rId2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128</v>
      </c>
      <c r="D5" s="5"/>
      <c r="E5" s="5" t="s">
        <v>126</v>
      </c>
      <c r="F5" s="5" t="s">
        <v>21</v>
      </c>
      <c r="G5" s="5" t="s">
        <v>129</v>
      </c>
      <c r="H5" s="5" t="s">
        <v>17</v>
      </c>
      <c r="I5" s="5" t="s">
        <v>17</v>
      </c>
      <c r="J5" s="5" t="s">
        <v>130</v>
      </c>
    </row>
    <row r="6" spans="1:10" x14ac:dyDescent="0.25">
      <c r="A6" s="5" t="s">
        <v>21</v>
      </c>
      <c r="B6" s="5" t="s">
        <v>56</v>
      </c>
      <c r="C6" s="5" t="s">
        <v>17</v>
      </c>
      <c r="D6" s="5">
        <f>EXACT(G5,"Other (specify)")</f>
      </c>
      <c r="E6" s="5" t="s">
        <v>131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132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Su (enum)'!A4:A9</formula1>
    </dataValidation>
  </dataValidations>
  <hyperlinks>
    <hyperlink ref="C5" r:id="rId1" location="#'Treatment Technology Su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86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88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751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752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753</v>
      </c>
      <c r="F7" s="5" t="s">
        <v>21</v>
      </c>
      <c r="G7" s="5" t="s">
        <v>754</v>
      </c>
      <c r="H7" s="5" t="s">
        <v>17</v>
      </c>
      <c r="I7" s="5" t="s">
        <v>17</v>
      </c>
      <c r="J7" s="5" t="s">
        <v>755</v>
      </c>
    </row>
    <row r="8" spans="1:10" x14ac:dyDescent="0.25">
      <c r="A8" s="5" t="s">
        <v>15</v>
      </c>
      <c r="B8" s="5" t="s">
        <v>89</v>
      </c>
      <c r="C8" s="5" t="s">
        <v>17</v>
      </c>
      <c r="D8" s="5"/>
      <c r="E8" s="5" t="s">
        <v>756</v>
      </c>
      <c r="F8" s="5" t="s">
        <v>21</v>
      </c>
      <c r="G8" s="5" t="s">
        <v>757</v>
      </c>
      <c r="H8" s="5" t="s">
        <v>17</v>
      </c>
      <c r="I8" s="5" t="s">
        <v>17</v>
      </c>
      <c r="J8" s="5" t="s">
        <v>758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759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760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43</v>
      </c>
      <c r="C5" s="5" t="s">
        <v>17</v>
      </c>
      <c r="D5" s="5"/>
      <c r="E5" s="5" t="s">
        <v>271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272</v>
      </c>
    </row>
    <row r="6" spans="1:10" x14ac:dyDescent="0.25">
      <c r="A6" s="5" t="s">
        <v>15</v>
      </c>
      <c r="B6" s="5" t="s">
        <v>79</v>
      </c>
      <c r="C6" s="5" t="s">
        <v>17</v>
      </c>
      <c r="D6" s="5"/>
      <c r="E6" s="5" t="s">
        <v>310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311</v>
      </c>
    </row>
    <row r="7" spans="1:10" x14ac:dyDescent="0.25">
      <c r="A7" s="5" t="s">
        <v>21</v>
      </c>
      <c r="B7" s="5" t="s">
        <v>175</v>
      </c>
      <c r="C7" s="5" t="s">
        <v>17</v>
      </c>
      <c r="D7" s="5"/>
      <c r="E7" s="5" t="s">
        <v>312</v>
      </c>
      <c r="F7" s="5" t="s">
        <v>15</v>
      </c>
      <c r="G7" s="5" t="s">
        <v>1103</v>
      </c>
      <c r="H7" s="5" t="s">
        <v>17</v>
      </c>
      <c r="I7" s="5" t="s">
        <v>17</v>
      </c>
      <c r="J7" s="5" t="s">
        <v>314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220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203</v>
      </c>
    </row>
    <row r="6" spans="1:10" x14ac:dyDescent="0.25">
      <c r="A6" s="5" t="s">
        <v>15</v>
      </c>
      <c r="B6" s="5" t="s">
        <v>89</v>
      </c>
      <c r="C6" s="5" t="s">
        <v>17</v>
      </c>
      <c r="D6" s="5"/>
      <c r="E6" s="5" t="s">
        <v>221</v>
      </c>
      <c r="F6" s="5" t="s">
        <v>21</v>
      </c>
      <c r="G6" s="5" t="s">
        <v>91</v>
      </c>
      <c r="H6" s="5" t="s">
        <v>17</v>
      </c>
      <c r="I6" s="5" t="s">
        <v>17</v>
      </c>
      <c r="J6" s="5" t="s">
        <v>222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1104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17</v>
      </c>
      <c r="D5" s="5"/>
      <c r="E5" s="5" t="s">
        <v>261</v>
      </c>
      <c r="F5" s="5" t="s">
        <v>21</v>
      </c>
      <c r="G5" s="5" t="s">
        <v>262</v>
      </c>
      <c r="H5" s="5" t="s">
        <v>17</v>
      </c>
      <c r="I5" s="5" t="s">
        <v>17</v>
      </c>
      <c r="J5" s="5" t="s">
        <v>263</v>
      </c>
    </row>
    <row r="6" spans="1:10" x14ac:dyDescent="0.25">
      <c r="A6" s="5" t="s">
        <v>15</v>
      </c>
      <c r="B6" s="5" t="s">
        <v>175</v>
      </c>
      <c r="C6" s="5" t="s">
        <v>17</v>
      </c>
      <c r="D6" s="5"/>
      <c r="E6" s="5" t="s">
        <v>264</v>
      </c>
      <c r="F6" s="5" t="s">
        <v>21</v>
      </c>
      <c r="G6" s="5" t="s">
        <v>262</v>
      </c>
      <c r="H6" s="5" t="s">
        <v>17</v>
      </c>
      <c r="I6" s="5" t="s">
        <v>17</v>
      </c>
      <c r="J6" s="5" t="s">
        <v>265</v>
      </c>
    </row>
    <row r="7" spans="1:10" x14ac:dyDescent="0.25">
      <c r="A7" s="5" t="s">
        <v>15</v>
      </c>
      <c r="B7" s="6" t="s">
        <v>266</v>
      </c>
      <c r="C7" s="5" t="s">
        <v>17</v>
      </c>
      <c r="D7" s="5"/>
      <c r="E7" s="5" t="s">
        <v>267</v>
      </c>
      <c r="F7" s="5" t="s">
        <v>21</v>
      </c>
      <c r="G7" s="5" t="s">
        <v>17</v>
      </c>
      <c r="H7" s="5" t="s">
        <v>17</v>
      </c>
      <c r="I7" s="5" t="s">
        <v>17</v>
      </c>
      <c r="J7" s="5" t="s">
        <v>268</v>
      </c>
    </row>
    <row r="8" spans="1:10" x14ac:dyDescent="0.25" outlineLevel="1" collapsed="1">
      <c r="A8" s="7" t="s">
        <v>15</v>
      </c>
      <c r="B8" s="8" t="s">
        <v>267</v>
      </c>
      <c r="C8" s="7" t="s">
        <v>17</v>
      </c>
      <c r="D8" s="7"/>
      <c r="E8" s="7" t="s">
        <v>269</v>
      </c>
      <c r="F8" s="7" t="s">
        <v>15</v>
      </c>
      <c r="G8" s="7" t="s">
        <v>17</v>
      </c>
      <c r="H8" s="7" t="s">
        <v>17</v>
      </c>
      <c r="I8" s="7" t="s">
        <v>17</v>
      </c>
      <c r="J8" s="7" t="s">
        <v>270</v>
      </c>
    </row>
    <row r="9" spans="1:10" x14ac:dyDescent="0.25" outlineLevel="2" collapsed="1">
      <c r="A9" s="9" t="s">
        <v>15</v>
      </c>
      <c r="B9" s="9" t="s">
        <v>43</v>
      </c>
      <c r="C9" s="9" t="s">
        <v>17</v>
      </c>
      <c r="D9" s="9"/>
      <c r="E9" s="9" t="s">
        <v>271</v>
      </c>
      <c r="F9" s="9" t="s">
        <v>21</v>
      </c>
      <c r="G9" s="9" t="s">
        <v>17</v>
      </c>
      <c r="H9" s="9" t="s">
        <v>17</v>
      </c>
      <c r="I9" s="9" t="s">
        <v>17</v>
      </c>
      <c r="J9" s="9" t="s">
        <v>272</v>
      </c>
    </row>
    <row r="10" spans="1:10" x14ac:dyDescent="0.25" outlineLevel="2" collapsed="1">
      <c r="A10" s="9" t="s">
        <v>15</v>
      </c>
      <c r="B10" s="9" t="s">
        <v>26</v>
      </c>
      <c r="C10" s="9" t="s">
        <v>273</v>
      </c>
      <c r="D10" s="9"/>
      <c r="E10" s="9" t="s">
        <v>274</v>
      </c>
      <c r="F10" s="9" t="s">
        <v>21</v>
      </c>
      <c r="G10" s="9" t="s">
        <v>1105</v>
      </c>
      <c r="H10" s="9" t="s">
        <v>17</v>
      </c>
      <c r="I10" s="9" t="s">
        <v>17</v>
      </c>
      <c r="J10" s="9" t="s">
        <v>276</v>
      </c>
    </row>
    <row r="11" spans="1:10" x14ac:dyDescent="0.25" outlineLevel="2" collapsed="1">
      <c r="A11" s="9" t="s">
        <v>15</v>
      </c>
      <c r="B11" s="9" t="s">
        <v>26</v>
      </c>
      <c r="C11" s="9" t="s">
        <v>273</v>
      </c>
      <c r="D11" s="9"/>
      <c r="E11" s="9" t="s">
        <v>277</v>
      </c>
      <c r="F11" s="9" t="s">
        <v>21</v>
      </c>
      <c r="G11" s="9" t="s">
        <v>1106</v>
      </c>
      <c r="H11" s="9" t="s">
        <v>17</v>
      </c>
      <c r="I11" s="9" t="s">
        <v>17</v>
      </c>
      <c r="J11" s="9" t="s">
        <v>279</v>
      </c>
    </row>
    <row r="12" spans="1:10" x14ac:dyDescent="0.25" outlineLevel="2" collapsed="1">
      <c r="A12" s="7" t="s">
        <v>15</v>
      </c>
      <c r="B12" s="8" t="s">
        <v>280</v>
      </c>
      <c r="C12" s="7" t="s">
        <v>17</v>
      </c>
      <c r="D12" s="7"/>
      <c r="E12" s="7" t="s">
        <v>280</v>
      </c>
      <c r="F12" s="7" t="s">
        <v>15</v>
      </c>
      <c r="G12" s="7" t="s">
        <v>17</v>
      </c>
      <c r="H12" s="7" t="s">
        <v>17</v>
      </c>
      <c r="I12" s="7" t="s">
        <v>17</v>
      </c>
      <c r="J12" s="7" t="s">
        <v>281</v>
      </c>
    </row>
    <row r="13" spans="1:10" x14ac:dyDescent="0.25" outlineLevel="3" collapsed="1">
      <c r="A13" s="9" t="s">
        <v>15</v>
      </c>
      <c r="B13" s="9" t="s">
        <v>56</v>
      </c>
      <c r="C13" s="9" t="s">
        <v>17</v>
      </c>
      <c r="D13" s="9"/>
      <c r="E13" s="9" t="s">
        <v>282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283</v>
      </c>
    </row>
    <row r="14" spans="1:10" x14ac:dyDescent="0.25" outlineLevel="3" collapsed="1">
      <c r="A14" s="9" t="s">
        <v>15</v>
      </c>
      <c r="B14" s="9" t="s">
        <v>26</v>
      </c>
      <c r="C14" s="9" t="s">
        <v>284</v>
      </c>
      <c r="D14" s="9"/>
      <c r="E14" s="9" t="s">
        <v>285</v>
      </c>
      <c r="F14" s="9" t="s">
        <v>21</v>
      </c>
      <c r="G14" s="9" t="s">
        <v>1107</v>
      </c>
      <c r="H14" s="9" t="s">
        <v>17</v>
      </c>
      <c r="I14" s="9" t="s">
        <v>17</v>
      </c>
      <c r="J14" s="9" t="s">
        <v>287</v>
      </c>
    </row>
    <row r="15" spans="1:10" x14ac:dyDescent="0.25" outlineLevel="1" collapsed="1">
      <c r="A15" s="9" t="s">
        <v>15</v>
      </c>
      <c r="B15" s="9" t="s">
        <v>175</v>
      </c>
      <c r="C15" s="9" t="s">
        <v>17</v>
      </c>
      <c r="D15" s="9"/>
      <c r="E15" s="9" t="s">
        <v>288</v>
      </c>
      <c r="F15" s="9" t="s">
        <v>21</v>
      </c>
      <c r="G15" s="9" t="s">
        <v>1108</v>
      </c>
      <c r="H15" s="9" t="s">
        <v>17</v>
      </c>
      <c r="I15" s="9" t="s">
        <v>17</v>
      </c>
      <c r="J15" s="9" t="s">
        <v>290</v>
      </c>
    </row>
    <row r="16" spans="1:10" x14ac:dyDescent="0.25">
      <c r="A16" s="5" t="s">
        <v>15</v>
      </c>
      <c r="B16" s="6" t="s">
        <v>291</v>
      </c>
      <c r="C16" s="5" t="s">
        <v>17</v>
      </c>
      <c r="D16" s="5"/>
      <c r="E16" s="5" t="s">
        <v>292</v>
      </c>
      <c r="F16" s="5" t="s">
        <v>21</v>
      </c>
      <c r="G16" s="5" t="s">
        <v>17</v>
      </c>
      <c r="H16" s="5" t="s">
        <v>17</v>
      </c>
      <c r="I16" s="5" t="s">
        <v>17</v>
      </c>
      <c r="J16" s="5" t="s">
        <v>293</v>
      </c>
    </row>
    <row r="17" spans="1:10" x14ac:dyDescent="0.25" outlineLevel="1" collapsed="1">
      <c r="A17" s="9" t="s">
        <v>15</v>
      </c>
      <c r="B17" s="9" t="s">
        <v>43</v>
      </c>
      <c r="C17" s="9" t="s">
        <v>17</v>
      </c>
      <c r="D17" s="9"/>
      <c r="E17" s="9" t="s">
        <v>271</v>
      </c>
      <c r="F17" s="9" t="s">
        <v>21</v>
      </c>
      <c r="G17" s="9" t="s">
        <v>17</v>
      </c>
      <c r="H17" s="9" t="s">
        <v>17</v>
      </c>
      <c r="I17" s="9" t="s">
        <v>17</v>
      </c>
      <c r="J17" s="9" t="s">
        <v>272</v>
      </c>
    </row>
    <row r="18" spans="1:10" x14ac:dyDescent="0.25" outlineLevel="1" collapsed="1">
      <c r="A18" s="7" t="s">
        <v>15</v>
      </c>
      <c r="B18" s="8" t="s">
        <v>294</v>
      </c>
      <c r="C18" s="7" t="s">
        <v>17</v>
      </c>
      <c r="D18" s="7"/>
      <c r="E18" s="7" t="s">
        <v>292</v>
      </c>
      <c r="F18" s="7" t="s">
        <v>15</v>
      </c>
      <c r="G18" s="7" t="s">
        <v>17</v>
      </c>
      <c r="H18" s="7" t="s">
        <v>17</v>
      </c>
      <c r="I18" s="7" t="s">
        <v>17</v>
      </c>
      <c r="J18" s="7" t="s">
        <v>293</v>
      </c>
    </row>
    <row r="19" spans="1:10" x14ac:dyDescent="0.25" outlineLevel="2" collapsed="1">
      <c r="A19" s="9" t="s">
        <v>15</v>
      </c>
      <c r="B19" s="9" t="s">
        <v>56</v>
      </c>
      <c r="C19" s="9" t="s">
        <v>17</v>
      </c>
      <c r="D19" s="9"/>
      <c r="E19" s="9" t="s">
        <v>295</v>
      </c>
      <c r="F19" s="9" t="s">
        <v>21</v>
      </c>
      <c r="G19" s="9" t="s">
        <v>58</v>
      </c>
      <c r="H19" s="9" t="s">
        <v>17</v>
      </c>
      <c r="I19" s="9" t="s">
        <v>17</v>
      </c>
      <c r="J19" s="9" t="s">
        <v>296</v>
      </c>
    </row>
    <row r="20" spans="1:10" x14ac:dyDescent="0.25" outlineLevel="2" collapsed="1">
      <c r="A20" s="9" t="s">
        <v>15</v>
      </c>
      <c r="B20" s="9" t="s">
        <v>26</v>
      </c>
      <c r="C20" s="9" t="s">
        <v>284</v>
      </c>
      <c r="D20" s="9"/>
      <c r="E20" s="9" t="s">
        <v>297</v>
      </c>
      <c r="F20" s="9" t="s">
        <v>21</v>
      </c>
      <c r="G20" s="9" t="s">
        <v>1109</v>
      </c>
      <c r="H20" s="9" t="s">
        <v>17</v>
      </c>
      <c r="I20" s="9" t="s">
        <v>17</v>
      </c>
      <c r="J20" s="9" t="s">
        <v>299</v>
      </c>
    </row>
    <row r="21" spans="1:10" x14ac:dyDescent="0.25">
      <c r="A21" s="5" t="s">
        <v>15</v>
      </c>
      <c r="B21" s="6" t="s">
        <v>300</v>
      </c>
      <c r="C21" s="5" t="s">
        <v>17</v>
      </c>
      <c r="D21" s="5"/>
      <c r="E21" s="5" t="s">
        <v>301</v>
      </c>
      <c r="F21" s="5" t="s">
        <v>15</v>
      </c>
      <c r="G21" s="5" t="s">
        <v>17</v>
      </c>
      <c r="H21" s="5" t="s">
        <v>17</v>
      </c>
      <c r="I21" s="5" t="s">
        <v>17</v>
      </c>
      <c r="J21" s="5" t="s">
        <v>302</v>
      </c>
    </row>
    <row r="22" spans="1:10" x14ac:dyDescent="0.25" outlineLevel="1" collapsed="1">
      <c r="A22" s="9" t="s">
        <v>15</v>
      </c>
      <c r="B22" s="9" t="s">
        <v>43</v>
      </c>
      <c r="C22" s="9" t="s">
        <v>17</v>
      </c>
      <c r="D22" s="9"/>
      <c r="E22" s="9" t="s">
        <v>271</v>
      </c>
      <c r="F22" s="9" t="s">
        <v>21</v>
      </c>
      <c r="G22" s="9" t="s">
        <v>17</v>
      </c>
      <c r="H22" s="9" t="s">
        <v>17</v>
      </c>
      <c r="I22" s="9" t="s">
        <v>17</v>
      </c>
      <c r="J22" s="9" t="s">
        <v>272</v>
      </c>
    </row>
    <row r="23" spans="1:10" x14ac:dyDescent="0.25" outlineLevel="1" collapsed="1">
      <c r="A23" s="7" t="s">
        <v>15</v>
      </c>
      <c r="B23" s="8" t="s">
        <v>303</v>
      </c>
      <c r="C23" s="7" t="s">
        <v>17</v>
      </c>
      <c r="D23" s="7"/>
      <c r="E23" s="7" t="s">
        <v>301</v>
      </c>
      <c r="F23" s="7" t="s">
        <v>15</v>
      </c>
      <c r="G23" s="7" t="s">
        <v>17</v>
      </c>
      <c r="H23" s="7" t="s">
        <v>17</v>
      </c>
      <c r="I23" s="7" t="s">
        <v>17</v>
      </c>
      <c r="J23" s="7" t="s">
        <v>302</v>
      </c>
    </row>
    <row r="24" spans="1:10" x14ac:dyDescent="0.25" outlineLevel="2" collapsed="1">
      <c r="A24" s="9" t="s">
        <v>15</v>
      </c>
      <c r="B24" s="9" t="s">
        <v>56</v>
      </c>
      <c r="C24" s="9" t="s">
        <v>17</v>
      </c>
      <c r="D24" s="9"/>
      <c r="E24" s="9" t="s">
        <v>304</v>
      </c>
      <c r="F24" s="9" t="s">
        <v>21</v>
      </c>
      <c r="G24" s="9" t="s">
        <v>58</v>
      </c>
      <c r="H24" s="9" t="s">
        <v>17</v>
      </c>
      <c r="I24" s="9" t="s">
        <v>17</v>
      </c>
      <c r="J24" s="9" t="s">
        <v>305</v>
      </c>
    </row>
    <row r="25" spans="1:10" x14ac:dyDescent="0.25" outlineLevel="2" collapsed="1">
      <c r="A25" s="9" t="s">
        <v>15</v>
      </c>
      <c r="B25" s="9" t="s">
        <v>26</v>
      </c>
      <c r="C25" s="9" t="s">
        <v>284</v>
      </c>
      <c r="D25" s="9"/>
      <c r="E25" s="9" t="s">
        <v>297</v>
      </c>
      <c r="F25" s="9" t="s">
        <v>21</v>
      </c>
      <c r="G25" s="9" t="s">
        <v>1110</v>
      </c>
      <c r="H25" s="9" t="s">
        <v>17</v>
      </c>
      <c r="I25" s="9" t="s">
        <v>17</v>
      </c>
      <c r="J25" s="9" t="s">
        <v>299</v>
      </c>
    </row>
    <row r="26" spans="1:10" x14ac:dyDescent="0.25">
      <c r="A26" s="5" t="s">
        <v>15</v>
      </c>
      <c r="B26" s="6" t="s">
        <v>307</v>
      </c>
      <c r="C26" s="5" t="s">
        <v>17</v>
      </c>
      <c r="D26" s="5"/>
      <c r="E26" s="5" t="s">
        <v>308</v>
      </c>
      <c r="F26" s="5" t="s">
        <v>21</v>
      </c>
      <c r="G26" s="5" t="s">
        <v>17</v>
      </c>
      <c r="H26" s="5" t="s">
        <v>17</v>
      </c>
      <c r="I26" s="5" t="s">
        <v>17</v>
      </c>
      <c r="J26" s="5" t="s">
        <v>309</v>
      </c>
    </row>
    <row r="27" spans="1:10" x14ac:dyDescent="0.25" outlineLevel="1" collapsed="1">
      <c r="A27" s="9" t="s">
        <v>15</v>
      </c>
      <c r="B27" s="9" t="s">
        <v>43</v>
      </c>
      <c r="C27" s="9" t="s">
        <v>17</v>
      </c>
      <c r="D27" s="9"/>
      <c r="E27" s="9" t="s">
        <v>271</v>
      </c>
      <c r="F27" s="9" t="s">
        <v>21</v>
      </c>
      <c r="G27" s="9" t="s">
        <v>17</v>
      </c>
      <c r="H27" s="9" t="s">
        <v>17</v>
      </c>
      <c r="I27" s="9" t="s">
        <v>17</v>
      </c>
      <c r="J27" s="9" t="s">
        <v>272</v>
      </c>
    </row>
    <row r="28" spans="1:10" x14ac:dyDescent="0.25" outlineLevel="1" collapsed="1">
      <c r="A28" s="9" t="s">
        <v>15</v>
      </c>
      <c r="B28" s="9" t="s">
        <v>79</v>
      </c>
      <c r="C28" s="9" t="s">
        <v>17</v>
      </c>
      <c r="D28" s="9"/>
      <c r="E28" s="9" t="s">
        <v>310</v>
      </c>
      <c r="F28" s="9" t="s">
        <v>21</v>
      </c>
      <c r="G28" s="9">
        <v>1</v>
      </c>
      <c r="H28" s="9" t="s">
        <v>17</v>
      </c>
      <c r="I28" s="9" t="s">
        <v>17</v>
      </c>
      <c r="J28" s="9" t="s">
        <v>311</v>
      </c>
    </row>
    <row r="29" spans="1:10" x14ac:dyDescent="0.25" outlineLevel="1" collapsed="1">
      <c r="A29" s="9" t="s">
        <v>21</v>
      </c>
      <c r="B29" s="9" t="s">
        <v>175</v>
      </c>
      <c r="C29" s="9" t="s">
        <v>17</v>
      </c>
      <c r="D29" s="9"/>
      <c r="E29" s="9" t="s">
        <v>312</v>
      </c>
      <c r="F29" s="9" t="s">
        <v>15</v>
      </c>
      <c r="G29" s="9" t="s">
        <v>1111</v>
      </c>
      <c r="H29" s="9" t="s">
        <v>17</v>
      </c>
      <c r="I29" s="9" t="s">
        <v>17</v>
      </c>
      <c r="J29" s="9" t="s">
        <v>314</v>
      </c>
    </row>
  </sheetData>
  <mergeCells count="3">
    <mergeCell ref="A1:J1"/>
    <mergeCell ref="B2:J2"/>
    <mergeCell ref="B3:J3"/>
  </mergeCells>
  <hyperlinks>
    <hyperlink ref="B7" r:id="rId1" location="#'Baseline Water Sources - Wrapp'!A1"/>
    <hyperlink ref="B8" r:id="rId2" location="#'Baseline Water Sources'!A1"/>
    <hyperlink ref="B12" r:id="rId3" location="#'Water Source Type Details'!A1"/>
    <hyperlink ref="B16" r:id="rId4" location="#'Baseline Treatment Method - Wr'!A1"/>
    <hyperlink ref="B18" r:id="rId5" location="#'Baseline Treatment Method - It'!A1"/>
    <hyperlink ref="B21" r:id="rId6" location="#'Baseline fuels usage - Wrapper'!A1"/>
    <hyperlink ref="B23" r:id="rId7" location="#'Baseline fuels usage - Item'!A1"/>
    <hyperlink ref="B26" r:id="rId8" location="#'Fraction of non-renewable bio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85</v>
      </c>
      <c r="D5" s="5"/>
      <c r="E5" s="5" t="s">
        <v>86</v>
      </c>
      <c r="F5" s="5" t="s">
        <v>21</v>
      </c>
      <c r="G5" s="5" t="s">
        <v>1112</v>
      </c>
      <c r="H5" s="5" t="s">
        <v>17</v>
      </c>
      <c r="I5" s="5" t="s">
        <v>17</v>
      </c>
      <c r="J5" s="5" t="s">
        <v>88</v>
      </c>
    </row>
    <row r="6" spans="1:10" x14ac:dyDescent="0.25">
      <c r="A6" s="5" t="s">
        <v>15</v>
      </c>
      <c r="B6" s="5" t="s">
        <v>89</v>
      </c>
      <c r="C6" s="5" t="s">
        <v>17</v>
      </c>
      <c r="D6" s="5"/>
      <c r="E6" s="5" t="s">
        <v>90</v>
      </c>
      <c r="F6" s="5" t="s">
        <v>21</v>
      </c>
      <c r="G6" s="5" t="s">
        <v>91</v>
      </c>
      <c r="H6" s="5" t="s">
        <v>17</v>
      </c>
      <c r="I6" s="5" t="s">
        <v>17</v>
      </c>
      <c r="J6" s="5" t="s">
        <v>92</v>
      </c>
    </row>
    <row r="7" spans="1:10" x14ac:dyDescent="0.25">
      <c r="A7" s="5" t="s">
        <v>15</v>
      </c>
      <c r="B7" s="5" t="s">
        <v>89</v>
      </c>
      <c r="C7" s="5" t="s">
        <v>17</v>
      </c>
      <c r="D7" s="5"/>
      <c r="E7" s="5" t="s">
        <v>93</v>
      </c>
      <c r="F7" s="5" t="s">
        <v>21</v>
      </c>
      <c r="G7" s="5" t="s">
        <v>91</v>
      </c>
      <c r="H7" s="5" t="s">
        <v>17</v>
      </c>
      <c r="I7" s="5" t="s">
        <v>17</v>
      </c>
      <c r="J7" s="5" t="s">
        <v>94</v>
      </c>
    </row>
    <row r="8" spans="1:10" x14ac:dyDescent="0.25">
      <c r="A8" s="5" t="s">
        <v>15</v>
      </c>
      <c r="B8" s="5" t="s">
        <v>23</v>
      </c>
      <c r="C8" s="6" t="s">
        <v>95</v>
      </c>
      <c r="D8" s="5"/>
      <c r="E8" s="5" t="s">
        <v>96</v>
      </c>
      <c r="F8" s="5" t="s">
        <v>21</v>
      </c>
      <c r="G8" s="5" t="s">
        <v>97</v>
      </c>
      <c r="H8" s="5" t="s">
        <v>17</v>
      </c>
      <c r="I8" s="5" t="s">
        <v>17</v>
      </c>
      <c r="J8" s="5" t="s">
        <v>98</v>
      </c>
    </row>
    <row r="9" spans="1:10" x14ac:dyDescent="0.25">
      <c r="A9" s="5" t="s">
        <v>15</v>
      </c>
      <c r="B9" s="5" t="s">
        <v>26</v>
      </c>
      <c r="C9" s="5" t="s">
        <v>99</v>
      </c>
      <c r="D9" s="5"/>
      <c r="E9" s="5" t="s">
        <v>100</v>
      </c>
      <c r="F9" s="5" t="s">
        <v>21</v>
      </c>
      <c r="G9" s="5" t="s">
        <v>1113</v>
      </c>
      <c r="H9" s="5" t="s">
        <v>17</v>
      </c>
      <c r="I9" s="5" t="s">
        <v>17</v>
      </c>
      <c r="J9" s="5" t="s">
        <v>102</v>
      </c>
    </row>
    <row r="10" spans="1:10" x14ac:dyDescent="0.25">
      <c r="A10" s="5" t="s">
        <v>15</v>
      </c>
      <c r="B10" s="5" t="s">
        <v>23</v>
      </c>
      <c r="C10" s="6" t="s">
        <v>103</v>
      </c>
      <c r="D10" s="5"/>
      <c r="E10" s="5" t="s">
        <v>104</v>
      </c>
      <c r="F10" s="5" t="s">
        <v>21</v>
      </c>
      <c r="G10" s="5" t="s">
        <v>105</v>
      </c>
      <c r="H10" s="5" t="s">
        <v>17</v>
      </c>
      <c r="I10" s="5" t="s">
        <v>17</v>
      </c>
      <c r="J10" s="5" t="s">
        <v>106</v>
      </c>
    </row>
    <row r="11" spans="1:10" x14ac:dyDescent="0.25">
      <c r="A11" s="5" t="s">
        <v>15</v>
      </c>
      <c r="B11" s="5" t="s">
        <v>56</v>
      </c>
      <c r="C11" s="5" t="s">
        <v>17</v>
      </c>
      <c r="D11" s="5"/>
      <c r="E11" s="5" t="s">
        <v>107</v>
      </c>
      <c r="F11" s="5" t="s">
        <v>21</v>
      </c>
      <c r="G11" s="5" t="s">
        <v>58</v>
      </c>
      <c r="H11" s="5" t="s">
        <v>17</v>
      </c>
      <c r="I11" s="5" t="s">
        <v>17</v>
      </c>
      <c r="J11" s="5" t="s">
        <v>108</v>
      </c>
    </row>
    <row r="12" spans="1:10" x14ac:dyDescent="0.25">
      <c r="A12" s="5" t="s">
        <v>15</v>
      </c>
      <c r="B12" s="6" t="s">
        <v>109</v>
      </c>
      <c r="C12" s="5" t="s">
        <v>17</v>
      </c>
      <c r="D12" s="5"/>
      <c r="E12" s="5" t="s">
        <v>110</v>
      </c>
      <c r="F12" s="5" t="s">
        <v>15</v>
      </c>
      <c r="G12" s="5" t="s">
        <v>17</v>
      </c>
      <c r="H12" s="5" t="s">
        <v>17</v>
      </c>
      <c r="I12" s="5" t="s">
        <v>17</v>
      </c>
      <c r="J12" s="5" t="s">
        <v>111</v>
      </c>
    </row>
    <row r="13" spans="1:10" x14ac:dyDescent="0.25" outlineLevel="1" collapsed="1">
      <c r="A13" s="9" t="s">
        <v>15</v>
      </c>
      <c r="B13" s="9" t="s">
        <v>23</v>
      </c>
      <c r="C13" s="10" t="s">
        <v>112</v>
      </c>
      <c r="D13" s="9"/>
      <c r="E13" s="9" t="s">
        <v>113</v>
      </c>
      <c r="F13" s="9" t="s">
        <v>21</v>
      </c>
      <c r="G13" s="9" t="s">
        <v>114</v>
      </c>
      <c r="H13" s="9" t="s">
        <v>17</v>
      </c>
      <c r="I13" s="9" t="s">
        <v>17</v>
      </c>
      <c r="J13" s="9" t="s">
        <v>115</v>
      </c>
    </row>
    <row r="14" spans="1:10" x14ac:dyDescent="0.25" outlineLevel="1" collapsed="1">
      <c r="A14" s="9" t="s">
        <v>15</v>
      </c>
      <c r="B14" s="9" t="s">
        <v>56</v>
      </c>
      <c r="C14" s="9" t="s">
        <v>17</v>
      </c>
      <c r="D14" s="9"/>
      <c r="E14" s="9" t="s">
        <v>116</v>
      </c>
      <c r="F14" s="9" t="s">
        <v>21</v>
      </c>
      <c r="G14" s="9" t="s">
        <v>58</v>
      </c>
      <c r="H14" s="9" t="s">
        <v>17</v>
      </c>
      <c r="I14" s="9" t="s">
        <v>17</v>
      </c>
      <c r="J14" s="9" t="s">
        <v>117</v>
      </c>
    </row>
    <row r="15" spans="1:10" x14ac:dyDescent="0.25">
      <c r="A15" s="5" t="s">
        <v>15</v>
      </c>
      <c r="B15" s="5" t="s">
        <v>56</v>
      </c>
      <c r="C15" s="5" t="s">
        <v>17</v>
      </c>
      <c r="D15" s="5"/>
      <c r="E15" s="5" t="s">
        <v>118</v>
      </c>
      <c r="F15" s="5" t="s">
        <v>21</v>
      </c>
      <c r="G15" s="5" t="s">
        <v>58</v>
      </c>
      <c r="H15" s="5" t="s">
        <v>17</v>
      </c>
      <c r="I15" s="5" t="s">
        <v>17</v>
      </c>
      <c r="J15" s="5" t="s">
        <v>119</v>
      </c>
    </row>
  </sheetData>
  <mergeCells count="3">
    <mergeCell ref="A1:J1"/>
    <mergeCell ref="B2:J2"/>
    <mergeCell ref="B3:J3"/>
  </mergeCells>
  <dataValidations count="3">
    <dataValidation type="list" allowBlank="1" sqref="G10:I10">
      <formula1>'Project Scale (enum)'!A4:A6</formula1>
    </dataValidation>
    <dataValidation type="list" allowBlank="1" sqref="G13:I13">
      <formula1>'Select the SDG (enum)'!A4:A20</formula1>
    </dataValidation>
    <dataValidation type="list" allowBlank="1" sqref="G8:I8">
      <formula1>'Project Status (enum)'!A4:A7</formula1>
    </dataValidation>
  </dataValidations>
  <hyperlinks>
    <hyperlink ref="C8" r:id="rId1" location="#'Project Status (enum)'!A3"/>
    <hyperlink ref="C10" r:id="rId2" location="#'Project Scale (enum)'!A3"/>
    <hyperlink ref="B12" r:id="rId3" location="#'Contribution of the Project to'!A1"/>
    <hyperlink ref="C13" r:id="rId4" location="#'Select the SDG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282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283</v>
      </c>
    </row>
    <row r="6" spans="1:10" x14ac:dyDescent="0.25">
      <c r="A6" s="5" t="s">
        <v>15</v>
      </c>
      <c r="B6" s="5" t="s">
        <v>26</v>
      </c>
      <c r="C6" s="5" t="s">
        <v>284</v>
      </c>
      <c r="D6" s="5"/>
      <c r="E6" s="5" t="s">
        <v>285</v>
      </c>
      <c r="F6" s="5" t="s">
        <v>21</v>
      </c>
      <c r="G6" s="5" t="s">
        <v>1114</v>
      </c>
      <c r="H6" s="5" t="s">
        <v>17</v>
      </c>
      <c r="I6" s="5" t="s">
        <v>17</v>
      </c>
      <c r="J6" s="5" t="s">
        <v>287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571</v>
      </c>
      <c r="C5" s="5" t="s">
        <v>17</v>
      </c>
      <c r="D5" s="5"/>
      <c r="E5" s="5" t="s">
        <v>641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642</v>
      </c>
    </row>
    <row r="6" spans="1:10" x14ac:dyDescent="0.25" outlineLevel="1" collapsed="1">
      <c r="A6" s="9" t="s">
        <v>15</v>
      </c>
      <c r="B6" s="9" t="s">
        <v>23</v>
      </c>
      <c r="C6" s="10" t="s">
        <v>574</v>
      </c>
      <c r="D6" s="9"/>
      <c r="E6" s="9" t="s">
        <v>575</v>
      </c>
      <c r="F6" s="9" t="s">
        <v>21</v>
      </c>
      <c r="G6" s="9" t="s">
        <v>15</v>
      </c>
      <c r="H6" s="9" t="s">
        <v>17</v>
      </c>
      <c r="I6" s="9" t="s">
        <v>17</v>
      </c>
      <c r="J6" s="9" t="s">
        <v>576</v>
      </c>
    </row>
    <row r="7" spans="1:10" x14ac:dyDescent="0.25" outlineLevel="1" collapsed="1">
      <c r="A7" s="9" t="s">
        <v>21</v>
      </c>
      <c r="B7" s="9" t="s">
        <v>56</v>
      </c>
      <c r="C7" s="9" t="s">
        <v>17</v>
      </c>
      <c r="D7" s="9"/>
      <c r="E7" s="9" t="s">
        <v>577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578</v>
      </c>
    </row>
    <row r="8" spans="1:10" x14ac:dyDescent="0.25">
      <c r="A8" s="5" t="s">
        <v>15</v>
      </c>
      <c r="B8" s="6" t="s">
        <v>571</v>
      </c>
      <c r="C8" s="5" t="s">
        <v>17</v>
      </c>
      <c r="D8" s="5"/>
      <c r="E8" s="5" t="s">
        <v>643</v>
      </c>
      <c r="F8" s="5" t="s">
        <v>21</v>
      </c>
      <c r="G8" s="5" t="s">
        <v>17</v>
      </c>
      <c r="H8" s="5" t="s">
        <v>17</v>
      </c>
      <c r="I8" s="5" t="s">
        <v>17</v>
      </c>
      <c r="J8" s="5" t="s">
        <v>644</v>
      </c>
    </row>
    <row r="9" spans="1:10" x14ac:dyDescent="0.25" outlineLevel="1" collapsed="1">
      <c r="A9" s="9" t="s">
        <v>15</v>
      </c>
      <c r="B9" s="9" t="s">
        <v>23</v>
      </c>
      <c r="C9" s="10" t="s">
        <v>574</v>
      </c>
      <c r="D9" s="9"/>
      <c r="E9" s="9" t="s">
        <v>575</v>
      </c>
      <c r="F9" s="9" t="s">
        <v>21</v>
      </c>
      <c r="G9" s="9" t="s">
        <v>15</v>
      </c>
      <c r="H9" s="9" t="s">
        <v>17</v>
      </c>
      <c r="I9" s="9" t="s">
        <v>17</v>
      </c>
      <c r="J9" s="9" t="s">
        <v>576</v>
      </c>
    </row>
    <row r="10" spans="1:10" x14ac:dyDescent="0.25" outlineLevel="1" collapsed="1">
      <c r="A10" s="9" t="s">
        <v>21</v>
      </c>
      <c r="B10" s="9" t="s">
        <v>56</v>
      </c>
      <c r="C10" s="9" t="s">
        <v>17</v>
      </c>
      <c r="D10" s="9"/>
      <c r="E10" s="9" t="s">
        <v>577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578</v>
      </c>
    </row>
    <row r="11" spans="1:10" x14ac:dyDescent="0.25">
      <c r="A11" s="5" t="s">
        <v>15</v>
      </c>
      <c r="B11" s="6" t="s">
        <v>571</v>
      </c>
      <c r="C11" s="5" t="s">
        <v>17</v>
      </c>
      <c r="D11" s="5"/>
      <c r="E11" s="5" t="s">
        <v>645</v>
      </c>
      <c r="F11" s="5" t="s">
        <v>21</v>
      </c>
      <c r="G11" s="5" t="s">
        <v>17</v>
      </c>
      <c r="H11" s="5" t="s">
        <v>17</v>
      </c>
      <c r="I11" s="5" t="s">
        <v>17</v>
      </c>
      <c r="J11" s="5" t="s">
        <v>646</v>
      </c>
    </row>
    <row r="12" spans="1:10" x14ac:dyDescent="0.25" outlineLevel="1" collapsed="1">
      <c r="A12" s="9" t="s">
        <v>15</v>
      </c>
      <c r="B12" s="9" t="s">
        <v>23</v>
      </c>
      <c r="C12" s="10" t="s">
        <v>574</v>
      </c>
      <c r="D12" s="9"/>
      <c r="E12" s="9" t="s">
        <v>575</v>
      </c>
      <c r="F12" s="9" t="s">
        <v>21</v>
      </c>
      <c r="G12" s="9" t="s">
        <v>15</v>
      </c>
      <c r="H12" s="9" t="s">
        <v>17</v>
      </c>
      <c r="I12" s="9" t="s">
        <v>17</v>
      </c>
      <c r="J12" s="9" t="s">
        <v>576</v>
      </c>
    </row>
    <row r="13" spans="1:10" x14ac:dyDescent="0.25" outlineLevel="1" collapsed="1">
      <c r="A13" s="9" t="s">
        <v>21</v>
      </c>
      <c r="B13" s="9" t="s">
        <v>56</v>
      </c>
      <c r="C13" s="9" t="s">
        <v>17</v>
      </c>
      <c r="D13" s="9"/>
      <c r="E13" s="9" t="s">
        <v>577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578</v>
      </c>
    </row>
    <row r="14" spans="1:10" x14ac:dyDescent="0.25">
      <c r="A14" s="5" t="s">
        <v>15</v>
      </c>
      <c r="B14" s="6" t="s">
        <v>571</v>
      </c>
      <c r="C14" s="5" t="s">
        <v>17</v>
      </c>
      <c r="D14" s="5"/>
      <c r="E14" s="5" t="s">
        <v>647</v>
      </c>
      <c r="F14" s="5" t="s">
        <v>21</v>
      </c>
      <c r="G14" s="5" t="s">
        <v>17</v>
      </c>
      <c r="H14" s="5" t="s">
        <v>17</v>
      </c>
      <c r="I14" s="5" t="s">
        <v>17</v>
      </c>
      <c r="J14" s="5" t="s">
        <v>648</v>
      </c>
    </row>
    <row r="15" spans="1:10" x14ac:dyDescent="0.25" outlineLevel="1" collapsed="1">
      <c r="A15" s="9" t="s">
        <v>15</v>
      </c>
      <c r="B15" s="9" t="s">
        <v>23</v>
      </c>
      <c r="C15" s="10" t="s">
        <v>574</v>
      </c>
      <c r="D15" s="9"/>
      <c r="E15" s="9" t="s">
        <v>575</v>
      </c>
      <c r="F15" s="9" t="s">
        <v>21</v>
      </c>
      <c r="G15" s="9" t="s">
        <v>15</v>
      </c>
      <c r="H15" s="9" t="s">
        <v>17</v>
      </c>
      <c r="I15" s="9" t="s">
        <v>17</v>
      </c>
      <c r="J15" s="9" t="s">
        <v>576</v>
      </c>
    </row>
    <row r="16" spans="1:10" x14ac:dyDescent="0.25" outlineLevel="1" collapsed="1">
      <c r="A16" s="9" t="s">
        <v>21</v>
      </c>
      <c r="B16" s="9" t="s">
        <v>56</v>
      </c>
      <c r="C16" s="9" t="s">
        <v>17</v>
      </c>
      <c r="D16" s="9"/>
      <c r="E16" s="9" t="s">
        <v>577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578</v>
      </c>
    </row>
    <row r="17" spans="1:10" x14ac:dyDescent="0.25">
      <c r="A17" s="5" t="s">
        <v>15</v>
      </c>
      <c r="B17" s="6" t="s">
        <v>571</v>
      </c>
      <c r="C17" s="5" t="s">
        <v>17</v>
      </c>
      <c r="D17" s="5"/>
      <c r="E17" s="5" t="s">
        <v>649</v>
      </c>
      <c r="F17" s="5" t="s">
        <v>21</v>
      </c>
      <c r="G17" s="5" t="s">
        <v>17</v>
      </c>
      <c r="H17" s="5" t="s">
        <v>17</v>
      </c>
      <c r="I17" s="5" t="s">
        <v>17</v>
      </c>
      <c r="J17" s="5" t="s">
        <v>650</v>
      </c>
    </row>
    <row r="18" spans="1:10" x14ac:dyDescent="0.25" outlineLevel="1" collapsed="1">
      <c r="A18" s="9" t="s">
        <v>15</v>
      </c>
      <c r="B18" s="9" t="s">
        <v>23</v>
      </c>
      <c r="C18" s="10" t="s">
        <v>574</v>
      </c>
      <c r="D18" s="9"/>
      <c r="E18" s="9" t="s">
        <v>575</v>
      </c>
      <c r="F18" s="9" t="s">
        <v>21</v>
      </c>
      <c r="G18" s="9" t="s">
        <v>15</v>
      </c>
      <c r="H18" s="9" t="s">
        <v>17</v>
      </c>
      <c r="I18" s="9" t="s">
        <v>17</v>
      </c>
      <c r="J18" s="9" t="s">
        <v>576</v>
      </c>
    </row>
    <row r="19" spans="1:10" x14ac:dyDescent="0.25" outlineLevel="1" collapsed="1">
      <c r="A19" s="9" t="s">
        <v>21</v>
      </c>
      <c r="B19" s="9" t="s">
        <v>56</v>
      </c>
      <c r="C19" s="9" t="s">
        <v>17</v>
      </c>
      <c r="D19" s="9"/>
      <c r="E19" s="9" t="s">
        <v>577</v>
      </c>
      <c r="F19" s="9" t="s">
        <v>21</v>
      </c>
      <c r="G19" s="9" t="s">
        <v>58</v>
      </c>
      <c r="H19" s="9" t="s">
        <v>17</v>
      </c>
      <c r="I19" s="9" t="s">
        <v>17</v>
      </c>
      <c r="J19" s="9" t="s">
        <v>578</v>
      </c>
    </row>
    <row r="20" spans="1:10" x14ac:dyDescent="0.25">
      <c r="A20" s="5" t="s">
        <v>15</v>
      </c>
      <c r="B20" s="6" t="s">
        <v>571</v>
      </c>
      <c r="C20" s="5" t="s">
        <v>17</v>
      </c>
      <c r="D20" s="5"/>
      <c r="E20" s="5" t="s">
        <v>651</v>
      </c>
      <c r="F20" s="5" t="s">
        <v>21</v>
      </c>
      <c r="G20" s="5" t="s">
        <v>17</v>
      </c>
      <c r="H20" s="5" t="s">
        <v>17</v>
      </c>
      <c r="I20" s="5" t="s">
        <v>17</v>
      </c>
      <c r="J20" s="5" t="s">
        <v>652</v>
      </c>
    </row>
    <row r="21" spans="1:10" x14ac:dyDescent="0.25" outlineLevel="1" collapsed="1">
      <c r="A21" s="9" t="s">
        <v>15</v>
      </c>
      <c r="B21" s="9" t="s">
        <v>23</v>
      </c>
      <c r="C21" s="10" t="s">
        <v>574</v>
      </c>
      <c r="D21" s="9"/>
      <c r="E21" s="9" t="s">
        <v>575</v>
      </c>
      <c r="F21" s="9" t="s">
        <v>21</v>
      </c>
      <c r="G21" s="9" t="s">
        <v>15</v>
      </c>
      <c r="H21" s="9" t="s">
        <v>17</v>
      </c>
      <c r="I21" s="9" t="s">
        <v>17</v>
      </c>
      <c r="J21" s="9" t="s">
        <v>576</v>
      </c>
    </row>
    <row r="22" spans="1:10" x14ac:dyDescent="0.25" outlineLevel="1" collapsed="1">
      <c r="A22" s="9" t="s">
        <v>21</v>
      </c>
      <c r="B22" s="9" t="s">
        <v>56</v>
      </c>
      <c r="C22" s="9" t="s">
        <v>17</v>
      </c>
      <c r="D22" s="9"/>
      <c r="E22" s="9" t="s">
        <v>577</v>
      </c>
      <c r="F22" s="9" t="s">
        <v>21</v>
      </c>
      <c r="G22" s="9" t="s">
        <v>58</v>
      </c>
      <c r="H22" s="9" t="s">
        <v>17</v>
      </c>
      <c r="I22" s="9" t="s">
        <v>17</v>
      </c>
      <c r="J22" s="9" t="s">
        <v>578</v>
      </c>
    </row>
    <row r="23" spans="1:10" x14ac:dyDescent="0.25">
      <c r="A23" s="5" t="s">
        <v>15</v>
      </c>
      <c r="B23" s="6" t="s">
        <v>571</v>
      </c>
      <c r="C23" s="5" t="s">
        <v>17</v>
      </c>
      <c r="D23" s="5"/>
      <c r="E23" s="5" t="s">
        <v>653</v>
      </c>
      <c r="F23" s="5" t="s">
        <v>21</v>
      </c>
      <c r="G23" s="5" t="s">
        <v>17</v>
      </c>
      <c r="H23" s="5" t="s">
        <v>17</v>
      </c>
      <c r="I23" s="5" t="s">
        <v>17</v>
      </c>
      <c r="J23" s="5" t="s">
        <v>654</v>
      </c>
    </row>
    <row r="24" spans="1:10" x14ac:dyDescent="0.25" outlineLevel="1" collapsed="1">
      <c r="A24" s="9" t="s">
        <v>15</v>
      </c>
      <c r="B24" s="9" t="s">
        <v>23</v>
      </c>
      <c r="C24" s="10" t="s">
        <v>574</v>
      </c>
      <c r="D24" s="9"/>
      <c r="E24" s="9" t="s">
        <v>575</v>
      </c>
      <c r="F24" s="9" t="s">
        <v>21</v>
      </c>
      <c r="G24" s="9" t="s">
        <v>15</v>
      </c>
      <c r="H24" s="9" t="s">
        <v>17</v>
      </c>
      <c r="I24" s="9" t="s">
        <v>17</v>
      </c>
      <c r="J24" s="9" t="s">
        <v>576</v>
      </c>
    </row>
    <row r="25" spans="1:10" x14ac:dyDescent="0.25" outlineLevel="1" collapsed="1">
      <c r="A25" s="9" t="s">
        <v>21</v>
      </c>
      <c r="B25" s="9" t="s">
        <v>56</v>
      </c>
      <c r="C25" s="9" t="s">
        <v>17</v>
      </c>
      <c r="D25" s="9"/>
      <c r="E25" s="9" t="s">
        <v>577</v>
      </c>
      <c r="F25" s="9" t="s">
        <v>21</v>
      </c>
      <c r="G25" s="9" t="s">
        <v>58</v>
      </c>
      <c r="H25" s="9" t="s">
        <v>17</v>
      </c>
      <c r="I25" s="9" t="s">
        <v>17</v>
      </c>
      <c r="J25" s="9" t="s">
        <v>578</v>
      </c>
    </row>
    <row r="26" spans="1:10" x14ac:dyDescent="0.25">
      <c r="A26" s="5" t="s">
        <v>15</v>
      </c>
      <c r="B26" s="6" t="s">
        <v>571</v>
      </c>
      <c r="C26" s="5" t="s">
        <v>17</v>
      </c>
      <c r="D26" s="5"/>
      <c r="E26" s="5" t="s">
        <v>655</v>
      </c>
      <c r="F26" s="5" t="s">
        <v>21</v>
      </c>
      <c r="G26" s="5" t="s">
        <v>17</v>
      </c>
      <c r="H26" s="5" t="s">
        <v>17</v>
      </c>
      <c r="I26" s="5" t="s">
        <v>17</v>
      </c>
      <c r="J26" s="5" t="s">
        <v>656</v>
      </c>
    </row>
    <row r="27" spans="1:10" x14ac:dyDescent="0.25" outlineLevel="1" collapsed="1">
      <c r="A27" s="9" t="s">
        <v>15</v>
      </c>
      <c r="B27" s="9" t="s">
        <v>23</v>
      </c>
      <c r="C27" s="10" t="s">
        <v>574</v>
      </c>
      <c r="D27" s="9"/>
      <c r="E27" s="9" t="s">
        <v>575</v>
      </c>
      <c r="F27" s="9" t="s">
        <v>21</v>
      </c>
      <c r="G27" s="9" t="s">
        <v>15</v>
      </c>
      <c r="H27" s="9" t="s">
        <v>17</v>
      </c>
      <c r="I27" s="9" t="s">
        <v>17</v>
      </c>
      <c r="J27" s="9" t="s">
        <v>576</v>
      </c>
    </row>
    <row r="28" spans="1:10" x14ac:dyDescent="0.25" outlineLevel="1" collapsed="1">
      <c r="A28" s="9" t="s">
        <v>21</v>
      </c>
      <c r="B28" s="9" t="s">
        <v>56</v>
      </c>
      <c r="C28" s="9" t="s">
        <v>17</v>
      </c>
      <c r="D28" s="9"/>
      <c r="E28" s="9" t="s">
        <v>577</v>
      </c>
      <c r="F28" s="9" t="s">
        <v>21</v>
      </c>
      <c r="G28" s="9" t="s">
        <v>58</v>
      </c>
      <c r="H28" s="9" t="s">
        <v>17</v>
      </c>
      <c r="I28" s="9" t="s">
        <v>17</v>
      </c>
      <c r="J28" s="9" t="s">
        <v>578</v>
      </c>
    </row>
  </sheetData>
  <mergeCells count="3">
    <mergeCell ref="A1:J1"/>
    <mergeCell ref="B2:J2"/>
    <mergeCell ref="B3:J3"/>
  </mergeCells>
  <dataValidations count="8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18:I18">
      <formula1>'Yes or No (enum)'!A4:A5</formula1>
    </dataValidation>
    <dataValidation type="list" allowBlank="1" sqref="G21:I21">
      <formula1>'Yes or No (enum)'!A4:A5</formula1>
    </dataValidation>
    <dataValidation type="list" allowBlank="1" sqref="G24:I24">
      <formula1>'Yes or No (enum)'!A4:A5</formula1>
    </dataValidation>
    <dataValidation type="list" allowBlank="1" sqref="G27:I27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  <hyperlink ref="B17" r:id="rId9" location="#'Yes or no with comments'!A1"/>
    <hyperlink ref="C18" r:id="rId10" location="#'Yes or No (enum)'!A3"/>
    <hyperlink ref="B20" r:id="rId11" location="#'Yes or no with comments'!A1"/>
    <hyperlink ref="C21" r:id="rId12" location="#'Yes or No (enum)'!A3"/>
    <hyperlink ref="B23" r:id="rId13" location="#'Yes or no with comments'!A1"/>
    <hyperlink ref="C24" r:id="rId14" location="#'Yes or No (enum)'!A3"/>
    <hyperlink ref="B26" r:id="rId15" location="#'Yes or no with comments'!A1"/>
    <hyperlink ref="C27" r:id="rId16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295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296</v>
      </c>
    </row>
    <row r="6" spans="1:10" x14ac:dyDescent="0.25">
      <c r="A6" s="5" t="s">
        <v>15</v>
      </c>
      <c r="B6" s="5" t="s">
        <v>26</v>
      </c>
      <c r="C6" s="5" t="s">
        <v>284</v>
      </c>
      <c r="D6" s="5"/>
      <c r="E6" s="5" t="s">
        <v>297</v>
      </c>
      <c r="F6" s="5" t="s">
        <v>21</v>
      </c>
      <c r="G6" s="5" t="s">
        <v>1116</v>
      </c>
      <c r="H6" s="5" t="s">
        <v>17</v>
      </c>
      <c r="I6" s="5" t="s">
        <v>17</v>
      </c>
      <c r="J6" s="5" t="s">
        <v>299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21</v>
      </c>
      <c r="B5" s="5" t="s">
        <v>175</v>
      </c>
      <c r="C5" s="5" t="s">
        <v>17</v>
      </c>
      <c r="D5" s="5"/>
      <c r="E5" s="5" t="s">
        <v>745</v>
      </c>
      <c r="F5" s="5" t="s">
        <v>15</v>
      </c>
      <c r="G5" s="5" t="s">
        <v>1117</v>
      </c>
      <c r="H5" s="5" t="s">
        <v>17</v>
      </c>
      <c r="I5" s="5" t="s">
        <v>17</v>
      </c>
      <c r="J5" s="5" t="s">
        <v>747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681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571</v>
      </c>
      <c r="C5" s="5" t="s">
        <v>17</v>
      </c>
      <c r="D5" s="5"/>
      <c r="E5" s="5" t="s">
        <v>684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685</v>
      </c>
    </row>
    <row r="6" spans="1:10" x14ac:dyDescent="0.25" outlineLevel="1" collapsed="1">
      <c r="A6" s="9" t="s">
        <v>15</v>
      </c>
      <c r="B6" s="9" t="s">
        <v>23</v>
      </c>
      <c r="C6" s="10" t="s">
        <v>574</v>
      </c>
      <c r="D6" s="9"/>
      <c r="E6" s="9" t="s">
        <v>575</v>
      </c>
      <c r="F6" s="9" t="s">
        <v>21</v>
      </c>
      <c r="G6" s="9" t="s">
        <v>15</v>
      </c>
      <c r="H6" s="9" t="s">
        <v>17</v>
      </c>
      <c r="I6" s="9" t="s">
        <v>17</v>
      </c>
      <c r="J6" s="9" t="s">
        <v>576</v>
      </c>
    </row>
    <row r="7" spans="1:10" x14ac:dyDescent="0.25" outlineLevel="1" collapsed="1">
      <c r="A7" s="9" t="s">
        <v>21</v>
      </c>
      <c r="B7" s="9" t="s">
        <v>56</v>
      </c>
      <c r="C7" s="9" t="s">
        <v>17</v>
      </c>
      <c r="D7" s="9"/>
      <c r="E7" s="9" t="s">
        <v>577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578</v>
      </c>
    </row>
    <row r="8" spans="1:10" x14ac:dyDescent="0.25">
      <c r="A8" s="5" t="s">
        <v>15</v>
      </c>
      <c r="B8" s="6" t="s">
        <v>571</v>
      </c>
      <c r="C8" s="5" t="s">
        <v>17</v>
      </c>
      <c r="D8" s="5"/>
      <c r="E8" s="5" t="s">
        <v>686</v>
      </c>
      <c r="F8" s="5" t="s">
        <v>21</v>
      </c>
      <c r="G8" s="5" t="s">
        <v>17</v>
      </c>
      <c r="H8" s="5" t="s">
        <v>17</v>
      </c>
      <c r="I8" s="5" t="s">
        <v>17</v>
      </c>
      <c r="J8" s="5" t="s">
        <v>687</v>
      </c>
    </row>
    <row r="9" spans="1:10" x14ac:dyDescent="0.25" outlineLevel="1" collapsed="1">
      <c r="A9" s="9" t="s">
        <v>15</v>
      </c>
      <c r="B9" s="9" t="s">
        <v>23</v>
      </c>
      <c r="C9" s="10" t="s">
        <v>574</v>
      </c>
      <c r="D9" s="9"/>
      <c r="E9" s="9" t="s">
        <v>575</v>
      </c>
      <c r="F9" s="9" t="s">
        <v>21</v>
      </c>
      <c r="G9" s="9" t="s">
        <v>15</v>
      </c>
      <c r="H9" s="9" t="s">
        <v>17</v>
      </c>
      <c r="I9" s="9" t="s">
        <v>17</v>
      </c>
      <c r="J9" s="9" t="s">
        <v>576</v>
      </c>
    </row>
    <row r="10" spans="1:10" x14ac:dyDescent="0.25" outlineLevel="1" collapsed="1">
      <c r="A10" s="9" t="s">
        <v>21</v>
      </c>
      <c r="B10" s="9" t="s">
        <v>56</v>
      </c>
      <c r="C10" s="9" t="s">
        <v>17</v>
      </c>
      <c r="D10" s="9"/>
      <c r="E10" s="9" t="s">
        <v>577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578</v>
      </c>
    </row>
    <row r="11" spans="1:10" x14ac:dyDescent="0.25">
      <c r="A11" s="5" t="s">
        <v>15</v>
      </c>
      <c r="B11" s="6" t="s">
        <v>571</v>
      </c>
      <c r="C11" s="5" t="s">
        <v>17</v>
      </c>
      <c r="D11" s="5"/>
      <c r="E11" s="5" t="s">
        <v>688</v>
      </c>
      <c r="F11" s="5" t="s">
        <v>21</v>
      </c>
      <c r="G11" s="5" t="s">
        <v>17</v>
      </c>
      <c r="H11" s="5" t="s">
        <v>17</v>
      </c>
      <c r="I11" s="5" t="s">
        <v>17</v>
      </c>
      <c r="J11" s="5" t="s">
        <v>689</v>
      </c>
    </row>
    <row r="12" spans="1:10" x14ac:dyDescent="0.25" outlineLevel="1" collapsed="1">
      <c r="A12" s="9" t="s">
        <v>15</v>
      </c>
      <c r="B12" s="9" t="s">
        <v>23</v>
      </c>
      <c r="C12" s="10" t="s">
        <v>574</v>
      </c>
      <c r="D12" s="9"/>
      <c r="E12" s="9" t="s">
        <v>575</v>
      </c>
      <c r="F12" s="9" t="s">
        <v>21</v>
      </c>
      <c r="G12" s="9" t="s">
        <v>15</v>
      </c>
      <c r="H12" s="9" t="s">
        <v>17</v>
      </c>
      <c r="I12" s="9" t="s">
        <v>17</v>
      </c>
      <c r="J12" s="9" t="s">
        <v>576</v>
      </c>
    </row>
    <row r="13" spans="1:10" x14ac:dyDescent="0.25" outlineLevel="1" collapsed="1">
      <c r="A13" s="9" t="s">
        <v>21</v>
      </c>
      <c r="B13" s="9" t="s">
        <v>56</v>
      </c>
      <c r="C13" s="9" t="s">
        <v>17</v>
      </c>
      <c r="D13" s="9"/>
      <c r="E13" s="9" t="s">
        <v>577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578</v>
      </c>
    </row>
    <row r="14" spans="1:10" x14ac:dyDescent="0.25">
      <c r="A14" s="5" t="s">
        <v>15</v>
      </c>
      <c r="B14" s="6" t="s">
        <v>571</v>
      </c>
      <c r="C14" s="5" t="s">
        <v>17</v>
      </c>
      <c r="D14" s="5"/>
      <c r="E14" s="5" t="s">
        <v>690</v>
      </c>
      <c r="F14" s="5" t="s">
        <v>21</v>
      </c>
      <c r="G14" s="5" t="s">
        <v>17</v>
      </c>
      <c r="H14" s="5" t="s">
        <v>17</v>
      </c>
      <c r="I14" s="5" t="s">
        <v>17</v>
      </c>
      <c r="J14" s="5" t="s">
        <v>691</v>
      </c>
    </row>
    <row r="15" spans="1:10" x14ac:dyDescent="0.25" outlineLevel="1" collapsed="1">
      <c r="A15" s="9" t="s">
        <v>15</v>
      </c>
      <c r="B15" s="9" t="s">
        <v>23</v>
      </c>
      <c r="C15" s="10" t="s">
        <v>574</v>
      </c>
      <c r="D15" s="9"/>
      <c r="E15" s="9" t="s">
        <v>575</v>
      </c>
      <c r="F15" s="9" t="s">
        <v>21</v>
      </c>
      <c r="G15" s="9" t="s">
        <v>15</v>
      </c>
      <c r="H15" s="9" t="s">
        <v>17</v>
      </c>
      <c r="I15" s="9" t="s">
        <v>17</v>
      </c>
      <c r="J15" s="9" t="s">
        <v>576</v>
      </c>
    </row>
    <row r="16" spans="1:10" x14ac:dyDescent="0.25" outlineLevel="1" collapsed="1">
      <c r="A16" s="9" t="s">
        <v>21</v>
      </c>
      <c r="B16" s="9" t="s">
        <v>56</v>
      </c>
      <c r="C16" s="9" t="s">
        <v>17</v>
      </c>
      <c r="D16" s="9"/>
      <c r="E16" s="9" t="s">
        <v>577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578</v>
      </c>
    </row>
    <row r="17" spans="1:10" x14ac:dyDescent="0.25">
      <c r="A17" s="5" t="s">
        <v>15</v>
      </c>
      <c r="B17" s="6" t="s">
        <v>571</v>
      </c>
      <c r="C17" s="5" t="s">
        <v>17</v>
      </c>
      <c r="D17" s="5"/>
      <c r="E17" s="5" t="s">
        <v>692</v>
      </c>
      <c r="F17" s="5" t="s">
        <v>21</v>
      </c>
      <c r="G17" s="5" t="s">
        <v>17</v>
      </c>
      <c r="H17" s="5" t="s">
        <v>17</v>
      </c>
      <c r="I17" s="5" t="s">
        <v>17</v>
      </c>
      <c r="J17" s="5" t="s">
        <v>693</v>
      </c>
    </row>
    <row r="18" spans="1:10" x14ac:dyDescent="0.25" outlineLevel="1" collapsed="1">
      <c r="A18" s="9" t="s">
        <v>15</v>
      </c>
      <c r="B18" s="9" t="s">
        <v>23</v>
      </c>
      <c r="C18" s="10" t="s">
        <v>574</v>
      </c>
      <c r="D18" s="9"/>
      <c r="E18" s="9" t="s">
        <v>575</v>
      </c>
      <c r="F18" s="9" t="s">
        <v>21</v>
      </c>
      <c r="G18" s="9" t="s">
        <v>15</v>
      </c>
      <c r="H18" s="9" t="s">
        <v>17</v>
      </c>
      <c r="I18" s="9" t="s">
        <v>17</v>
      </c>
      <c r="J18" s="9" t="s">
        <v>576</v>
      </c>
    </row>
    <row r="19" spans="1:10" x14ac:dyDescent="0.25" outlineLevel="1" collapsed="1">
      <c r="A19" s="9" t="s">
        <v>21</v>
      </c>
      <c r="B19" s="9" t="s">
        <v>56</v>
      </c>
      <c r="C19" s="9" t="s">
        <v>17</v>
      </c>
      <c r="D19" s="9"/>
      <c r="E19" s="9" t="s">
        <v>577</v>
      </c>
      <c r="F19" s="9" t="s">
        <v>21</v>
      </c>
      <c r="G19" s="9" t="s">
        <v>58</v>
      </c>
      <c r="H19" s="9" t="s">
        <v>17</v>
      </c>
      <c r="I19" s="9" t="s">
        <v>17</v>
      </c>
      <c r="J19" s="9" t="s">
        <v>578</v>
      </c>
    </row>
    <row r="20" spans="1:10" x14ac:dyDescent="0.25">
      <c r="A20" s="5" t="s">
        <v>15</v>
      </c>
      <c r="B20" s="6" t="s">
        <v>571</v>
      </c>
      <c r="C20" s="5" t="s">
        <v>17</v>
      </c>
      <c r="D20" s="5"/>
      <c r="E20" s="5" t="s">
        <v>694</v>
      </c>
      <c r="F20" s="5" t="s">
        <v>21</v>
      </c>
      <c r="G20" s="5" t="s">
        <v>17</v>
      </c>
      <c r="H20" s="5" t="s">
        <v>17</v>
      </c>
      <c r="I20" s="5" t="s">
        <v>17</v>
      </c>
      <c r="J20" s="5" t="s">
        <v>695</v>
      </c>
    </row>
    <row r="21" spans="1:10" x14ac:dyDescent="0.25" outlineLevel="1" collapsed="1">
      <c r="A21" s="9" t="s">
        <v>15</v>
      </c>
      <c r="B21" s="9" t="s">
        <v>23</v>
      </c>
      <c r="C21" s="10" t="s">
        <v>574</v>
      </c>
      <c r="D21" s="9"/>
      <c r="E21" s="9" t="s">
        <v>575</v>
      </c>
      <c r="F21" s="9" t="s">
        <v>21</v>
      </c>
      <c r="G21" s="9" t="s">
        <v>15</v>
      </c>
      <c r="H21" s="9" t="s">
        <v>17</v>
      </c>
      <c r="I21" s="9" t="s">
        <v>17</v>
      </c>
      <c r="J21" s="9" t="s">
        <v>576</v>
      </c>
    </row>
    <row r="22" spans="1:10" x14ac:dyDescent="0.25" outlineLevel="1" collapsed="1">
      <c r="A22" s="9" t="s">
        <v>21</v>
      </c>
      <c r="B22" s="9" t="s">
        <v>56</v>
      </c>
      <c r="C22" s="9" t="s">
        <v>17</v>
      </c>
      <c r="D22" s="9"/>
      <c r="E22" s="9" t="s">
        <v>577</v>
      </c>
      <c r="F22" s="9" t="s">
        <v>21</v>
      </c>
      <c r="G22" s="9" t="s">
        <v>58</v>
      </c>
      <c r="H22" s="9" t="s">
        <v>17</v>
      </c>
      <c r="I22" s="9" t="s">
        <v>17</v>
      </c>
      <c r="J22" s="9" t="s">
        <v>578</v>
      </c>
    </row>
    <row r="23" spans="1:10" x14ac:dyDescent="0.25">
      <c r="A23" s="5" t="s">
        <v>15</v>
      </c>
      <c r="B23" s="6" t="s">
        <v>571</v>
      </c>
      <c r="C23" s="5" t="s">
        <v>17</v>
      </c>
      <c r="D23" s="5"/>
      <c r="E23" s="5" t="s">
        <v>696</v>
      </c>
      <c r="F23" s="5" t="s">
        <v>21</v>
      </c>
      <c r="G23" s="5" t="s">
        <v>17</v>
      </c>
      <c r="H23" s="5" t="s">
        <v>17</v>
      </c>
      <c r="I23" s="5" t="s">
        <v>17</v>
      </c>
      <c r="J23" s="5" t="s">
        <v>697</v>
      </c>
    </row>
    <row r="24" spans="1:10" x14ac:dyDescent="0.25" outlineLevel="1" collapsed="1">
      <c r="A24" s="9" t="s">
        <v>15</v>
      </c>
      <c r="B24" s="9" t="s">
        <v>23</v>
      </c>
      <c r="C24" s="10" t="s">
        <v>574</v>
      </c>
      <c r="D24" s="9"/>
      <c r="E24" s="9" t="s">
        <v>575</v>
      </c>
      <c r="F24" s="9" t="s">
        <v>21</v>
      </c>
      <c r="G24" s="9" t="s">
        <v>15</v>
      </c>
      <c r="H24" s="9" t="s">
        <v>17</v>
      </c>
      <c r="I24" s="9" t="s">
        <v>17</v>
      </c>
      <c r="J24" s="9" t="s">
        <v>576</v>
      </c>
    </row>
    <row r="25" spans="1:10" x14ac:dyDescent="0.25" outlineLevel="1" collapsed="1">
      <c r="A25" s="9" t="s">
        <v>21</v>
      </c>
      <c r="B25" s="9" t="s">
        <v>56</v>
      </c>
      <c r="C25" s="9" t="s">
        <v>17</v>
      </c>
      <c r="D25" s="9"/>
      <c r="E25" s="9" t="s">
        <v>577</v>
      </c>
      <c r="F25" s="9" t="s">
        <v>21</v>
      </c>
      <c r="G25" s="9" t="s">
        <v>58</v>
      </c>
      <c r="H25" s="9" t="s">
        <v>17</v>
      </c>
      <c r="I25" s="9" t="s">
        <v>17</v>
      </c>
      <c r="J25" s="9" t="s">
        <v>578</v>
      </c>
    </row>
    <row r="26" spans="1:10" x14ac:dyDescent="0.25">
      <c r="A26" s="5" t="s">
        <v>15</v>
      </c>
      <c r="B26" s="6" t="s">
        <v>571</v>
      </c>
      <c r="C26" s="5" t="s">
        <v>17</v>
      </c>
      <c r="D26" s="5"/>
      <c r="E26" s="5" t="s">
        <v>698</v>
      </c>
      <c r="F26" s="5" t="s">
        <v>21</v>
      </c>
      <c r="G26" s="5" t="s">
        <v>17</v>
      </c>
      <c r="H26" s="5" t="s">
        <v>17</v>
      </c>
      <c r="I26" s="5" t="s">
        <v>17</v>
      </c>
      <c r="J26" s="5" t="s">
        <v>699</v>
      </c>
    </row>
    <row r="27" spans="1:10" x14ac:dyDescent="0.25" outlineLevel="1" collapsed="1">
      <c r="A27" s="9" t="s">
        <v>15</v>
      </c>
      <c r="B27" s="9" t="s">
        <v>23</v>
      </c>
      <c r="C27" s="10" t="s">
        <v>574</v>
      </c>
      <c r="D27" s="9"/>
      <c r="E27" s="9" t="s">
        <v>575</v>
      </c>
      <c r="F27" s="9" t="s">
        <v>21</v>
      </c>
      <c r="G27" s="9" t="s">
        <v>15</v>
      </c>
      <c r="H27" s="9" t="s">
        <v>17</v>
      </c>
      <c r="I27" s="9" t="s">
        <v>17</v>
      </c>
      <c r="J27" s="9" t="s">
        <v>576</v>
      </c>
    </row>
    <row r="28" spans="1:10" x14ac:dyDescent="0.25" outlineLevel="1" collapsed="1">
      <c r="A28" s="9" t="s">
        <v>21</v>
      </c>
      <c r="B28" s="9" t="s">
        <v>56</v>
      </c>
      <c r="C28" s="9" t="s">
        <v>17</v>
      </c>
      <c r="D28" s="9"/>
      <c r="E28" s="9" t="s">
        <v>577</v>
      </c>
      <c r="F28" s="9" t="s">
        <v>21</v>
      </c>
      <c r="G28" s="9" t="s">
        <v>58</v>
      </c>
      <c r="H28" s="9" t="s">
        <v>17</v>
      </c>
      <c r="I28" s="9" t="s">
        <v>17</v>
      </c>
      <c r="J28" s="9" t="s">
        <v>578</v>
      </c>
    </row>
    <row r="29" spans="1:10" x14ac:dyDescent="0.25">
      <c r="A29" s="5" t="s">
        <v>15</v>
      </c>
      <c r="B29" s="6" t="s">
        <v>571</v>
      </c>
      <c r="C29" s="5" t="s">
        <v>17</v>
      </c>
      <c r="D29" s="5"/>
      <c r="E29" s="5" t="s">
        <v>700</v>
      </c>
      <c r="F29" s="5" t="s">
        <v>21</v>
      </c>
      <c r="G29" s="5" t="s">
        <v>17</v>
      </c>
      <c r="H29" s="5" t="s">
        <v>17</v>
      </c>
      <c r="I29" s="5" t="s">
        <v>17</v>
      </c>
      <c r="J29" s="5" t="s">
        <v>701</v>
      </c>
    </row>
    <row r="30" spans="1:10" x14ac:dyDescent="0.25" outlineLevel="1" collapsed="1">
      <c r="A30" s="9" t="s">
        <v>15</v>
      </c>
      <c r="B30" s="9" t="s">
        <v>23</v>
      </c>
      <c r="C30" s="10" t="s">
        <v>574</v>
      </c>
      <c r="D30" s="9"/>
      <c r="E30" s="9" t="s">
        <v>575</v>
      </c>
      <c r="F30" s="9" t="s">
        <v>21</v>
      </c>
      <c r="G30" s="9" t="s">
        <v>15</v>
      </c>
      <c r="H30" s="9" t="s">
        <v>17</v>
      </c>
      <c r="I30" s="9" t="s">
        <v>17</v>
      </c>
      <c r="J30" s="9" t="s">
        <v>576</v>
      </c>
    </row>
    <row r="31" spans="1:10" x14ac:dyDescent="0.25" outlineLevel="1" collapsed="1">
      <c r="A31" s="9" t="s">
        <v>21</v>
      </c>
      <c r="B31" s="9" t="s">
        <v>56</v>
      </c>
      <c r="C31" s="9" t="s">
        <v>17</v>
      </c>
      <c r="D31" s="9"/>
      <c r="E31" s="9" t="s">
        <v>577</v>
      </c>
      <c r="F31" s="9" t="s">
        <v>21</v>
      </c>
      <c r="G31" s="9" t="s">
        <v>58</v>
      </c>
      <c r="H31" s="9" t="s">
        <v>17</v>
      </c>
      <c r="I31" s="9" t="s">
        <v>17</v>
      </c>
      <c r="J31" s="9" t="s">
        <v>578</v>
      </c>
    </row>
    <row r="32" spans="1:10" x14ac:dyDescent="0.25">
      <c r="A32" s="5" t="s">
        <v>15</v>
      </c>
      <c r="B32" s="6" t="s">
        <v>571</v>
      </c>
      <c r="C32" s="5" t="s">
        <v>17</v>
      </c>
      <c r="D32" s="5"/>
      <c r="E32" s="5" t="s">
        <v>702</v>
      </c>
      <c r="F32" s="5" t="s">
        <v>21</v>
      </c>
      <c r="G32" s="5" t="s">
        <v>17</v>
      </c>
      <c r="H32" s="5" t="s">
        <v>17</v>
      </c>
      <c r="I32" s="5" t="s">
        <v>17</v>
      </c>
      <c r="J32" s="5" t="s">
        <v>703</v>
      </c>
    </row>
    <row r="33" spans="1:10" x14ac:dyDescent="0.25" outlineLevel="1" collapsed="1">
      <c r="A33" s="9" t="s">
        <v>15</v>
      </c>
      <c r="B33" s="9" t="s">
        <v>23</v>
      </c>
      <c r="C33" s="10" t="s">
        <v>574</v>
      </c>
      <c r="D33" s="9"/>
      <c r="E33" s="9" t="s">
        <v>575</v>
      </c>
      <c r="F33" s="9" t="s">
        <v>21</v>
      </c>
      <c r="G33" s="9" t="s">
        <v>15</v>
      </c>
      <c r="H33" s="9" t="s">
        <v>17</v>
      </c>
      <c r="I33" s="9" t="s">
        <v>17</v>
      </c>
      <c r="J33" s="9" t="s">
        <v>576</v>
      </c>
    </row>
    <row r="34" spans="1:10" x14ac:dyDescent="0.25" outlineLevel="1" collapsed="1">
      <c r="A34" s="9" t="s">
        <v>21</v>
      </c>
      <c r="B34" s="9" t="s">
        <v>56</v>
      </c>
      <c r="C34" s="9" t="s">
        <v>17</v>
      </c>
      <c r="D34" s="9"/>
      <c r="E34" s="9" t="s">
        <v>577</v>
      </c>
      <c r="F34" s="9" t="s">
        <v>21</v>
      </c>
      <c r="G34" s="9" t="s">
        <v>58</v>
      </c>
      <c r="H34" s="9" t="s">
        <v>17</v>
      </c>
      <c r="I34" s="9" t="s">
        <v>17</v>
      </c>
      <c r="J34" s="9" t="s">
        <v>578</v>
      </c>
    </row>
    <row r="35" spans="1:10" x14ac:dyDescent="0.25">
      <c r="A35" s="5" t="s">
        <v>15</v>
      </c>
      <c r="B35" s="6" t="s">
        <v>571</v>
      </c>
      <c r="C35" s="5" t="s">
        <v>17</v>
      </c>
      <c r="D35" s="5"/>
      <c r="E35" s="5" t="s">
        <v>704</v>
      </c>
      <c r="F35" s="5" t="s">
        <v>21</v>
      </c>
      <c r="G35" s="5" t="s">
        <v>17</v>
      </c>
      <c r="H35" s="5" t="s">
        <v>17</v>
      </c>
      <c r="I35" s="5" t="s">
        <v>17</v>
      </c>
      <c r="J35" s="5" t="s">
        <v>705</v>
      </c>
    </row>
    <row r="36" spans="1:10" x14ac:dyDescent="0.25" outlineLevel="1" collapsed="1">
      <c r="A36" s="9" t="s">
        <v>15</v>
      </c>
      <c r="B36" s="9" t="s">
        <v>23</v>
      </c>
      <c r="C36" s="10" t="s">
        <v>574</v>
      </c>
      <c r="D36" s="9"/>
      <c r="E36" s="9" t="s">
        <v>575</v>
      </c>
      <c r="F36" s="9" t="s">
        <v>21</v>
      </c>
      <c r="G36" s="9" t="s">
        <v>15</v>
      </c>
      <c r="H36" s="9" t="s">
        <v>17</v>
      </c>
      <c r="I36" s="9" t="s">
        <v>17</v>
      </c>
      <c r="J36" s="9" t="s">
        <v>576</v>
      </c>
    </row>
    <row r="37" spans="1:10" x14ac:dyDescent="0.25" outlineLevel="1" collapsed="1">
      <c r="A37" s="9" t="s">
        <v>21</v>
      </c>
      <c r="B37" s="9" t="s">
        <v>56</v>
      </c>
      <c r="C37" s="9" t="s">
        <v>17</v>
      </c>
      <c r="D37" s="9"/>
      <c r="E37" s="9" t="s">
        <v>577</v>
      </c>
      <c r="F37" s="9" t="s">
        <v>21</v>
      </c>
      <c r="G37" s="9" t="s">
        <v>58</v>
      </c>
      <c r="H37" s="9" t="s">
        <v>17</v>
      </c>
      <c r="I37" s="9" t="s">
        <v>17</v>
      </c>
      <c r="J37" s="9" t="s">
        <v>578</v>
      </c>
    </row>
    <row r="38" spans="1:10" x14ac:dyDescent="0.25">
      <c r="A38" s="5" t="s">
        <v>15</v>
      </c>
      <c r="B38" s="6" t="s">
        <v>571</v>
      </c>
      <c r="C38" s="5" t="s">
        <v>17</v>
      </c>
      <c r="D38" s="5"/>
      <c r="E38" s="5" t="s">
        <v>706</v>
      </c>
      <c r="F38" s="5" t="s">
        <v>21</v>
      </c>
      <c r="G38" s="5" t="s">
        <v>17</v>
      </c>
      <c r="H38" s="5" t="s">
        <v>17</v>
      </c>
      <c r="I38" s="5" t="s">
        <v>17</v>
      </c>
      <c r="J38" s="5" t="s">
        <v>707</v>
      </c>
    </row>
    <row r="39" spans="1:10" x14ac:dyDescent="0.25" outlineLevel="1" collapsed="1">
      <c r="A39" s="9" t="s">
        <v>15</v>
      </c>
      <c r="B39" s="9" t="s">
        <v>23</v>
      </c>
      <c r="C39" s="10" t="s">
        <v>574</v>
      </c>
      <c r="D39" s="9"/>
      <c r="E39" s="9" t="s">
        <v>575</v>
      </c>
      <c r="F39" s="9" t="s">
        <v>21</v>
      </c>
      <c r="G39" s="9" t="s">
        <v>15</v>
      </c>
      <c r="H39" s="9" t="s">
        <v>17</v>
      </c>
      <c r="I39" s="9" t="s">
        <v>17</v>
      </c>
      <c r="J39" s="9" t="s">
        <v>576</v>
      </c>
    </row>
    <row r="40" spans="1:10" x14ac:dyDescent="0.25" outlineLevel="1" collapsed="1">
      <c r="A40" s="9" t="s">
        <v>21</v>
      </c>
      <c r="B40" s="9" t="s">
        <v>56</v>
      </c>
      <c r="C40" s="9" t="s">
        <v>17</v>
      </c>
      <c r="D40" s="9"/>
      <c r="E40" s="9" t="s">
        <v>577</v>
      </c>
      <c r="F40" s="9" t="s">
        <v>21</v>
      </c>
      <c r="G40" s="9" t="s">
        <v>58</v>
      </c>
      <c r="H40" s="9" t="s">
        <v>17</v>
      </c>
      <c r="I40" s="9" t="s">
        <v>17</v>
      </c>
      <c r="J40" s="9" t="s">
        <v>578</v>
      </c>
    </row>
    <row r="41" spans="1:10" x14ac:dyDescent="0.25">
      <c r="A41" s="5" t="s">
        <v>15</v>
      </c>
      <c r="B41" s="6" t="s">
        <v>571</v>
      </c>
      <c r="C41" s="5" t="s">
        <v>17</v>
      </c>
      <c r="D41" s="5"/>
      <c r="E41" s="5" t="s">
        <v>708</v>
      </c>
      <c r="F41" s="5" t="s">
        <v>21</v>
      </c>
      <c r="G41" s="5" t="s">
        <v>17</v>
      </c>
      <c r="H41" s="5" t="s">
        <v>17</v>
      </c>
      <c r="I41" s="5" t="s">
        <v>17</v>
      </c>
      <c r="J41" s="5" t="s">
        <v>709</v>
      </c>
    </row>
    <row r="42" spans="1:10" x14ac:dyDescent="0.25" outlineLevel="1" collapsed="1">
      <c r="A42" s="9" t="s">
        <v>15</v>
      </c>
      <c r="B42" s="9" t="s">
        <v>23</v>
      </c>
      <c r="C42" s="10" t="s">
        <v>574</v>
      </c>
      <c r="D42" s="9"/>
      <c r="E42" s="9" t="s">
        <v>575</v>
      </c>
      <c r="F42" s="9" t="s">
        <v>21</v>
      </c>
      <c r="G42" s="9" t="s">
        <v>15</v>
      </c>
      <c r="H42" s="9" t="s">
        <v>17</v>
      </c>
      <c r="I42" s="9" t="s">
        <v>17</v>
      </c>
      <c r="J42" s="9" t="s">
        <v>576</v>
      </c>
    </row>
    <row r="43" spans="1:10" x14ac:dyDescent="0.25" outlineLevel="1" collapsed="1">
      <c r="A43" s="9" t="s">
        <v>21</v>
      </c>
      <c r="B43" s="9" t="s">
        <v>56</v>
      </c>
      <c r="C43" s="9" t="s">
        <v>17</v>
      </c>
      <c r="D43" s="9"/>
      <c r="E43" s="9" t="s">
        <v>577</v>
      </c>
      <c r="F43" s="9" t="s">
        <v>21</v>
      </c>
      <c r="G43" s="9" t="s">
        <v>58</v>
      </c>
      <c r="H43" s="9" t="s">
        <v>17</v>
      </c>
      <c r="I43" s="9" t="s">
        <v>17</v>
      </c>
      <c r="J43" s="9" t="s">
        <v>578</v>
      </c>
    </row>
  </sheetData>
  <mergeCells count="3">
    <mergeCell ref="A1:J1"/>
    <mergeCell ref="B2:J2"/>
    <mergeCell ref="B3:J3"/>
  </mergeCells>
  <dataValidations count="13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18:I18">
      <formula1>'Yes or No (enum)'!A4:A5</formula1>
    </dataValidation>
    <dataValidation type="list" allowBlank="1" sqref="G21:I21">
      <formula1>'Yes or No (enum)'!A4:A5</formula1>
    </dataValidation>
    <dataValidation type="list" allowBlank="1" sqref="G24:I24">
      <formula1>'Yes or No (enum)'!A4:A5</formula1>
    </dataValidation>
    <dataValidation type="list" allowBlank="1" sqref="G27:I27">
      <formula1>'Yes or No (enum)'!A4:A5</formula1>
    </dataValidation>
    <dataValidation type="list" allowBlank="1" sqref="G30:I30">
      <formula1>'Yes or No (enum)'!A4:A5</formula1>
    </dataValidation>
    <dataValidation type="list" allowBlank="1" sqref="G33:I33">
      <formula1>'Yes or No (enum)'!A4:A5</formula1>
    </dataValidation>
    <dataValidation type="list" allowBlank="1" sqref="G36:I36">
      <formula1>'Yes or No (enum)'!A4:A5</formula1>
    </dataValidation>
    <dataValidation type="list" allowBlank="1" sqref="G39:I39">
      <formula1>'Yes or No (enum)'!A4:A5</formula1>
    </dataValidation>
    <dataValidation type="list" allowBlank="1" sqref="G42:I42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  <hyperlink ref="B17" r:id="rId9" location="#'Yes or no with comments'!A1"/>
    <hyperlink ref="C18" r:id="rId10" location="#'Yes or No (enum)'!A3"/>
    <hyperlink ref="B20" r:id="rId11" location="#'Yes or no with comments'!A1"/>
    <hyperlink ref="C21" r:id="rId12" location="#'Yes or No (enum)'!A3"/>
    <hyperlink ref="B23" r:id="rId13" location="#'Yes or no with comments'!A1"/>
    <hyperlink ref="C24" r:id="rId14" location="#'Yes or No (enum)'!A3"/>
    <hyperlink ref="B26" r:id="rId15" location="#'Yes or no with comments'!A1"/>
    <hyperlink ref="C27" r:id="rId16" location="#'Yes or No (enum)'!A3"/>
    <hyperlink ref="B29" r:id="rId17" location="#'Yes or no with comments'!A1"/>
    <hyperlink ref="C30" r:id="rId18" location="#'Yes or No (enum)'!A3"/>
    <hyperlink ref="B32" r:id="rId19" location="#'Yes or no with comments'!A1"/>
    <hyperlink ref="C33" r:id="rId20" location="#'Yes or No (enum)'!A3"/>
    <hyperlink ref="B35" r:id="rId21" location="#'Yes or no with comments'!A1"/>
    <hyperlink ref="C36" r:id="rId22" location="#'Yes or No (enum)'!A3"/>
    <hyperlink ref="B38" r:id="rId23" location="#'Yes or no with comments'!A1"/>
    <hyperlink ref="C39" r:id="rId24" location="#'Yes or No (enum)'!A3"/>
    <hyperlink ref="B41" r:id="rId25" location="#'Yes or no with comments'!A1"/>
    <hyperlink ref="C42" r:id="rId26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1118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386</v>
      </c>
      <c r="C5" s="5" t="s">
        <v>17</v>
      </c>
      <c r="D5" s="5"/>
      <c r="E5" s="5" t="s">
        <v>387</v>
      </c>
      <c r="F5" s="5" t="s">
        <v>21</v>
      </c>
      <c r="G5" s="5">
        <v>1</v>
      </c>
      <c r="H5" s="5" t="s">
        <v>17</v>
      </c>
      <c r="I5" s="5" t="s">
        <v>17</v>
      </c>
      <c r="J5" s="5" t="s">
        <v>388</v>
      </c>
    </row>
    <row r="6" spans="1:10" x14ac:dyDescent="0.25">
      <c r="A6" s="5" t="s">
        <v>15</v>
      </c>
      <c r="B6" s="5" t="s">
        <v>386</v>
      </c>
      <c r="C6" s="5" t="s">
        <v>17</v>
      </c>
      <c r="D6" s="5"/>
      <c r="E6" s="5" t="s">
        <v>389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390</v>
      </c>
    </row>
    <row r="7" spans="1:10" x14ac:dyDescent="0.25">
      <c r="A7" s="5" t="s">
        <v>15</v>
      </c>
      <c r="B7" s="5" t="s">
        <v>169</v>
      </c>
      <c r="C7" s="5" t="s">
        <v>17</v>
      </c>
      <c r="D7" s="5"/>
      <c r="E7" s="5" t="s">
        <v>391</v>
      </c>
      <c r="F7" s="5" t="s">
        <v>21</v>
      </c>
      <c r="G7" s="5" t="b">
        <v>1</v>
      </c>
      <c r="H7" s="5" t="s">
        <v>17</v>
      </c>
      <c r="I7" s="5" t="s">
        <v>17</v>
      </c>
      <c r="J7" s="5" t="s">
        <v>392</v>
      </c>
    </row>
    <row r="8" spans="1:10" x14ac:dyDescent="0.25">
      <c r="A8" s="5" t="s">
        <v>15</v>
      </c>
      <c r="B8" s="5" t="s">
        <v>169</v>
      </c>
      <c r="C8" s="5" t="s">
        <v>17</v>
      </c>
      <c r="D8" s="5"/>
      <c r="E8" s="5" t="s">
        <v>393</v>
      </c>
      <c r="F8" s="5" t="s">
        <v>21</v>
      </c>
      <c r="G8" s="5" t="b">
        <v>1</v>
      </c>
      <c r="H8" s="5" t="s">
        <v>17</v>
      </c>
      <c r="I8" s="5" t="s">
        <v>17</v>
      </c>
      <c r="J8" s="5" t="s">
        <v>394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395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396</v>
      </c>
    </row>
    <row r="10" spans="1:10" x14ac:dyDescent="0.25">
      <c r="A10" s="5" t="s">
        <v>15</v>
      </c>
      <c r="B10" s="5" t="s">
        <v>79</v>
      </c>
      <c r="C10" s="5" t="s">
        <v>17</v>
      </c>
      <c r="D10" s="5"/>
      <c r="E10" s="5" t="s">
        <v>397</v>
      </c>
      <c r="F10" s="5" t="s">
        <v>15</v>
      </c>
      <c r="G10" s="5">
        <v>1</v>
      </c>
      <c r="H10" s="5" t="s">
        <v>17</v>
      </c>
      <c r="I10" s="5" t="s">
        <v>17</v>
      </c>
      <c r="J10" s="5" t="s">
        <v>398</v>
      </c>
    </row>
    <row r="11" spans="1:10" x14ac:dyDescent="0.25">
      <c r="A11" s="5" t="s">
        <v>15</v>
      </c>
      <c r="B11" s="5" t="s">
        <v>79</v>
      </c>
      <c r="C11" s="5" t="s">
        <v>17</v>
      </c>
      <c r="D11" s="5"/>
      <c r="E11" s="5" t="s">
        <v>399</v>
      </c>
      <c r="F11" s="5" t="s">
        <v>15</v>
      </c>
      <c r="G11" s="5">
        <v>1</v>
      </c>
      <c r="H11" s="5" t="s">
        <v>17</v>
      </c>
      <c r="I11" s="5" t="s">
        <v>17</v>
      </c>
      <c r="J11" s="5" t="s">
        <v>400</v>
      </c>
    </row>
    <row r="12" spans="1:10" x14ac:dyDescent="0.25">
      <c r="A12" s="5" t="s">
        <v>15</v>
      </c>
      <c r="B12" s="6" t="s">
        <v>401</v>
      </c>
      <c r="C12" s="5" t="s">
        <v>17</v>
      </c>
      <c r="D12" s="5"/>
      <c r="E12" s="5" t="s">
        <v>397</v>
      </c>
      <c r="F12" s="5" t="s">
        <v>21</v>
      </c>
      <c r="G12" s="5" t="s">
        <v>17</v>
      </c>
      <c r="H12" s="5" t="s">
        <v>17</v>
      </c>
      <c r="I12" s="5" t="s">
        <v>17</v>
      </c>
      <c r="J12" s="5" t="s">
        <v>203</v>
      </c>
    </row>
    <row r="13" spans="1:10" x14ac:dyDescent="0.25" outlineLevel="1" collapsed="1">
      <c r="A13" s="7" t="s">
        <v>15</v>
      </c>
      <c r="B13" s="8" t="s">
        <v>402</v>
      </c>
      <c r="C13" s="7" t="s">
        <v>17</v>
      </c>
      <c r="D13" s="7"/>
      <c r="E13" s="7" t="s">
        <v>402</v>
      </c>
      <c r="F13" s="7" t="s">
        <v>15</v>
      </c>
      <c r="G13" s="7" t="s">
        <v>17</v>
      </c>
      <c r="H13" s="7" t="s">
        <v>17</v>
      </c>
      <c r="I13" s="7" t="s">
        <v>17</v>
      </c>
      <c r="J13" s="7" t="s">
        <v>403</v>
      </c>
    </row>
    <row r="14" spans="1:10" x14ac:dyDescent="0.25" outlineLevel="2" collapsed="1">
      <c r="A14" s="9" t="s">
        <v>15</v>
      </c>
      <c r="B14" s="9" t="s">
        <v>56</v>
      </c>
      <c r="C14" s="9" t="s">
        <v>17</v>
      </c>
      <c r="D14" s="9"/>
      <c r="E14" s="9" t="s">
        <v>402</v>
      </c>
      <c r="F14" s="9" t="s">
        <v>21</v>
      </c>
      <c r="G14" s="9" t="s">
        <v>58</v>
      </c>
      <c r="H14" s="9" t="s">
        <v>17</v>
      </c>
      <c r="I14" s="9" t="s">
        <v>17</v>
      </c>
      <c r="J14" s="9" t="s">
        <v>404</v>
      </c>
    </row>
    <row r="15" spans="1:10" x14ac:dyDescent="0.25" outlineLevel="2" collapsed="1">
      <c r="A15" s="7" t="s">
        <v>15</v>
      </c>
      <c r="B15" s="8" t="s">
        <v>405</v>
      </c>
      <c r="C15" s="7" t="s">
        <v>17</v>
      </c>
      <c r="D15" s="7"/>
      <c r="E15" s="7" t="s">
        <v>406</v>
      </c>
      <c r="F15" s="7" t="s">
        <v>15</v>
      </c>
      <c r="G15" s="7" t="s">
        <v>17</v>
      </c>
      <c r="H15" s="7" t="s">
        <v>17</v>
      </c>
      <c r="I15" s="7" t="s">
        <v>17</v>
      </c>
      <c r="J15" s="7" t="s">
        <v>407</v>
      </c>
    </row>
    <row r="16" spans="1:10" x14ac:dyDescent="0.25" outlineLevel="3" collapsed="1">
      <c r="A16" s="9" t="s">
        <v>15</v>
      </c>
      <c r="B16" s="9" t="s">
        <v>56</v>
      </c>
      <c r="C16" s="9" t="s">
        <v>17</v>
      </c>
      <c r="D16" s="9"/>
      <c r="E16" s="9" t="s">
        <v>408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409</v>
      </c>
    </row>
    <row r="17" spans="1:10" x14ac:dyDescent="0.25" outlineLevel="3" collapsed="1">
      <c r="A17" s="9" t="s">
        <v>15</v>
      </c>
      <c r="B17" s="9" t="s">
        <v>169</v>
      </c>
      <c r="C17" s="9" t="s">
        <v>17</v>
      </c>
      <c r="D17" s="9"/>
      <c r="E17" s="9" t="s">
        <v>410</v>
      </c>
      <c r="F17" s="9" t="s">
        <v>21</v>
      </c>
      <c r="G17" s="9" t="b">
        <v>1</v>
      </c>
      <c r="H17" s="9" t="s">
        <v>17</v>
      </c>
      <c r="I17" s="9" t="s">
        <v>17</v>
      </c>
      <c r="J17" s="9" t="s">
        <v>411</v>
      </c>
    </row>
    <row r="18" spans="1:10" x14ac:dyDescent="0.25" outlineLevel="3" collapsed="1">
      <c r="A18" s="9" t="s">
        <v>15</v>
      </c>
      <c r="B18" s="9" t="s">
        <v>56</v>
      </c>
      <c r="C18" s="9" t="s">
        <v>17</v>
      </c>
      <c r="D18" s="9"/>
      <c r="E18" s="9" t="s">
        <v>412</v>
      </c>
      <c r="F18" s="9" t="s">
        <v>21</v>
      </c>
      <c r="G18" s="9" t="s">
        <v>58</v>
      </c>
      <c r="H18" s="9" t="s">
        <v>17</v>
      </c>
      <c r="I18" s="9" t="s">
        <v>17</v>
      </c>
      <c r="J18" s="9" t="s">
        <v>413</v>
      </c>
    </row>
    <row r="19" spans="1:10" x14ac:dyDescent="0.25">
      <c r="A19" s="5" t="s">
        <v>15</v>
      </c>
      <c r="B19" s="6" t="s">
        <v>414</v>
      </c>
      <c r="C19" s="5" t="s">
        <v>17</v>
      </c>
      <c r="D19" s="5"/>
      <c r="E19" s="5" t="s">
        <v>399</v>
      </c>
      <c r="F19" s="5" t="s">
        <v>21</v>
      </c>
      <c r="G19" s="5" t="s">
        <v>17</v>
      </c>
      <c r="H19" s="5" t="s">
        <v>17</v>
      </c>
      <c r="I19" s="5" t="s">
        <v>17</v>
      </c>
      <c r="J19" s="5" t="s">
        <v>222</v>
      </c>
    </row>
    <row r="20" spans="1:10" x14ac:dyDescent="0.25" outlineLevel="1" collapsed="1">
      <c r="A20" s="7" t="s">
        <v>15</v>
      </c>
      <c r="B20" s="8" t="s">
        <v>402</v>
      </c>
      <c r="C20" s="7" t="s">
        <v>17</v>
      </c>
      <c r="D20" s="7"/>
      <c r="E20" s="7" t="s">
        <v>402</v>
      </c>
      <c r="F20" s="7" t="s">
        <v>15</v>
      </c>
      <c r="G20" s="7" t="s">
        <v>17</v>
      </c>
      <c r="H20" s="7" t="s">
        <v>17</v>
      </c>
      <c r="I20" s="7" t="s">
        <v>17</v>
      </c>
      <c r="J20" s="7" t="s">
        <v>415</v>
      </c>
    </row>
    <row r="21" spans="1:10" x14ac:dyDescent="0.25" outlineLevel="2" collapsed="1">
      <c r="A21" s="9" t="s">
        <v>15</v>
      </c>
      <c r="B21" s="9" t="s">
        <v>56</v>
      </c>
      <c r="C21" s="9" t="s">
        <v>17</v>
      </c>
      <c r="D21" s="9"/>
      <c r="E21" s="9" t="s">
        <v>402</v>
      </c>
      <c r="F21" s="9" t="s">
        <v>21</v>
      </c>
      <c r="G21" s="9" t="s">
        <v>58</v>
      </c>
      <c r="H21" s="9" t="s">
        <v>17</v>
      </c>
      <c r="I21" s="9" t="s">
        <v>17</v>
      </c>
      <c r="J21" s="9" t="s">
        <v>404</v>
      </c>
    </row>
    <row r="22" spans="1:10" x14ac:dyDescent="0.25" outlineLevel="2" collapsed="1">
      <c r="A22" s="7" t="s">
        <v>15</v>
      </c>
      <c r="B22" s="8" t="s">
        <v>405</v>
      </c>
      <c r="C22" s="7" t="s">
        <v>17</v>
      </c>
      <c r="D22" s="7"/>
      <c r="E22" s="7" t="s">
        <v>406</v>
      </c>
      <c r="F22" s="7" t="s">
        <v>15</v>
      </c>
      <c r="G22" s="7" t="s">
        <v>17</v>
      </c>
      <c r="H22" s="7" t="s">
        <v>17</v>
      </c>
      <c r="I22" s="7" t="s">
        <v>17</v>
      </c>
      <c r="J22" s="7" t="s">
        <v>407</v>
      </c>
    </row>
    <row r="23" spans="1:10" x14ac:dyDescent="0.25" outlineLevel="3" collapsed="1">
      <c r="A23" s="9" t="s">
        <v>15</v>
      </c>
      <c r="B23" s="9" t="s">
        <v>56</v>
      </c>
      <c r="C23" s="9" t="s">
        <v>17</v>
      </c>
      <c r="D23" s="9"/>
      <c r="E23" s="9" t="s">
        <v>408</v>
      </c>
      <c r="F23" s="9" t="s">
        <v>21</v>
      </c>
      <c r="G23" s="9" t="s">
        <v>58</v>
      </c>
      <c r="H23" s="9" t="s">
        <v>17</v>
      </c>
      <c r="I23" s="9" t="s">
        <v>17</v>
      </c>
      <c r="J23" s="9" t="s">
        <v>409</v>
      </c>
    </row>
    <row r="24" spans="1:10" x14ac:dyDescent="0.25" outlineLevel="3" collapsed="1">
      <c r="A24" s="9" t="s">
        <v>15</v>
      </c>
      <c r="B24" s="9" t="s">
        <v>169</v>
      </c>
      <c r="C24" s="9" t="s">
        <v>17</v>
      </c>
      <c r="D24" s="9"/>
      <c r="E24" s="9" t="s">
        <v>410</v>
      </c>
      <c r="F24" s="9" t="s">
        <v>21</v>
      </c>
      <c r="G24" s="9" t="b">
        <v>1</v>
      </c>
      <c r="H24" s="9" t="s">
        <v>17</v>
      </c>
      <c r="I24" s="9" t="s">
        <v>17</v>
      </c>
      <c r="J24" s="9" t="s">
        <v>411</v>
      </c>
    </row>
    <row r="25" spans="1:10" x14ac:dyDescent="0.25" outlineLevel="3" collapsed="1">
      <c r="A25" s="9" t="s">
        <v>15</v>
      </c>
      <c r="B25" s="9" t="s">
        <v>56</v>
      </c>
      <c r="C25" s="9" t="s">
        <v>17</v>
      </c>
      <c r="D25" s="9"/>
      <c r="E25" s="9" t="s">
        <v>412</v>
      </c>
      <c r="F25" s="9" t="s">
        <v>21</v>
      </c>
      <c r="G25" s="9" t="s">
        <v>58</v>
      </c>
      <c r="H25" s="9" t="s">
        <v>17</v>
      </c>
      <c r="I25" s="9" t="s">
        <v>17</v>
      </c>
      <c r="J25" s="9" t="s">
        <v>413</v>
      </c>
    </row>
    <row r="26" spans="1:10" x14ac:dyDescent="0.25">
      <c r="A26" s="5" t="s">
        <v>15</v>
      </c>
      <c r="B26" s="5" t="s">
        <v>56</v>
      </c>
      <c r="C26" s="5" t="s">
        <v>17</v>
      </c>
      <c r="D26" s="5"/>
      <c r="E26" s="5" t="s">
        <v>416</v>
      </c>
      <c r="F26" s="5" t="s">
        <v>21</v>
      </c>
      <c r="G26" s="5" t="s">
        <v>58</v>
      </c>
      <c r="H26" s="5" t="s">
        <v>17</v>
      </c>
      <c r="I26" s="5" t="s">
        <v>17</v>
      </c>
      <c r="J26" s="5" t="s">
        <v>417</v>
      </c>
    </row>
    <row r="27" spans="1:10" x14ac:dyDescent="0.25">
      <c r="A27" s="5" t="s">
        <v>15</v>
      </c>
      <c r="B27" s="5" t="s">
        <v>175</v>
      </c>
      <c r="C27" s="5" t="s">
        <v>17</v>
      </c>
      <c r="D27" s="5"/>
      <c r="E27" s="5" t="s">
        <v>418</v>
      </c>
      <c r="F27" s="5" t="s">
        <v>21</v>
      </c>
      <c r="G27" s="5" t="s">
        <v>1119</v>
      </c>
      <c r="H27" s="5" t="s">
        <v>17</v>
      </c>
      <c r="I27" s="5" t="s">
        <v>17</v>
      </c>
      <c r="J27" s="5" t="s">
        <v>420</v>
      </c>
    </row>
  </sheetData>
  <mergeCells count="3">
    <mergeCell ref="A1:J1"/>
    <mergeCell ref="B2:J2"/>
    <mergeCell ref="B3:J3"/>
  </mergeCells>
  <hyperlinks>
    <hyperlink ref="B12" r:id="rId1" location="#'Baseline Scenario - Sources'!A1"/>
    <hyperlink ref="B13" r:id="rId2" location="#'Source'!A1"/>
    <hyperlink ref="B15" r:id="rId3" location="#'GHG Details'!A1"/>
    <hyperlink ref="B19" r:id="rId4" location="#'Project Scenario - Sources'!A1"/>
    <hyperlink ref="B20" r:id="rId5" location="#'Source'!A1"/>
    <hyperlink ref="B22" r:id="rId6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501</v>
      </c>
      <c r="D5" s="5"/>
      <c r="E5" s="5" t="s">
        <v>86</v>
      </c>
      <c r="F5" s="5" t="s">
        <v>21</v>
      </c>
      <c r="G5" s="5" t="s">
        <v>1120</v>
      </c>
      <c r="H5" s="5" t="s">
        <v>17</v>
      </c>
      <c r="I5" s="5" t="s">
        <v>17</v>
      </c>
      <c r="J5" s="5" t="s">
        <v>88</v>
      </c>
    </row>
    <row r="6" spans="1:10" x14ac:dyDescent="0.25">
      <c r="A6" s="5" t="s">
        <v>15</v>
      </c>
      <c r="B6" s="5" t="s">
        <v>26</v>
      </c>
      <c r="C6" s="5" t="s">
        <v>501</v>
      </c>
      <c r="D6" s="5"/>
      <c r="E6" s="5" t="s">
        <v>739</v>
      </c>
      <c r="F6" s="5" t="s">
        <v>21</v>
      </c>
      <c r="G6" s="5" t="s">
        <v>1121</v>
      </c>
      <c r="H6" s="5" t="s">
        <v>17</v>
      </c>
      <c r="I6" s="5" t="s">
        <v>17</v>
      </c>
      <c r="J6" s="5" t="s">
        <v>741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547</v>
      </c>
      <c r="F5" s="5" t="s">
        <v>21</v>
      </c>
      <c r="G5" s="5" t="s">
        <v>548</v>
      </c>
      <c r="H5" s="5" t="s">
        <v>17</v>
      </c>
      <c r="I5" s="5" t="s">
        <v>17</v>
      </c>
      <c r="J5" s="5" t="s">
        <v>549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550</v>
      </c>
      <c r="F6" s="5" t="s">
        <v>21</v>
      </c>
      <c r="G6" s="5" t="s">
        <v>551</v>
      </c>
      <c r="H6" s="5" t="s">
        <v>17</v>
      </c>
      <c r="I6" s="5" t="s">
        <v>17</v>
      </c>
      <c r="J6" s="5" t="s">
        <v>552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553</v>
      </c>
      <c r="F7" s="5" t="s">
        <v>21</v>
      </c>
      <c r="G7" s="5" t="s">
        <v>554</v>
      </c>
      <c r="H7" s="5" t="s">
        <v>17</v>
      </c>
      <c r="I7" s="5" t="s">
        <v>17</v>
      </c>
      <c r="J7" s="5" t="s">
        <v>555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556</v>
      </c>
      <c r="F8" s="5" t="s">
        <v>21</v>
      </c>
      <c r="G8" s="5" t="s">
        <v>557</v>
      </c>
      <c r="H8" s="5" t="s">
        <v>17</v>
      </c>
      <c r="I8" s="5" t="s">
        <v>17</v>
      </c>
      <c r="J8" s="5" t="s">
        <v>558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559</v>
      </c>
      <c r="F9" s="5" t="s">
        <v>21</v>
      </c>
      <c r="G9" s="5" t="s">
        <v>560</v>
      </c>
      <c r="H9" s="5" t="s">
        <v>17</v>
      </c>
      <c r="I9" s="5" t="s">
        <v>17</v>
      </c>
      <c r="J9" s="5" t="s">
        <v>561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24</v>
      </c>
      <c r="D5" s="5"/>
      <c r="E5" s="5" t="s">
        <v>20</v>
      </c>
      <c r="F5" s="5" t="s">
        <v>21</v>
      </c>
      <c r="G5" s="5" t="s">
        <v>25</v>
      </c>
      <c r="H5" s="5" t="s">
        <v>17</v>
      </c>
      <c r="I5" s="5" t="s">
        <v>17</v>
      </c>
      <c r="J5" s="5" t="s">
        <v>22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'Country 3 (enum)'!A4:A256</formula1>
    </dataValidation>
  </dataValidations>
  <hyperlinks>
    <hyperlink ref="C5" r:id="rId1" location="#'Country 3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79</v>
      </c>
      <c r="C5" s="5" t="s">
        <v>17</v>
      </c>
      <c r="D5" s="5"/>
      <c r="E5" s="5" t="s">
        <v>797</v>
      </c>
      <c r="F5" s="5" t="s">
        <v>21</v>
      </c>
      <c r="G5" s="5">
        <v>1</v>
      </c>
      <c r="H5" s="5" t="s">
        <v>17</v>
      </c>
      <c r="I5" s="5" t="s">
        <v>17</v>
      </c>
      <c r="J5" s="5" t="s">
        <v>798</v>
      </c>
    </row>
    <row r="6" spans="1:10" x14ac:dyDescent="0.25">
      <c r="A6" s="5" t="s">
        <v>15</v>
      </c>
      <c r="B6" s="5" t="s">
        <v>79</v>
      </c>
      <c r="C6" s="5" t="s">
        <v>17</v>
      </c>
      <c r="D6" s="5"/>
      <c r="E6" s="5" t="s">
        <v>799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800</v>
      </c>
    </row>
    <row r="7" spans="1:10" x14ac:dyDescent="0.25">
      <c r="A7" s="5" t="s">
        <v>15</v>
      </c>
      <c r="B7" s="5" t="s">
        <v>79</v>
      </c>
      <c r="C7" s="5" t="s">
        <v>17</v>
      </c>
      <c r="D7" s="5"/>
      <c r="E7" s="5" t="s">
        <v>801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802</v>
      </c>
    </row>
    <row r="8" spans="1:10" x14ac:dyDescent="0.25">
      <c r="A8" s="5" t="s">
        <v>21</v>
      </c>
      <c r="B8" s="5" t="s">
        <v>79</v>
      </c>
      <c r="C8" s="5" t="s">
        <v>17</v>
      </c>
      <c r="D8" s="5"/>
      <c r="E8" s="5" t="s">
        <v>803</v>
      </c>
      <c r="F8" s="5" t="s">
        <v>21</v>
      </c>
      <c r="G8" s="5" t="s">
        <v>804</v>
      </c>
      <c r="H8" s="5" t="s">
        <v>17</v>
      </c>
      <c r="I8" s="5" t="s">
        <v>17</v>
      </c>
      <c r="J8" s="5" t="s">
        <v>805</v>
      </c>
    </row>
    <row r="9" spans="1:10" x14ac:dyDescent="0.25">
      <c r="A9" s="5" t="s">
        <v>15</v>
      </c>
      <c r="B9" s="5" t="s">
        <v>79</v>
      </c>
      <c r="C9" s="5" t="s">
        <v>17</v>
      </c>
      <c r="D9" s="5"/>
      <c r="E9" s="5" t="s">
        <v>806</v>
      </c>
      <c r="F9" s="5" t="s">
        <v>21</v>
      </c>
      <c r="G9" s="5">
        <v>1</v>
      </c>
      <c r="H9" s="5" t="s">
        <v>17</v>
      </c>
      <c r="I9" s="5" t="s">
        <v>17</v>
      </c>
      <c r="J9" s="5" t="s">
        <v>807</v>
      </c>
    </row>
    <row r="10" spans="1:10" x14ac:dyDescent="0.25">
      <c r="A10" s="5" t="s">
        <v>21</v>
      </c>
      <c r="B10" s="5" t="s">
        <v>79</v>
      </c>
      <c r="C10" s="5" t="s">
        <v>17</v>
      </c>
      <c r="D10" s="5"/>
      <c r="E10" s="5" t="s">
        <v>808</v>
      </c>
      <c r="F10" s="5" t="s">
        <v>21</v>
      </c>
      <c r="G10" s="5">
        <v>1</v>
      </c>
      <c r="H10" s="5" t="s">
        <v>17</v>
      </c>
      <c r="I10" s="5" t="s">
        <v>17</v>
      </c>
      <c r="J10" s="5" t="s">
        <v>809</v>
      </c>
    </row>
    <row r="11" spans="1:10" x14ac:dyDescent="0.25">
      <c r="A11" s="5" t="s">
        <v>15</v>
      </c>
      <c r="B11" s="5" t="s">
        <v>169</v>
      </c>
      <c r="C11" s="5" t="s">
        <v>17</v>
      </c>
      <c r="D11" s="5"/>
      <c r="E11" s="5" t="s">
        <v>810</v>
      </c>
      <c r="F11" s="5" t="s">
        <v>21</v>
      </c>
      <c r="G11" s="5" t="s">
        <v>15</v>
      </c>
      <c r="H11" s="5" t="s">
        <v>17</v>
      </c>
      <c r="I11" s="5" t="s">
        <v>17</v>
      </c>
      <c r="J11" s="5" t="s">
        <v>811</v>
      </c>
    </row>
    <row r="12" spans="1:10" x14ac:dyDescent="0.25">
      <c r="A12" s="5" t="s">
        <v>15</v>
      </c>
      <c r="B12" s="5" t="s">
        <v>56</v>
      </c>
      <c r="C12" s="5" t="s">
        <v>17</v>
      </c>
      <c r="D12" s="5"/>
      <c r="E12" s="5" t="s">
        <v>812</v>
      </c>
      <c r="F12" s="5" t="s">
        <v>21</v>
      </c>
      <c r="G12" s="5" t="s">
        <v>58</v>
      </c>
      <c r="H12" s="5" t="s">
        <v>17</v>
      </c>
      <c r="I12" s="5" t="s">
        <v>17</v>
      </c>
      <c r="J12" s="5" t="s">
        <v>813</v>
      </c>
    </row>
    <row r="13" spans="1:10" x14ac:dyDescent="0.25">
      <c r="A13" s="5" t="s">
        <v>15</v>
      </c>
      <c r="B13" s="5" t="s">
        <v>169</v>
      </c>
      <c r="C13" s="5" t="s">
        <v>17</v>
      </c>
      <c r="D13" s="5"/>
      <c r="E13" s="5" t="s">
        <v>814</v>
      </c>
      <c r="F13" s="5" t="s">
        <v>21</v>
      </c>
      <c r="G13" s="5" t="s">
        <v>15</v>
      </c>
      <c r="H13" s="5" t="s">
        <v>17</v>
      </c>
      <c r="I13" s="5" t="s">
        <v>17</v>
      </c>
      <c r="J13" s="5" t="s">
        <v>815</v>
      </c>
    </row>
    <row r="14" spans="1:10" x14ac:dyDescent="0.25">
      <c r="A14" s="5" t="s">
        <v>15</v>
      </c>
      <c r="B14" s="5" t="s">
        <v>56</v>
      </c>
      <c r="C14" s="5" t="s">
        <v>17</v>
      </c>
      <c r="D14" s="5"/>
      <c r="E14" s="5" t="s">
        <v>816</v>
      </c>
      <c r="F14" s="5" t="s">
        <v>21</v>
      </c>
      <c r="G14" s="5" t="s">
        <v>58</v>
      </c>
      <c r="H14" s="5" t="s">
        <v>17</v>
      </c>
      <c r="I14" s="5" t="s">
        <v>17</v>
      </c>
      <c r="J14" s="5" t="s">
        <v>817</v>
      </c>
    </row>
    <row r="15" spans="1:10" x14ac:dyDescent="0.25">
      <c r="A15" s="5" t="s">
        <v>15</v>
      </c>
      <c r="B15" s="6" t="s">
        <v>818</v>
      </c>
      <c r="C15" s="5" t="s">
        <v>17</v>
      </c>
      <c r="D15" s="5"/>
      <c r="E15" s="5" t="s">
        <v>818</v>
      </c>
      <c r="F15" s="5" t="s">
        <v>21</v>
      </c>
      <c r="G15" s="5" t="s">
        <v>17</v>
      </c>
      <c r="H15" s="5" t="s">
        <v>17</v>
      </c>
      <c r="I15" s="5" t="s">
        <v>17</v>
      </c>
      <c r="J15" s="5" t="s">
        <v>203</v>
      </c>
    </row>
    <row r="16" spans="1:10" x14ac:dyDescent="0.25" outlineLevel="1" collapsed="1">
      <c r="A16" s="9" t="s">
        <v>15</v>
      </c>
      <c r="B16" s="9" t="s">
        <v>56</v>
      </c>
      <c r="C16" s="9" t="s">
        <v>17</v>
      </c>
      <c r="D16" s="9"/>
      <c r="E16" s="9" t="s">
        <v>819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820</v>
      </c>
    </row>
    <row r="17" spans="1:10" x14ac:dyDescent="0.25" outlineLevel="1" collapsed="1">
      <c r="A17" s="9" t="s">
        <v>15</v>
      </c>
      <c r="B17" s="9" t="s">
        <v>56</v>
      </c>
      <c r="C17" s="9" t="s">
        <v>17</v>
      </c>
      <c r="D17" s="9"/>
      <c r="E17" s="9" t="s">
        <v>821</v>
      </c>
      <c r="F17" s="9" t="s">
        <v>21</v>
      </c>
      <c r="G17" s="9" t="s">
        <v>58</v>
      </c>
      <c r="H17" s="9" t="s">
        <v>17</v>
      </c>
      <c r="I17" s="9" t="s">
        <v>17</v>
      </c>
      <c r="J17" s="9" t="s">
        <v>822</v>
      </c>
    </row>
    <row r="18" spans="1:10" x14ac:dyDescent="0.25" outlineLevel="1" collapsed="1">
      <c r="A18" s="9" t="s">
        <v>15</v>
      </c>
      <c r="B18" s="9" t="s">
        <v>89</v>
      </c>
      <c r="C18" s="9" t="s">
        <v>17</v>
      </c>
      <c r="D18" s="9"/>
      <c r="E18" s="9" t="s">
        <v>823</v>
      </c>
      <c r="F18" s="9" t="s">
        <v>21</v>
      </c>
      <c r="G18" s="9" t="s">
        <v>91</v>
      </c>
      <c r="H18" s="9" t="s">
        <v>17</v>
      </c>
      <c r="I18" s="9" t="s">
        <v>17</v>
      </c>
      <c r="J18" s="9" t="s">
        <v>824</v>
      </c>
    </row>
  </sheetData>
  <mergeCells count="3">
    <mergeCell ref="A1:J1"/>
    <mergeCell ref="B2:J2"/>
    <mergeCell ref="B3:J3"/>
  </mergeCells>
  <hyperlinks>
    <hyperlink ref="B15" r:id="rId1" location="#'Certification Statemen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441</v>
      </c>
      <c r="C5" s="5" t="s">
        <v>17</v>
      </c>
      <c r="D5" s="5"/>
      <c r="E5" s="5" t="s">
        <v>442</v>
      </c>
      <c r="F5" s="5" t="s">
        <v>15</v>
      </c>
      <c r="G5" s="5" t="s">
        <v>17</v>
      </c>
      <c r="H5" s="5" t="s">
        <v>17</v>
      </c>
      <c r="I5" s="5" t="s">
        <v>17</v>
      </c>
      <c r="J5" s="5" t="s">
        <v>443</v>
      </c>
    </row>
    <row r="6" spans="1:10" x14ac:dyDescent="0.25" outlineLevel="1" collapsed="1">
      <c r="A6" s="9" t="s">
        <v>15</v>
      </c>
      <c r="B6" s="9" t="s">
        <v>23</v>
      </c>
      <c r="C6" s="10" t="s">
        <v>444</v>
      </c>
      <c r="D6" s="9"/>
      <c r="E6" s="9" t="s">
        <v>445</v>
      </c>
      <c r="F6" s="9" t="s">
        <v>21</v>
      </c>
      <c r="G6" s="9" t="s">
        <v>114</v>
      </c>
      <c r="H6" s="9" t="s">
        <v>17</v>
      </c>
      <c r="I6" s="9" t="s">
        <v>17</v>
      </c>
      <c r="J6" s="9" t="s">
        <v>446</v>
      </c>
    </row>
    <row r="7" spans="1:10" x14ac:dyDescent="0.25" outlineLevel="1" collapsed="1">
      <c r="A7" s="7" t="s">
        <v>15</v>
      </c>
      <c r="B7" s="8" t="s">
        <v>447</v>
      </c>
      <c r="C7" s="7" t="s">
        <v>17</v>
      </c>
      <c r="D7" s="7"/>
      <c r="E7" s="7" t="s">
        <v>448</v>
      </c>
      <c r="F7" s="7" t="s">
        <v>15</v>
      </c>
      <c r="G7" s="7" t="s">
        <v>17</v>
      </c>
      <c r="H7" s="7" t="s">
        <v>17</v>
      </c>
      <c r="I7" s="7" t="s">
        <v>17</v>
      </c>
      <c r="J7" s="7" t="s">
        <v>449</v>
      </c>
    </row>
    <row r="8" spans="1:10" x14ac:dyDescent="0.25" outlineLevel="2" collapsed="1">
      <c r="A8" s="9" t="s">
        <v>15</v>
      </c>
      <c r="B8" s="9" t="s">
        <v>56</v>
      </c>
      <c r="C8" s="9" t="s">
        <v>17</v>
      </c>
      <c r="D8" s="9"/>
      <c r="E8" s="9" t="s">
        <v>448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449</v>
      </c>
    </row>
    <row r="9" spans="1:10" x14ac:dyDescent="0.25" outlineLevel="2" collapsed="1">
      <c r="A9" s="9" t="s">
        <v>15</v>
      </c>
      <c r="B9" s="9" t="s">
        <v>56</v>
      </c>
      <c r="C9" s="9" t="s">
        <v>17</v>
      </c>
      <c r="D9" s="9"/>
      <c r="E9" s="9" t="s">
        <v>329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330</v>
      </c>
    </row>
    <row r="10" spans="1:10" x14ac:dyDescent="0.25" outlineLevel="2" collapsed="1">
      <c r="A10" s="9" t="s">
        <v>15</v>
      </c>
      <c r="B10" s="9" t="s">
        <v>56</v>
      </c>
      <c r="C10" s="9" t="s">
        <v>17</v>
      </c>
      <c r="D10" s="9"/>
      <c r="E10" s="9" t="s">
        <v>1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331</v>
      </c>
    </row>
    <row r="11" spans="1:10" x14ac:dyDescent="0.25" outlineLevel="2" collapsed="1">
      <c r="A11" s="9" t="s">
        <v>15</v>
      </c>
      <c r="B11" s="9" t="s">
        <v>56</v>
      </c>
      <c r="C11" s="9" t="s">
        <v>17</v>
      </c>
      <c r="D11" s="9"/>
      <c r="E11" s="9" t="s">
        <v>332</v>
      </c>
      <c r="F11" s="9" t="s">
        <v>21</v>
      </c>
      <c r="G11" s="9" t="s">
        <v>58</v>
      </c>
      <c r="H11" s="9" t="s">
        <v>17</v>
      </c>
      <c r="I11" s="9" t="s">
        <v>17</v>
      </c>
      <c r="J11" s="9" t="s">
        <v>333</v>
      </c>
    </row>
    <row r="12" spans="1:10" x14ac:dyDescent="0.25" outlineLevel="2" collapsed="1">
      <c r="A12" s="9" t="s">
        <v>15</v>
      </c>
      <c r="B12" s="9" t="s">
        <v>56</v>
      </c>
      <c r="C12" s="9" t="s">
        <v>17</v>
      </c>
      <c r="D12" s="9"/>
      <c r="E12" s="9" t="s">
        <v>450</v>
      </c>
      <c r="F12" s="9" t="s">
        <v>21</v>
      </c>
      <c r="G12" s="9" t="s">
        <v>58</v>
      </c>
      <c r="H12" s="9" t="s">
        <v>17</v>
      </c>
      <c r="I12" s="9" t="s">
        <v>17</v>
      </c>
      <c r="J12" s="9" t="s">
        <v>451</v>
      </c>
    </row>
    <row r="13" spans="1:10" x14ac:dyDescent="0.25" outlineLevel="2" collapsed="1">
      <c r="A13" s="9" t="s">
        <v>15</v>
      </c>
      <c r="B13" s="9" t="s">
        <v>56</v>
      </c>
      <c r="C13" s="9" t="s">
        <v>17</v>
      </c>
      <c r="D13" s="9"/>
      <c r="E13" s="9" t="s">
        <v>452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453</v>
      </c>
    </row>
    <row r="14" spans="1:10" x14ac:dyDescent="0.25" outlineLevel="2" collapsed="1">
      <c r="A14" s="9" t="s">
        <v>15</v>
      </c>
      <c r="B14" s="9" t="s">
        <v>56</v>
      </c>
      <c r="C14" s="9" t="s">
        <v>17</v>
      </c>
      <c r="D14" s="9"/>
      <c r="E14" s="9" t="s">
        <v>454</v>
      </c>
      <c r="F14" s="9" t="s">
        <v>21</v>
      </c>
      <c r="G14" s="9" t="s">
        <v>58</v>
      </c>
      <c r="H14" s="9" t="s">
        <v>17</v>
      </c>
      <c r="I14" s="9" t="s">
        <v>17</v>
      </c>
      <c r="J14" s="9" t="s">
        <v>455</v>
      </c>
    </row>
    <row r="15" spans="1:10" x14ac:dyDescent="0.25" outlineLevel="2" collapsed="1">
      <c r="A15" s="9" t="s">
        <v>15</v>
      </c>
      <c r="B15" s="9" t="s">
        <v>56</v>
      </c>
      <c r="C15" s="9" t="s">
        <v>17</v>
      </c>
      <c r="D15" s="9"/>
      <c r="E15" s="9" t="s">
        <v>338</v>
      </c>
      <c r="F15" s="9" t="s">
        <v>21</v>
      </c>
      <c r="G15" s="9" t="s">
        <v>58</v>
      </c>
      <c r="H15" s="9" t="s">
        <v>17</v>
      </c>
      <c r="I15" s="9" t="s">
        <v>17</v>
      </c>
      <c r="J15" s="9" t="s">
        <v>339</v>
      </c>
    </row>
    <row r="16" spans="1:10" x14ac:dyDescent="0.25" outlineLevel="2" collapsed="1">
      <c r="A16" s="9" t="s">
        <v>15</v>
      </c>
      <c r="B16" s="9" t="s">
        <v>56</v>
      </c>
      <c r="C16" s="9" t="s">
        <v>17</v>
      </c>
      <c r="D16" s="9"/>
      <c r="E16" s="9" t="s">
        <v>340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341</v>
      </c>
    </row>
    <row r="17" spans="1:10" x14ac:dyDescent="0.25" outlineLevel="1" collapsed="1">
      <c r="A17" s="9" t="s">
        <v>15</v>
      </c>
      <c r="B17" s="9" t="s">
        <v>175</v>
      </c>
      <c r="C17" s="9" t="s">
        <v>17</v>
      </c>
      <c r="D17" s="9"/>
      <c r="E17" s="9" t="s">
        <v>456</v>
      </c>
      <c r="F17" s="9" t="s">
        <v>21</v>
      </c>
      <c r="G17" s="9" t="s">
        <v>1122</v>
      </c>
      <c r="H17" s="9" t="s">
        <v>17</v>
      </c>
      <c r="I17" s="9" t="s">
        <v>17</v>
      </c>
      <c r="J17" s="9" t="s">
        <v>458</v>
      </c>
    </row>
    <row r="18" spans="1:10" x14ac:dyDescent="0.25" outlineLevel="1" collapsed="1">
      <c r="A18" s="9" t="s">
        <v>15</v>
      </c>
      <c r="B18" s="9" t="s">
        <v>175</v>
      </c>
      <c r="C18" s="9" t="s">
        <v>17</v>
      </c>
      <c r="D18" s="9"/>
      <c r="E18" s="9" t="s">
        <v>459</v>
      </c>
      <c r="F18" s="9" t="s">
        <v>21</v>
      </c>
      <c r="G18" s="9" t="s">
        <v>1123</v>
      </c>
      <c r="H18" s="9" t="s">
        <v>17</v>
      </c>
      <c r="I18" s="9" t="s">
        <v>17</v>
      </c>
      <c r="J18" s="9" t="s">
        <v>461</v>
      </c>
    </row>
    <row r="19" spans="1:10" x14ac:dyDescent="0.25" outlineLevel="1" collapsed="1">
      <c r="A19" s="7" t="s">
        <v>15</v>
      </c>
      <c r="B19" s="8" t="s">
        <v>462</v>
      </c>
      <c r="C19" s="7" t="s">
        <v>17</v>
      </c>
      <c r="D19" s="7"/>
      <c r="E19" s="7" t="s">
        <v>463</v>
      </c>
      <c r="F19" s="7" t="s">
        <v>21</v>
      </c>
      <c r="G19" s="7" t="s">
        <v>17</v>
      </c>
      <c r="H19" s="7" t="s">
        <v>17</v>
      </c>
      <c r="I19" s="7" t="s">
        <v>17</v>
      </c>
      <c r="J19" s="7" t="s">
        <v>464</v>
      </c>
    </row>
    <row r="20" spans="1:10" x14ac:dyDescent="0.25" outlineLevel="2" collapsed="1">
      <c r="A20" s="9" t="s">
        <v>15</v>
      </c>
      <c r="B20" s="9" t="s">
        <v>23</v>
      </c>
      <c r="C20" s="10" t="s">
        <v>465</v>
      </c>
      <c r="D20" s="9"/>
      <c r="E20" s="9" t="s">
        <v>123</v>
      </c>
      <c r="F20" s="9" t="s">
        <v>21</v>
      </c>
      <c r="G20" s="9" t="s">
        <v>124</v>
      </c>
      <c r="H20" s="9" t="s">
        <v>17</v>
      </c>
      <c r="I20" s="9" t="s">
        <v>17</v>
      </c>
      <c r="J20" s="9" t="s">
        <v>125</v>
      </c>
    </row>
    <row r="21" spans="1:10" x14ac:dyDescent="0.25" outlineLevel="2" collapsed="1">
      <c r="A21" s="9" t="s">
        <v>21</v>
      </c>
      <c r="B21" s="9" t="s">
        <v>466</v>
      </c>
      <c r="C21" s="11" t="s">
        <v>467</v>
      </c>
      <c r="D21" s="9">
        <f>EXACT(G20,"HWT, IWT")</f>
      </c>
      <c r="E21" s="12" t="s">
        <v>468</v>
      </c>
      <c r="F21" s="9" t="s">
        <v>21</v>
      </c>
      <c r="G21" s="9" t="s">
        <v>17</v>
      </c>
      <c r="H21" s="9" t="s">
        <v>17</v>
      </c>
      <c r="I21" s="9" t="s">
        <v>17</v>
      </c>
      <c r="J21" s="9" t="s">
        <v>222</v>
      </c>
    </row>
    <row r="22" spans="1:10" x14ac:dyDescent="0.25" outlineLevel="2" collapsed="1">
      <c r="A22" s="7" t="s">
        <v>21</v>
      </c>
      <c r="B22" s="8" t="s">
        <v>469</v>
      </c>
      <c r="C22" s="7" t="s">
        <v>17</v>
      </c>
      <c r="D22" s="7">
        <f>EXACT(G20,"CWT, CWS")</f>
      </c>
      <c r="E22" s="7" t="s">
        <v>470</v>
      </c>
      <c r="F22" s="7" t="s">
        <v>21</v>
      </c>
      <c r="G22" s="7" t="s">
        <v>17</v>
      </c>
      <c r="H22" s="7" t="s">
        <v>17</v>
      </c>
      <c r="I22" s="7" t="s">
        <v>17</v>
      </c>
      <c r="J22" s="7" t="s">
        <v>471</v>
      </c>
    </row>
    <row r="23" spans="1:10" x14ac:dyDescent="0.25" outlineLevel="3" collapsed="1">
      <c r="A23" s="9" t="s">
        <v>15</v>
      </c>
      <c r="B23" s="9" t="s">
        <v>56</v>
      </c>
      <c r="C23" s="9" t="s">
        <v>17</v>
      </c>
      <c r="D23" s="9"/>
      <c r="E23" s="9" t="s">
        <v>472</v>
      </c>
      <c r="F23" s="9" t="s">
        <v>21</v>
      </c>
      <c r="G23" s="9" t="s">
        <v>58</v>
      </c>
      <c r="H23" s="9" t="s">
        <v>17</v>
      </c>
      <c r="I23" s="9" t="s">
        <v>17</v>
      </c>
      <c r="J23" s="9" t="s">
        <v>473</v>
      </c>
    </row>
    <row r="24" spans="1:10" x14ac:dyDescent="0.25" outlineLevel="3" collapsed="1">
      <c r="A24" s="9" t="s">
        <v>15</v>
      </c>
      <c r="B24" s="9" t="s">
        <v>56</v>
      </c>
      <c r="C24" s="9" t="s">
        <v>17</v>
      </c>
      <c r="D24" s="9"/>
      <c r="E24" s="9" t="s">
        <v>474</v>
      </c>
      <c r="F24" s="9" t="s">
        <v>21</v>
      </c>
      <c r="G24" s="9" t="s">
        <v>58</v>
      </c>
      <c r="H24" s="9" t="s">
        <v>17</v>
      </c>
      <c r="I24" s="9" t="s">
        <v>17</v>
      </c>
      <c r="J24" s="9" t="s">
        <v>475</v>
      </c>
    </row>
    <row r="25" spans="1:10" x14ac:dyDescent="0.25" outlineLevel="3" collapsed="1">
      <c r="A25" s="9" t="s">
        <v>15</v>
      </c>
      <c r="B25" s="9" t="s">
        <v>56</v>
      </c>
      <c r="C25" s="9" t="s">
        <v>17</v>
      </c>
      <c r="D25" s="9"/>
      <c r="E25" s="9" t="s">
        <v>476</v>
      </c>
      <c r="F25" s="9" t="s">
        <v>21</v>
      </c>
      <c r="G25" s="9" t="s">
        <v>58</v>
      </c>
      <c r="H25" s="9" t="s">
        <v>17</v>
      </c>
      <c r="I25" s="9" t="s">
        <v>17</v>
      </c>
      <c r="J25" s="9" t="s">
        <v>477</v>
      </c>
    </row>
    <row r="26" spans="1:10" x14ac:dyDescent="0.25" outlineLevel="3" collapsed="1">
      <c r="A26" s="9" t="s">
        <v>15</v>
      </c>
      <c r="B26" s="9" t="s">
        <v>56</v>
      </c>
      <c r="C26" s="9" t="s">
        <v>17</v>
      </c>
      <c r="D26" s="9"/>
      <c r="E26" s="9" t="s">
        <v>478</v>
      </c>
      <c r="F26" s="9" t="s">
        <v>21</v>
      </c>
      <c r="G26" s="9" t="s">
        <v>58</v>
      </c>
      <c r="H26" s="9" t="s">
        <v>17</v>
      </c>
      <c r="I26" s="9" t="s">
        <v>17</v>
      </c>
      <c r="J26" s="9" t="s">
        <v>479</v>
      </c>
    </row>
    <row r="27" spans="1:10" x14ac:dyDescent="0.25" outlineLevel="3" collapsed="1">
      <c r="A27" s="9" t="s">
        <v>15</v>
      </c>
      <c r="B27" s="9" t="s">
        <v>175</v>
      </c>
      <c r="C27" s="9" t="s">
        <v>17</v>
      </c>
      <c r="D27" s="9"/>
      <c r="E27" s="9" t="s">
        <v>480</v>
      </c>
      <c r="F27" s="9" t="s">
        <v>21</v>
      </c>
      <c r="G27" s="9" t="s">
        <v>1124</v>
      </c>
      <c r="H27" s="9" t="s">
        <v>17</v>
      </c>
      <c r="I27" s="9" t="s">
        <v>17</v>
      </c>
      <c r="J27" s="9" t="s">
        <v>482</v>
      </c>
    </row>
  </sheetData>
  <mergeCells count="3">
    <mergeCell ref="A1:J1"/>
    <mergeCell ref="B2:J2"/>
    <mergeCell ref="B3:J3"/>
  </mergeCells>
  <dataValidations count="2">
    <dataValidation type="list" allowBlank="1" sqref="G20:I20">
      <formula1>'Treatment Technology 3 (enum)'!A4:A5</formula1>
    </dataValidation>
    <dataValidation type="list" allowBlank="1" sqref="G6:I6">
      <formula1>'Relevant SDG (enum)'!A4:A20</formula1>
    </dataValidation>
  </dataValidations>
  <hyperlinks>
    <hyperlink ref="B5" r:id="rId1" location="#'Data and Parameters to Be Moni'!A1"/>
    <hyperlink ref="C6" r:id="rId2" location="#'Relevant SDG (enum)'!A3"/>
    <hyperlink ref="B7" r:id="rId3" location="#'Monitoring Parameter - Item'!A1"/>
    <hyperlink ref="B19" r:id="rId4" location="#'Technology-Specific Details'!A1"/>
    <hyperlink ref="C20" r:id="rId5" location="#'Treatment Technology 3 (enum)'!A3"/>
    <hyperlink ref="B22" r:id="rId6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668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571</v>
      </c>
      <c r="C5" s="5" t="s">
        <v>17</v>
      </c>
      <c r="D5" s="5"/>
      <c r="E5" s="5" t="s">
        <v>671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672</v>
      </c>
    </row>
    <row r="6" spans="1:10" x14ac:dyDescent="0.25" outlineLevel="1" collapsed="1">
      <c r="A6" s="9" t="s">
        <v>15</v>
      </c>
      <c r="B6" s="9" t="s">
        <v>23</v>
      </c>
      <c r="C6" s="10" t="s">
        <v>574</v>
      </c>
      <c r="D6" s="9"/>
      <c r="E6" s="9" t="s">
        <v>575</v>
      </c>
      <c r="F6" s="9" t="s">
        <v>21</v>
      </c>
      <c r="G6" s="9" t="s">
        <v>15</v>
      </c>
      <c r="H6" s="9" t="s">
        <v>17</v>
      </c>
      <c r="I6" s="9" t="s">
        <v>17</v>
      </c>
      <c r="J6" s="9" t="s">
        <v>576</v>
      </c>
    </row>
    <row r="7" spans="1:10" x14ac:dyDescent="0.25" outlineLevel="1" collapsed="1">
      <c r="A7" s="9" t="s">
        <v>21</v>
      </c>
      <c r="B7" s="9" t="s">
        <v>56</v>
      </c>
      <c r="C7" s="9" t="s">
        <v>17</v>
      </c>
      <c r="D7" s="9"/>
      <c r="E7" s="9" t="s">
        <v>577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578</v>
      </c>
    </row>
    <row r="8" spans="1:10" x14ac:dyDescent="0.25">
      <c r="A8" s="5" t="s">
        <v>15</v>
      </c>
      <c r="B8" s="6" t="s">
        <v>571</v>
      </c>
      <c r="C8" s="5" t="s">
        <v>17</v>
      </c>
      <c r="D8" s="5"/>
      <c r="E8" s="5" t="s">
        <v>673</v>
      </c>
      <c r="F8" s="5" t="s">
        <v>21</v>
      </c>
      <c r="G8" s="5" t="s">
        <v>17</v>
      </c>
      <c r="H8" s="5" t="s">
        <v>17</v>
      </c>
      <c r="I8" s="5" t="s">
        <v>17</v>
      </c>
      <c r="J8" s="5" t="s">
        <v>674</v>
      </c>
    </row>
    <row r="9" spans="1:10" x14ac:dyDescent="0.25" outlineLevel="1" collapsed="1">
      <c r="A9" s="9" t="s">
        <v>15</v>
      </c>
      <c r="B9" s="9" t="s">
        <v>23</v>
      </c>
      <c r="C9" s="10" t="s">
        <v>574</v>
      </c>
      <c r="D9" s="9"/>
      <c r="E9" s="9" t="s">
        <v>575</v>
      </c>
      <c r="F9" s="9" t="s">
        <v>21</v>
      </c>
      <c r="G9" s="9" t="s">
        <v>15</v>
      </c>
      <c r="H9" s="9" t="s">
        <v>17</v>
      </c>
      <c r="I9" s="9" t="s">
        <v>17</v>
      </c>
      <c r="J9" s="9" t="s">
        <v>576</v>
      </c>
    </row>
    <row r="10" spans="1:10" x14ac:dyDescent="0.25" outlineLevel="1" collapsed="1">
      <c r="A10" s="9" t="s">
        <v>21</v>
      </c>
      <c r="B10" s="9" t="s">
        <v>56</v>
      </c>
      <c r="C10" s="9" t="s">
        <v>17</v>
      </c>
      <c r="D10" s="9"/>
      <c r="E10" s="9" t="s">
        <v>577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578</v>
      </c>
    </row>
    <row r="11" spans="1:10" x14ac:dyDescent="0.25">
      <c r="A11" s="5" t="s">
        <v>15</v>
      </c>
      <c r="B11" s="6" t="s">
        <v>571</v>
      </c>
      <c r="C11" s="5" t="s">
        <v>17</v>
      </c>
      <c r="D11" s="5"/>
      <c r="E11" s="5" t="s">
        <v>675</v>
      </c>
      <c r="F11" s="5" t="s">
        <v>21</v>
      </c>
      <c r="G11" s="5" t="s">
        <v>17</v>
      </c>
      <c r="H11" s="5" t="s">
        <v>17</v>
      </c>
      <c r="I11" s="5" t="s">
        <v>17</v>
      </c>
      <c r="J11" s="5" t="s">
        <v>676</v>
      </c>
    </row>
    <row r="12" spans="1:10" x14ac:dyDescent="0.25" outlineLevel="1" collapsed="1">
      <c r="A12" s="9" t="s">
        <v>15</v>
      </c>
      <c r="B12" s="9" t="s">
        <v>23</v>
      </c>
      <c r="C12" s="10" t="s">
        <v>574</v>
      </c>
      <c r="D12" s="9"/>
      <c r="E12" s="9" t="s">
        <v>575</v>
      </c>
      <c r="F12" s="9" t="s">
        <v>21</v>
      </c>
      <c r="G12" s="9" t="s">
        <v>15</v>
      </c>
      <c r="H12" s="9" t="s">
        <v>17</v>
      </c>
      <c r="I12" s="9" t="s">
        <v>17</v>
      </c>
      <c r="J12" s="9" t="s">
        <v>576</v>
      </c>
    </row>
    <row r="13" spans="1:10" x14ac:dyDescent="0.25" outlineLevel="1" collapsed="1">
      <c r="A13" s="9" t="s">
        <v>21</v>
      </c>
      <c r="B13" s="9" t="s">
        <v>56</v>
      </c>
      <c r="C13" s="9" t="s">
        <v>17</v>
      </c>
      <c r="D13" s="9"/>
      <c r="E13" s="9" t="s">
        <v>577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578</v>
      </c>
    </row>
    <row r="14" spans="1:10" x14ac:dyDescent="0.25">
      <c r="A14" s="5" t="s">
        <v>15</v>
      </c>
      <c r="B14" s="6" t="s">
        <v>571</v>
      </c>
      <c r="C14" s="5" t="s">
        <v>17</v>
      </c>
      <c r="D14" s="5"/>
      <c r="E14" s="5" t="s">
        <v>677</v>
      </c>
      <c r="F14" s="5" t="s">
        <v>21</v>
      </c>
      <c r="G14" s="5" t="s">
        <v>17</v>
      </c>
      <c r="H14" s="5" t="s">
        <v>17</v>
      </c>
      <c r="I14" s="5" t="s">
        <v>17</v>
      </c>
      <c r="J14" s="5" t="s">
        <v>678</v>
      </c>
    </row>
    <row r="15" spans="1:10" x14ac:dyDescent="0.25" outlineLevel="1" collapsed="1">
      <c r="A15" s="9" t="s">
        <v>15</v>
      </c>
      <c r="B15" s="9" t="s">
        <v>23</v>
      </c>
      <c r="C15" s="10" t="s">
        <v>574</v>
      </c>
      <c r="D15" s="9"/>
      <c r="E15" s="9" t="s">
        <v>575</v>
      </c>
      <c r="F15" s="9" t="s">
        <v>21</v>
      </c>
      <c r="G15" s="9" t="s">
        <v>15</v>
      </c>
      <c r="H15" s="9" t="s">
        <v>17</v>
      </c>
      <c r="I15" s="9" t="s">
        <v>17</v>
      </c>
      <c r="J15" s="9" t="s">
        <v>576</v>
      </c>
    </row>
    <row r="16" spans="1:10" x14ac:dyDescent="0.25" outlineLevel="1" collapsed="1">
      <c r="A16" s="9" t="s">
        <v>21</v>
      </c>
      <c r="B16" s="9" t="s">
        <v>56</v>
      </c>
      <c r="C16" s="9" t="s">
        <v>17</v>
      </c>
      <c r="D16" s="9"/>
      <c r="E16" s="9" t="s">
        <v>577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578</v>
      </c>
    </row>
    <row r="17" spans="1:10" x14ac:dyDescent="0.25">
      <c r="A17" s="5" t="s">
        <v>15</v>
      </c>
      <c r="B17" s="6" t="s">
        <v>571</v>
      </c>
      <c r="C17" s="5" t="s">
        <v>17</v>
      </c>
      <c r="D17" s="5"/>
      <c r="E17" s="5" t="s">
        <v>679</v>
      </c>
      <c r="F17" s="5" t="s">
        <v>21</v>
      </c>
      <c r="G17" s="5" t="s">
        <v>17</v>
      </c>
      <c r="H17" s="5" t="s">
        <v>17</v>
      </c>
      <c r="I17" s="5" t="s">
        <v>17</v>
      </c>
      <c r="J17" s="5" t="s">
        <v>680</v>
      </c>
    </row>
    <row r="18" spans="1:10" x14ac:dyDescent="0.25" outlineLevel="1" collapsed="1">
      <c r="A18" s="9" t="s">
        <v>15</v>
      </c>
      <c r="B18" s="9" t="s">
        <v>23</v>
      </c>
      <c r="C18" s="10" t="s">
        <v>574</v>
      </c>
      <c r="D18" s="9"/>
      <c r="E18" s="9" t="s">
        <v>575</v>
      </c>
      <c r="F18" s="9" t="s">
        <v>21</v>
      </c>
      <c r="G18" s="9" t="s">
        <v>15</v>
      </c>
      <c r="H18" s="9" t="s">
        <v>17</v>
      </c>
      <c r="I18" s="9" t="s">
        <v>17</v>
      </c>
      <c r="J18" s="9" t="s">
        <v>576</v>
      </c>
    </row>
    <row r="19" spans="1:10" x14ac:dyDescent="0.25" outlineLevel="1" collapsed="1">
      <c r="A19" s="9" t="s">
        <v>21</v>
      </c>
      <c r="B19" s="9" t="s">
        <v>56</v>
      </c>
      <c r="C19" s="9" t="s">
        <v>17</v>
      </c>
      <c r="D19" s="9"/>
      <c r="E19" s="9" t="s">
        <v>577</v>
      </c>
      <c r="F19" s="9" t="s">
        <v>21</v>
      </c>
      <c r="G19" s="9" t="s">
        <v>58</v>
      </c>
      <c r="H19" s="9" t="s">
        <v>17</v>
      </c>
      <c r="I19" s="9" t="s">
        <v>17</v>
      </c>
      <c r="J19" s="9" t="s">
        <v>578</v>
      </c>
    </row>
  </sheetData>
  <mergeCells count="3">
    <mergeCell ref="A1:J1"/>
    <mergeCell ref="B2:J2"/>
    <mergeCell ref="B3:J3"/>
  </mergeCells>
  <dataValidations count="5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18:I18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  <hyperlink ref="B17" r:id="rId9" location="#'Yes or no with comments'!A1"/>
    <hyperlink ref="C18" r:id="rId10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43</v>
      </c>
      <c r="C5" s="5" t="s">
        <v>17</v>
      </c>
      <c r="D5" s="5"/>
      <c r="E5" s="5" t="s">
        <v>271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272</v>
      </c>
    </row>
    <row r="6" spans="1:10" x14ac:dyDescent="0.25">
      <c r="A6" s="5" t="s">
        <v>15</v>
      </c>
      <c r="B6" s="5" t="s">
        <v>26</v>
      </c>
      <c r="C6" s="5" t="s">
        <v>273</v>
      </c>
      <c r="D6" s="5"/>
      <c r="E6" s="5" t="s">
        <v>274</v>
      </c>
      <c r="F6" s="5" t="s">
        <v>21</v>
      </c>
      <c r="G6" s="5" t="s">
        <v>1125</v>
      </c>
      <c r="H6" s="5" t="s">
        <v>17</v>
      </c>
      <c r="I6" s="5" t="s">
        <v>17</v>
      </c>
      <c r="J6" s="5" t="s">
        <v>276</v>
      </c>
    </row>
    <row r="7" spans="1:10" x14ac:dyDescent="0.25">
      <c r="A7" s="5" t="s">
        <v>15</v>
      </c>
      <c r="B7" s="5" t="s">
        <v>26</v>
      </c>
      <c r="C7" s="5" t="s">
        <v>273</v>
      </c>
      <c r="D7" s="5"/>
      <c r="E7" s="5" t="s">
        <v>277</v>
      </c>
      <c r="F7" s="5" t="s">
        <v>21</v>
      </c>
      <c r="G7" s="5" t="s">
        <v>1126</v>
      </c>
      <c r="H7" s="5" t="s">
        <v>17</v>
      </c>
      <c r="I7" s="5" t="s">
        <v>17</v>
      </c>
      <c r="J7" s="5" t="s">
        <v>279</v>
      </c>
    </row>
    <row r="8" spans="1:10" x14ac:dyDescent="0.25">
      <c r="A8" s="5" t="s">
        <v>15</v>
      </c>
      <c r="B8" s="6" t="s">
        <v>280</v>
      </c>
      <c r="C8" s="5" t="s">
        <v>17</v>
      </c>
      <c r="D8" s="5"/>
      <c r="E8" s="5" t="s">
        <v>280</v>
      </c>
      <c r="F8" s="5" t="s">
        <v>15</v>
      </c>
      <c r="G8" s="5" t="s">
        <v>17</v>
      </c>
      <c r="H8" s="5" t="s">
        <v>17</v>
      </c>
      <c r="I8" s="5" t="s">
        <v>17</v>
      </c>
      <c r="J8" s="5" t="s">
        <v>281</v>
      </c>
    </row>
    <row r="9" spans="1:10" x14ac:dyDescent="0.25" outlineLevel="1" collapsed="1">
      <c r="A9" s="9" t="s">
        <v>15</v>
      </c>
      <c r="B9" s="9" t="s">
        <v>56</v>
      </c>
      <c r="C9" s="9" t="s">
        <v>17</v>
      </c>
      <c r="D9" s="9"/>
      <c r="E9" s="9" t="s">
        <v>282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283</v>
      </c>
    </row>
    <row r="10" spans="1:10" x14ac:dyDescent="0.25" outlineLevel="1" collapsed="1">
      <c r="A10" s="9" t="s">
        <v>15</v>
      </c>
      <c r="B10" s="9" t="s">
        <v>26</v>
      </c>
      <c r="C10" s="9" t="s">
        <v>284</v>
      </c>
      <c r="D10" s="9"/>
      <c r="E10" s="9" t="s">
        <v>285</v>
      </c>
      <c r="F10" s="9" t="s">
        <v>21</v>
      </c>
      <c r="G10" s="9" t="s">
        <v>1127</v>
      </c>
      <c r="H10" s="9" t="s">
        <v>17</v>
      </c>
      <c r="I10" s="9" t="s">
        <v>17</v>
      </c>
      <c r="J10" s="9" t="s">
        <v>287</v>
      </c>
    </row>
  </sheetData>
  <mergeCells count="3">
    <mergeCell ref="A1:J1"/>
    <mergeCell ref="B2:J2"/>
    <mergeCell ref="B3:J3"/>
  </mergeCells>
  <hyperlinks>
    <hyperlink ref="B8" r:id="rId1" location="#'Water Source Type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17</v>
      </c>
      <c r="D5" s="5"/>
      <c r="E5" s="5" t="s">
        <v>204</v>
      </c>
      <c r="F5" s="5" t="s">
        <v>21</v>
      </c>
      <c r="G5" s="5" t="s">
        <v>1128</v>
      </c>
      <c r="H5" s="5" t="s">
        <v>17</v>
      </c>
      <c r="I5" s="5" t="s">
        <v>17</v>
      </c>
      <c r="J5" s="5" t="s">
        <v>206</v>
      </c>
    </row>
    <row r="6" spans="1:10" x14ac:dyDescent="0.25">
      <c r="A6" s="5" t="s">
        <v>15</v>
      </c>
      <c r="B6" s="5" t="s">
        <v>175</v>
      </c>
      <c r="C6" s="5" t="s">
        <v>17</v>
      </c>
      <c r="D6" s="5"/>
      <c r="E6" s="5" t="s">
        <v>207</v>
      </c>
      <c r="F6" s="5" t="s">
        <v>21</v>
      </c>
      <c r="G6" s="5" t="s">
        <v>1129</v>
      </c>
      <c r="H6" s="5" t="s">
        <v>17</v>
      </c>
      <c r="I6" s="5" t="s">
        <v>17</v>
      </c>
      <c r="J6" s="5" t="s">
        <v>209</v>
      </c>
    </row>
    <row r="7" spans="1:10" x14ac:dyDescent="0.25">
      <c r="A7" s="5" t="s">
        <v>15</v>
      </c>
      <c r="B7" s="5" t="s">
        <v>175</v>
      </c>
      <c r="C7" s="5" t="s">
        <v>17</v>
      </c>
      <c r="D7" s="5"/>
      <c r="E7" s="5" t="s">
        <v>210</v>
      </c>
      <c r="F7" s="5" t="s">
        <v>21</v>
      </c>
      <c r="G7" s="5" t="s">
        <v>1130</v>
      </c>
      <c r="H7" s="5" t="s">
        <v>17</v>
      </c>
      <c r="I7" s="5" t="s">
        <v>17</v>
      </c>
      <c r="J7" s="5" t="s">
        <v>212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574</v>
      </c>
      <c r="D5" s="5"/>
      <c r="E5" s="5" t="s">
        <v>575</v>
      </c>
      <c r="F5" s="5" t="s">
        <v>21</v>
      </c>
      <c r="G5" s="5" t="s">
        <v>15</v>
      </c>
      <c r="H5" s="5" t="s">
        <v>17</v>
      </c>
      <c r="I5" s="5" t="s">
        <v>17</v>
      </c>
      <c r="J5" s="5" t="s">
        <v>576</v>
      </c>
    </row>
    <row r="6" spans="1:10" x14ac:dyDescent="0.25">
      <c r="A6" s="5" t="s">
        <v>21</v>
      </c>
      <c r="B6" s="5" t="s">
        <v>56</v>
      </c>
      <c r="C6" s="5" t="s">
        <v>17</v>
      </c>
      <c r="D6" s="5"/>
      <c r="E6" s="5" t="s">
        <v>577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578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'Yes or No (enum)'!A4:A5</formula1>
    </dataValidation>
  </dataValidations>
  <hyperlinks>
    <hyperlink ref="C5" r:id="rId1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358</v>
      </c>
      <c r="D5" s="5"/>
      <c r="E5" s="5" t="s">
        <v>359</v>
      </c>
      <c r="F5" s="5" t="s">
        <v>21</v>
      </c>
      <c r="G5" s="5" t="s">
        <v>114</v>
      </c>
      <c r="H5" s="5" t="s">
        <v>17</v>
      </c>
      <c r="I5" s="5" t="s">
        <v>17</v>
      </c>
      <c r="J5" s="5" t="s">
        <v>115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360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323</v>
      </c>
    </row>
    <row r="7" spans="1:10" x14ac:dyDescent="0.25">
      <c r="A7" s="5" t="s">
        <v>15</v>
      </c>
      <c r="B7" s="6" t="s">
        <v>324</v>
      </c>
      <c r="C7" s="5" t="s">
        <v>17</v>
      </c>
      <c r="D7" s="5"/>
      <c r="E7" s="5" t="s">
        <v>361</v>
      </c>
      <c r="F7" s="5" t="s">
        <v>21</v>
      </c>
      <c r="G7" s="5" t="s">
        <v>17</v>
      </c>
      <c r="H7" s="5" t="s">
        <v>17</v>
      </c>
      <c r="I7" s="5" t="s">
        <v>17</v>
      </c>
      <c r="J7" s="5" t="s">
        <v>326</v>
      </c>
    </row>
    <row r="8" spans="1:10" x14ac:dyDescent="0.25" outlineLevel="1" collapsed="1">
      <c r="A8" s="9" t="s">
        <v>15</v>
      </c>
      <c r="B8" s="9" t="s">
        <v>56</v>
      </c>
      <c r="C8" s="9" t="s">
        <v>17</v>
      </c>
      <c r="D8" s="9"/>
      <c r="E8" s="9" t="s">
        <v>327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328</v>
      </c>
    </row>
    <row r="9" spans="1:10" x14ac:dyDescent="0.25" outlineLevel="1" collapsed="1">
      <c r="A9" s="9" t="s">
        <v>15</v>
      </c>
      <c r="B9" s="9" t="s">
        <v>56</v>
      </c>
      <c r="C9" s="9" t="s">
        <v>17</v>
      </c>
      <c r="D9" s="9"/>
      <c r="E9" s="9" t="s">
        <v>329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330</v>
      </c>
    </row>
    <row r="10" spans="1:10" x14ac:dyDescent="0.25" outlineLevel="1" collapsed="1">
      <c r="A10" s="9" t="s">
        <v>15</v>
      </c>
      <c r="B10" s="9" t="s">
        <v>56</v>
      </c>
      <c r="C10" s="9" t="s">
        <v>17</v>
      </c>
      <c r="D10" s="9"/>
      <c r="E10" s="9" t="s">
        <v>1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331</v>
      </c>
    </row>
    <row r="11" spans="1:10" x14ac:dyDescent="0.25" outlineLevel="1" collapsed="1">
      <c r="A11" s="9" t="s">
        <v>15</v>
      </c>
      <c r="B11" s="9" t="s">
        <v>56</v>
      </c>
      <c r="C11" s="9" t="s">
        <v>17</v>
      </c>
      <c r="D11" s="9"/>
      <c r="E11" s="9" t="s">
        <v>332</v>
      </c>
      <c r="F11" s="9" t="s">
        <v>21</v>
      </c>
      <c r="G11" s="9" t="s">
        <v>58</v>
      </c>
      <c r="H11" s="9" t="s">
        <v>17</v>
      </c>
      <c r="I11" s="9" t="s">
        <v>17</v>
      </c>
      <c r="J11" s="9" t="s">
        <v>333</v>
      </c>
    </row>
    <row r="12" spans="1:10" x14ac:dyDescent="0.25" outlineLevel="1" collapsed="1">
      <c r="A12" s="9" t="s">
        <v>15</v>
      </c>
      <c r="B12" s="9" t="s">
        <v>56</v>
      </c>
      <c r="C12" s="9" t="s">
        <v>17</v>
      </c>
      <c r="D12" s="9"/>
      <c r="E12" s="9" t="s">
        <v>334</v>
      </c>
      <c r="F12" s="9" t="s">
        <v>21</v>
      </c>
      <c r="G12" s="9" t="s">
        <v>58</v>
      </c>
      <c r="H12" s="9" t="s">
        <v>17</v>
      </c>
      <c r="I12" s="9" t="s">
        <v>17</v>
      </c>
      <c r="J12" s="9" t="s">
        <v>335</v>
      </c>
    </row>
    <row r="13" spans="1:10" x14ac:dyDescent="0.25" outlineLevel="1" collapsed="1">
      <c r="A13" s="9" t="s">
        <v>15</v>
      </c>
      <c r="B13" s="9" t="s">
        <v>56</v>
      </c>
      <c r="C13" s="9" t="s">
        <v>17</v>
      </c>
      <c r="D13" s="9"/>
      <c r="E13" s="9" t="s">
        <v>336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337</v>
      </c>
    </row>
    <row r="14" spans="1:10" x14ac:dyDescent="0.25" outlineLevel="1" collapsed="1">
      <c r="A14" s="9" t="s">
        <v>15</v>
      </c>
      <c r="B14" s="9" t="s">
        <v>56</v>
      </c>
      <c r="C14" s="9" t="s">
        <v>17</v>
      </c>
      <c r="D14" s="9"/>
      <c r="E14" s="9" t="s">
        <v>338</v>
      </c>
      <c r="F14" s="9" t="s">
        <v>21</v>
      </c>
      <c r="G14" s="9" t="s">
        <v>58</v>
      </c>
      <c r="H14" s="9" t="s">
        <v>17</v>
      </c>
      <c r="I14" s="9" t="s">
        <v>17</v>
      </c>
      <c r="J14" s="9" t="s">
        <v>339</v>
      </c>
    </row>
    <row r="15" spans="1:10" x14ac:dyDescent="0.25" outlineLevel="1" collapsed="1">
      <c r="A15" s="9" t="s">
        <v>15</v>
      </c>
      <c r="B15" s="9" t="s">
        <v>56</v>
      </c>
      <c r="C15" s="9" t="s">
        <v>17</v>
      </c>
      <c r="D15" s="9"/>
      <c r="E15" s="9" t="s">
        <v>340</v>
      </c>
      <c r="F15" s="9" t="s">
        <v>21</v>
      </c>
      <c r="G15" s="9" t="s">
        <v>58</v>
      </c>
      <c r="H15" s="9" t="s">
        <v>17</v>
      </c>
      <c r="I15" s="9" t="s">
        <v>17</v>
      </c>
      <c r="J15" s="9" t="s">
        <v>341</v>
      </c>
    </row>
    <row r="16" spans="1:10" x14ac:dyDescent="0.25">
      <c r="A16" s="5" t="s">
        <v>15</v>
      </c>
      <c r="B16" s="6" t="s">
        <v>342</v>
      </c>
      <c r="C16" s="5" t="s">
        <v>17</v>
      </c>
      <c r="D16" s="5"/>
      <c r="E16" s="5" t="s">
        <v>343</v>
      </c>
      <c r="F16" s="5" t="s">
        <v>15</v>
      </c>
      <c r="G16" s="5" t="s">
        <v>17</v>
      </c>
      <c r="H16" s="5" t="s">
        <v>17</v>
      </c>
      <c r="I16" s="5" t="s">
        <v>17</v>
      </c>
      <c r="J16" s="5" t="s">
        <v>344</v>
      </c>
    </row>
    <row r="17" spans="1:10" x14ac:dyDescent="0.25" outlineLevel="1" collapsed="1">
      <c r="A17" s="9" t="s">
        <v>15</v>
      </c>
      <c r="B17" s="9" t="s">
        <v>26</v>
      </c>
      <c r="C17" s="9" t="s">
        <v>345</v>
      </c>
      <c r="D17" s="9"/>
      <c r="E17" s="9" t="s">
        <v>346</v>
      </c>
      <c r="F17" s="9" t="s">
        <v>21</v>
      </c>
      <c r="G17" s="9" t="s">
        <v>1131</v>
      </c>
      <c r="H17" s="9" t="s">
        <v>17</v>
      </c>
      <c r="I17" s="9" t="s">
        <v>17</v>
      </c>
      <c r="J17" s="9" t="s">
        <v>348</v>
      </c>
    </row>
    <row r="18" spans="1:10" x14ac:dyDescent="0.25" outlineLevel="1" collapsed="1">
      <c r="A18" s="9" t="s">
        <v>15</v>
      </c>
      <c r="B18" s="9" t="s">
        <v>79</v>
      </c>
      <c r="C18" s="9" t="s">
        <v>17</v>
      </c>
      <c r="D18" s="9"/>
      <c r="E18" s="9" t="s">
        <v>349</v>
      </c>
      <c r="F18" s="9" t="s">
        <v>21</v>
      </c>
      <c r="G18" s="9">
        <v>1</v>
      </c>
      <c r="H18" s="9" t="s">
        <v>17</v>
      </c>
      <c r="I18" s="9" t="s">
        <v>17</v>
      </c>
      <c r="J18" s="9" t="s">
        <v>350</v>
      </c>
    </row>
    <row r="19" spans="1:10" x14ac:dyDescent="0.25" outlineLevel="1" collapsed="1">
      <c r="A19" s="9" t="s">
        <v>15</v>
      </c>
      <c r="B19" s="9" t="s">
        <v>79</v>
      </c>
      <c r="C19" s="9" t="s">
        <v>17</v>
      </c>
      <c r="D19" s="9"/>
      <c r="E19" s="9" t="s">
        <v>351</v>
      </c>
      <c r="F19" s="9" t="s">
        <v>21</v>
      </c>
      <c r="G19" s="9">
        <v>1</v>
      </c>
      <c r="H19" s="9" t="s">
        <v>17</v>
      </c>
      <c r="I19" s="9" t="s">
        <v>17</v>
      </c>
      <c r="J19" s="9" t="s">
        <v>352</v>
      </c>
    </row>
    <row r="20" spans="1:10" x14ac:dyDescent="0.25" outlineLevel="1" collapsed="1">
      <c r="A20" s="9" t="s">
        <v>15</v>
      </c>
      <c r="B20" s="9" t="s">
        <v>79</v>
      </c>
      <c r="C20" s="9" t="s">
        <v>17</v>
      </c>
      <c r="D20" s="9"/>
      <c r="E20" s="9" t="s">
        <v>353</v>
      </c>
      <c r="F20" s="9" t="s">
        <v>21</v>
      </c>
      <c r="G20" s="9">
        <v>1</v>
      </c>
      <c r="H20" s="9" t="s">
        <v>17</v>
      </c>
      <c r="I20" s="9" t="s">
        <v>17</v>
      </c>
      <c r="J20" s="9" t="s">
        <v>354</v>
      </c>
    </row>
  </sheetData>
  <mergeCells count="3">
    <mergeCell ref="A1:J1"/>
    <mergeCell ref="B2:J2"/>
    <mergeCell ref="B3:J3"/>
  </mergeCells>
  <dataValidations count="1">
    <dataValidation type="list" allowBlank="1" sqref="G5:I5">
      <formula1>'Select the relevant SDG (enum)'!A4:A19</formula1>
    </dataValidation>
  </dataValidations>
  <hyperlinks>
    <hyperlink ref="C5" r:id="rId1" location="#'Select the relevant SDG (enum)'!A3"/>
    <hyperlink ref="B7" r:id="rId2" location="#'Data and parameters fixed ex a'!A1"/>
    <hyperlink ref="B16" r:id="rId3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472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473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474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475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476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477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478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479</v>
      </c>
    </row>
    <row r="9" spans="1:10" x14ac:dyDescent="0.25">
      <c r="A9" s="5" t="s">
        <v>15</v>
      </c>
      <c r="B9" s="5" t="s">
        <v>175</v>
      </c>
      <c r="C9" s="5" t="s">
        <v>17</v>
      </c>
      <c r="D9" s="5"/>
      <c r="E9" s="5" t="s">
        <v>480</v>
      </c>
      <c r="F9" s="5" t="s">
        <v>21</v>
      </c>
      <c r="G9" s="5" t="s">
        <v>1133</v>
      </c>
      <c r="H9" s="5" t="s">
        <v>17</v>
      </c>
      <c r="I9" s="5" t="s">
        <v>17</v>
      </c>
      <c r="J9" s="5" t="s">
        <v>482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319</v>
      </c>
      <c r="C5" s="5" t="s">
        <v>17</v>
      </c>
      <c r="D5" s="5"/>
      <c r="E5" s="5" t="s">
        <v>320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321</v>
      </c>
    </row>
    <row r="6" spans="1:10" x14ac:dyDescent="0.25" outlineLevel="1" collapsed="1">
      <c r="A6" s="9" t="s">
        <v>15</v>
      </c>
      <c r="B6" s="9" t="s">
        <v>56</v>
      </c>
      <c r="C6" s="9" t="s">
        <v>17</v>
      </c>
      <c r="D6" s="9"/>
      <c r="E6" s="9" t="s">
        <v>322</v>
      </c>
      <c r="F6" s="9" t="s">
        <v>21</v>
      </c>
      <c r="G6" s="9" t="s">
        <v>58</v>
      </c>
      <c r="H6" s="9" t="s">
        <v>17</v>
      </c>
      <c r="I6" s="9" t="s">
        <v>17</v>
      </c>
      <c r="J6" s="9" t="s">
        <v>323</v>
      </c>
    </row>
    <row r="7" spans="1:10" x14ac:dyDescent="0.25" outlineLevel="1" collapsed="1">
      <c r="A7" s="7" t="s">
        <v>15</v>
      </c>
      <c r="B7" s="8" t="s">
        <v>324</v>
      </c>
      <c r="C7" s="7" t="s">
        <v>17</v>
      </c>
      <c r="D7" s="7"/>
      <c r="E7" s="7" t="s">
        <v>325</v>
      </c>
      <c r="F7" s="7" t="s">
        <v>21</v>
      </c>
      <c r="G7" s="7" t="s">
        <v>17</v>
      </c>
      <c r="H7" s="7" t="s">
        <v>17</v>
      </c>
      <c r="I7" s="7" t="s">
        <v>17</v>
      </c>
      <c r="J7" s="7" t="s">
        <v>326</v>
      </c>
    </row>
    <row r="8" spans="1:10" x14ac:dyDescent="0.25" outlineLevel="2" collapsed="1">
      <c r="A8" s="9" t="s">
        <v>15</v>
      </c>
      <c r="B8" s="9" t="s">
        <v>56</v>
      </c>
      <c r="C8" s="9" t="s">
        <v>17</v>
      </c>
      <c r="D8" s="9"/>
      <c r="E8" s="9" t="s">
        <v>327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328</v>
      </c>
    </row>
    <row r="9" spans="1:10" x14ac:dyDescent="0.25" outlineLevel="2" collapsed="1">
      <c r="A9" s="9" t="s">
        <v>15</v>
      </c>
      <c r="B9" s="9" t="s">
        <v>56</v>
      </c>
      <c r="C9" s="9" t="s">
        <v>17</v>
      </c>
      <c r="D9" s="9"/>
      <c r="E9" s="9" t="s">
        <v>329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330</v>
      </c>
    </row>
    <row r="10" spans="1:10" x14ac:dyDescent="0.25" outlineLevel="2" collapsed="1">
      <c r="A10" s="9" t="s">
        <v>15</v>
      </c>
      <c r="B10" s="9" t="s">
        <v>56</v>
      </c>
      <c r="C10" s="9" t="s">
        <v>17</v>
      </c>
      <c r="D10" s="9"/>
      <c r="E10" s="9" t="s">
        <v>1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331</v>
      </c>
    </row>
    <row r="11" spans="1:10" x14ac:dyDescent="0.25" outlineLevel="2" collapsed="1">
      <c r="A11" s="9" t="s">
        <v>15</v>
      </c>
      <c r="B11" s="9" t="s">
        <v>56</v>
      </c>
      <c r="C11" s="9" t="s">
        <v>17</v>
      </c>
      <c r="D11" s="9"/>
      <c r="E11" s="9" t="s">
        <v>332</v>
      </c>
      <c r="F11" s="9" t="s">
        <v>21</v>
      </c>
      <c r="G11" s="9" t="s">
        <v>58</v>
      </c>
      <c r="H11" s="9" t="s">
        <v>17</v>
      </c>
      <c r="I11" s="9" t="s">
        <v>17</v>
      </c>
      <c r="J11" s="9" t="s">
        <v>333</v>
      </c>
    </row>
    <row r="12" spans="1:10" x14ac:dyDescent="0.25" outlineLevel="2" collapsed="1">
      <c r="A12" s="9" t="s">
        <v>15</v>
      </c>
      <c r="B12" s="9" t="s">
        <v>56</v>
      </c>
      <c r="C12" s="9" t="s">
        <v>17</v>
      </c>
      <c r="D12" s="9"/>
      <c r="E12" s="9" t="s">
        <v>334</v>
      </c>
      <c r="F12" s="9" t="s">
        <v>21</v>
      </c>
      <c r="G12" s="9" t="s">
        <v>58</v>
      </c>
      <c r="H12" s="9" t="s">
        <v>17</v>
      </c>
      <c r="I12" s="9" t="s">
        <v>17</v>
      </c>
      <c r="J12" s="9" t="s">
        <v>335</v>
      </c>
    </row>
    <row r="13" spans="1:10" x14ac:dyDescent="0.25" outlineLevel="2" collapsed="1">
      <c r="A13" s="9" t="s">
        <v>15</v>
      </c>
      <c r="B13" s="9" t="s">
        <v>56</v>
      </c>
      <c r="C13" s="9" t="s">
        <v>17</v>
      </c>
      <c r="D13" s="9"/>
      <c r="E13" s="9" t="s">
        <v>336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337</v>
      </c>
    </row>
    <row r="14" spans="1:10" x14ac:dyDescent="0.25" outlineLevel="2" collapsed="1">
      <c r="A14" s="9" t="s">
        <v>15</v>
      </c>
      <c r="B14" s="9" t="s">
        <v>56</v>
      </c>
      <c r="C14" s="9" t="s">
        <v>17</v>
      </c>
      <c r="D14" s="9"/>
      <c r="E14" s="9" t="s">
        <v>338</v>
      </c>
      <c r="F14" s="9" t="s">
        <v>21</v>
      </c>
      <c r="G14" s="9" t="s">
        <v>58</v>
      </c>
      <c r="H14" s="9" t="s">
        <v>17</v>
      </c>
      <c r="I14" s="9" t="s">
        <v>17</v>
      </c>
      <c r="J14" s="9" t="s">
        <v>339</v>
      </c>
    </row>
    <row r="15" spans="1:10" x14ac:dyDescent="0.25" outlineLevel="2" collapsed="1">
      <c r="A15" s="9" t="s">
        <v>15</v>
      </c>
      <c r="B15" s="9" t="s">
        <v>56</v>
      </c>
      <c r="C15" s="9" t="s">
        <v>17</v>
      </c>
      <c r="D15" s="9"/>
      <c r="E15" s="9" t="s">
        <v>340</v>
      </c>
      <c r="F15" s="9" t="s">
        <v>21</v>
      </c>
      <c r="G15" s="9" t="s">
        <v>58</v>
      </c>
      <c r="H15" s="9" t="s">
        <v>17</v>
      </c>
      <c r="I15" s="9" t="s">
        <v>17</v>
      </c>
      <c r="J15" s="9" t="s">
        <v>341</v>
      </c>
    </row>
    <row r="16" spans="1:10" x14ac:dyDescent="0.25" outlineLevel="1" collapsed="1">
      <c r="A16" s="7" t="s">
        <v>15</v>
      </c>
      <c r="B16" s="8" t="s">
        <v>342</v>
      </c>
      <c r="C16" s="7" t="s">
        <v>17</v>
      </c>
      <c r="D16" s="7"/>
      <c r="E16" s="7" t="s">
        <v>343</v>
      </c>
      <c r="F16" s="7" t="s">
        <v>15</v>
      </c>
      <c r="G16" s="7" t="s">
        <v>17</v>
      </c>
      <c r="H16" s="7" t="s">
        <v>17</v>
      </c>
      <c r="I16" s="7" t="s">
        <v>17</v>
      </c>
      <c r="J16" s="7" t="s">
        <v>344</v>
      </c>
    </row>
    <row r="17" spans="1:10" x14ac:dyDescent="0.25" outlineLevel="2" collapsed="1">
      <c r="A17" s="9" t="s">
        <v>15</v>
      </c>
      <c r="B17" s="9" t="s">
        <v>26</v>
      </c>
      <c r="C17" s="9" t="s">
        <v>345</v>
      </c>
      <c r="D17" s="9"/>
      <c r="E17" s="9" t="s">
        <v>346</v>
      </c>
      <c r="F17" s="9" t="s">
        <v>21</v>
      </c>
      <c r="G17" s="9" t="s">
        <v>1135</v>
      </c>
      <c r="H17" s="9" t="s">
        <v>17</v>
      </c>
      <c r="I17" s="9" t="s">
        <v>17</v>
      </c>
      <c r="J17" s="9" t="s">
        <v>348</v>
      </c>
    </row>
    <row r="18" spans="1:10" x14ac:dyDescent="0.25" outlineLevel="2" collapsed="1">
      <c r="A18" s="9" t="s">
        <v>15</v>
      </c>
      <c r="B18" s="9" t="s">
        <v>79</v>
      </c>
      <c r="C18" s="9" t="s">
        <v>17</v>
      </c>
      <c r="D18" s="9"/>
      <c r="E18" s="9" t="s">
        <v>349</v>
      </c>
      <c r="F18" s="9" t="s">
        <v>21</v>
      </c>
      <c r="G18" s="9">
        <v>1</v>
      </c>
      <c r="H18" s="9" t="s">
        <v>17</v>
      </c>
      <c r="I18" s="9" t="s">
        <v>17</v>
      </c>
      <c r="J18" s="9" t="s">
        <v>350</v>
      </c>
    </row>
    <row r="19" spans="1:10" x14ac:dyDescent="0.25" outlineLevel="2" collapsed="1">
      <c r="A19" s="9" t="s">
        <v>15</v>
      </c>
      <c r="B19" s="9" t="s">
        <v>79</v>
      </c>
      <c r="C19" s="9" t="s">
        <v>17</v>
      </c>
      <c r="D19" s="9"/>
      <c r="E19" s="9" t="s">
        <v>351</v>
      </c>
      <c r="F19" s="9" t="s">
        <v>21</v>
      </c>
      <c r="G19" s="9">
        <v>1</v>
      </c>
      <c r="H19" s="9" t="s">
        <v>17</v>
      </c>
      <c r="I19" s="9" t="s">
        <v>17</v>
      </c>
      <c r="J19" s="9" t="s">
        <v>352</v>
      </c>
    </row>
    <row r="20" spans="1:10" x14ac:dyDescent="0.25" outlineLevel="2" collapsed="1">
      <c r="A20" s="9" t="s">
        <v>15</v>
      </c>
      <c r="B20" s="9" t="s">
        <v>79</v>
      </c>
      <c r="C20" s="9" t="s">
        <v>17</v>
      </c>
      <c r="D20" s="9"/>
      <c r="E20" s="9" t="s">
        <v>353</v>
      </c>
      <c r="F20" s="9" t="s">
        <v>21</v>
      </c>
      <c r="G20" s="9">
        <v>1</v>
      </c>
      <c r="H20" s="9" t="s">
        <v>17</v>
      </c>
      <c r="I20" s="9" t="s">
        <v>17</v>
      </c>
      <c r="J20" s="9" t="s">
        <v>354</v>
      </c>
    </row>
    <row r="21" spans="1:10" x14ac:dyDescent="0.25">
      <c r="A21" s="5" t="s">
        <v>21</v>
      </c>
      <c r="B21" s="6" t="s">
        <v>355</v>
      </c>
      <c r="C21" s="5" t="s">
        <v>17</v>
      </c>
      <c r="D21" s="5"/>
      <c r="E21" s="5" t="s">
        <v>356</v>
      </c>
      <c r="F21" s="5" t="s">
        <v>15</v>
      </c>
      <c r="G21" s="5" t="s">
        <v>17</v>
      </c>
      <c r="H21" s="5" t="s">
        <v>17</v>
      </c>
      <c r="I21" s="5" t="s">
        <v>17</v>
      </c>
      <c r="J21" s="5" t="s">
        <v>357</v>
      </c>
    </row>
    <row r="22" spans="1:10" x14ac:dyDescent="0.25" outlineLevel="1" collapsed="1">
      <c r="A22" s="9" t="s">
        <v>15</v>
      </c>
      <c r="B22" s="9" t="s">
        <v>23</v>
      </c>
      <c r="C22" s="10" t="s">
        <v>358</v>
      </c>
      <c r="D22" s="9"/>
      <c r="E22" s="9" t="s">
        <v>359</v>
      </c>
      <c r="F22" s="9" t="s">
        <v>21</v>
      </c>
      <c r="G22" s="9" t="s">
        <v>114</v>
      </c>
      <c r="H22" s="9" t="s">
        <v>17</v>
      </c>
      <c r="I22" s="9" t="s">
        <v>17</v>
      </c>
      <c r="J22" s="9" t="s">
        <v>115</v>
      </c>
    </row>
    <row r="23" spans="1:10" x14ac:dyDescent="0.25" outlineLevel="1" collapsed="1">
      <c r="A23" s="9" t="s">
        <v>15</v>
      </c>
      <c r="B23" s="9" t="s">
        <v>56</v>
      </c>
      <c r="C23" s="9" t="s">
        <v>17</v>
      </c>
      <c r="D23" s="9"/>
      <c r="E23" s="9" t="s">
        <v>360</v>
      </c>
      <c r="F23" s="9" t="s">
        <v>21</v>
      </c>
      <c r="G23" s="9" t="s">
        <v>58</v>
      </c>
      <c r="H23" s="9" t="s">
        <v>17</v>
      </c>
      <c r="I23" s="9" t="s">
        <v>17</v>
      </c>
      <c r="J23" s="9" t="s">
        <v>323</v>
      </c>
    </row>
    <row r="24" spans="1:10" x14ac:dyDescent="0.25" outlineLevel="1" collapsed="1">
      <c r="A24" s="7" t="s">
        <v>15</v>
      </c>
      <c r="B24" s="8" t="s">
        <v>324</v>
      </c>
      <c r="C24" s="7" t="s">
        <v>17</v>
      </c>
      <c r="D24" s="7"/>
      <c r="E24" s="7" t="s">
        <v>361</v>
      </c>
      <c r="F24" s="7" t="s">
        <v>21</v>
      </c>
      <c r="G24" s="7" t="s">
        <v>17</v>
      </c>
      <c r="H24" s="7" t="s">
        <v>17</v>
      </c>
      <c r="I24" s="7" t="s">
        <v>17</v>
      </c>
      <c r="J24" s="7" t="s">
        <v>326</v>
      </c>
    </row>
    <row r="25" spans="1:10" x14ac:dyDescent="0.25" outlineLevel="2" collapsed="1">
      <c r="A25" s="9" t="s">
        <v>15</v>
      </c>
      <c r="B25" s="9" t="s">
        <v>56</v>
      </c>
      <c r="C25" s="9" t="s">
        <v>17</v>
      </c>
      <c r="D25" s="9"/>
      <c r="E25" s="9" t="s">
        <v>327</v>
      </c>
      <c r="F25" s="9" t="s">
        <v>21</v>
      </c>
      <c r="G25" s="9" t="s">
        <v>58</v>
      </c>
      <c r="H25" s="9" t="s">
        <v>17</v>
      </c>
      <c r="I25" s="9" t="s">
        <v>17</v>
      </c>
      <c r="J25" s="9" t="s">
        <v>328</v>
      </c>
    </row>
    <row r="26" spans="1:10" x14ac:dyDescent="0.25" outlineLevel="2" collapsed="1">
      <c r="A26" s="9" t="s">
        <v>15</v>
      </c>
      <c r="B26" s="9" t="s">
        <v>56</v>
      </c>
      <c r="C26" s="9" t="s">
        <v>17</v>
      </c>
      <c r="D26" s="9"/>
      <c r="E26" s="9" t="s">
        <v>329</v>
      </c>
      <c r="F26" s="9" t="s">
        <v>21</v>
      </c>
      <c r="G26" s="9" t="s">
        <v>58</v>
      </c>
      <c r="H26" s="9" t="s">
        <v>17</v>
      </c>
      <c r="I26" s="9" t="s">
        <v>17</v>
      </c>
      <c r="J26" s="9" t="s">
        <v>330</v>
      </c>
    </row>
    <row r="27" spans="1:10" x14ac:dyDescent="0.25" outlineLevel="2" collapsed="1">
      <c r="A27" s="9" t="s">
        <v>15</v>
      </c>
      <c r="B27" s="9" t="s">
        <v>56</v>
      </c>
      <c r="C27" s="9" t="s">
        <v>17</v>
      </c>
      <c r="D27" s="9"/>
      <c r="E27" s="9" t="s">
        <v>1</v>
      </c>
      <c r="F27" s="9" t="s">
        <v>21</v>
      </c>
      <c r="G27" s="9" t="s">
        <v>58</v>
      </c>
      <c r="H27" s="9" t="s">
        <v>17</v>
      </c>
      <c r="I27" s="9" t="s">
        <v>17</v>
      </c>
      <c r="J27" s="9" t="s">
        <v>331</v>
      </c>
    </row>
    <row r="28" spans="1:10" x14ac:dyDescent="0.25" outlineLevel="2" collapsed="1">
      <c r="A28" s="9" t="s">
        <v>15</v>
      </c>
      <c r="B28" s="9" t="s">
        <v>56</v>
      </c>
      <c r="C28" s="9" t="s">
        <v>17</v>
      </c>
      <c r="D28" s="9"/>
      <c r="E28" s="9" t="s">
        <v>332</v>
      </c>
      <c r="F28" s="9" t="s">
        <v>21</v>
      </c>
      <c r="G28" s="9" t="s">
        <v>58</v>
      </c>
      <c r="H28" s="9" t="s">
        <v>17</v>
      </c>
      <c r="I28" s="9" t="s">
        <v>17</v>
      </c>
      <c r="J28" s="9" t="s">
        <v>333</v>
      </c>
    </row>
    <row r="29" spans="1:10" x14ac:dyDescent="0.25" outlineLevel="2" collapsed="1">
      <c r="A29" s="9" t="s">
        <v>15</v>
      </c>
      <c r="B29" s="9" t="s">
        <v>56</v>
      </c>
      <c r="C29" s="9" t="s">
        <v>17</v>
      </c>
      <c r="D29" s="9"/>
      <c r="E29" s="9" t="s">
        <v>334</v>
      </c>
      <c r="F29" s="9" t="s">
        <v>21</v>
      </c>
      <c r="G29" s="9" t="s">
        <v>58</v>
      </c>
      <c r="H29" s="9" t="s">
        <v>17</v>
      </c>
      <c r="I29" s="9" t="s">
        <v>17</v>
      </c>
      <c r="J29" s="9" t="s">
        <v>335</v>
      </c>
    </row>
    <row r="30" spans="1:10" x14ac:dyDescent="0.25" outlineLevel="2" collapsed="1">
      <c r="A30" s="9" t="s">
        <v>15</v>
      </c>
      <c r="B30" s="9" t="s">
        <v>56</v>
      </c>
      <c r="C30" s="9" t="s">
        <v>17</v>
      </c>
      <c r="D30" s="9"/>
      <c r="E30" s="9" t="s">
        <v>336</v>
      </c>
      <c r="F30" s="9" t="s">
        <v>21</v>
      </c>
      <c r="G30" s="9" t="s">
        <v>58</v>
      </c>
      <c r="H30" s="9" t="s">
        <v>17</v>
      </c>
      <c r="I30" s="9" t="s">
        <v>17</v>
      </c>
      <c r="J30" s="9" t="s">
        <v>337</v>
      </c>
    </row>
    <row r="31" spans="1:10" x14ac:dyDescent="0.25" outlineLevel="2" collapsed="1">
      <c r="A31" s="9" t="s">
        <v>15</v>
      </c>
      <c r="B31" s="9" t="s">
        <v>56</v>
      </c>
      <c r="C31" s="9" t="s">
        <v>17</v>
      </c>
      <c r="D31" s="9"/>
      <c r="E31" s="9" t="s">
        <v>338</v>
      </c>
      <c r="F31" s="9" t="s">
        <v>21</v>
      </c>
      <c r="G31" s="9" t="s">
        <v>58</v>
      </c>
      <c r="H31" s="9" t="s">
        <v>17</v>
      </c>
      <c r="I31" s="9" t="s">
        <v>17</v>
      </c>
      <c r="J31" s="9" t="s">
        <v>339</v>
      </c>
    </row>
    <row r="32" spans="1:10" x14ac:dyDescent="0.25" outlineLevel="2" collapsed="1">
      <c r="A32" s="9" t="s">
        <v>15</v>
      </c>
      <c r="B32" s="9" t="s">
        <v>56</v>
      </c>
      <c r="C32" s="9" t="s">
        <v>17</v>
      </c>
      <c r="D32" s="9"/>
      <c r="E32" s="9" t="s">
        <v>340</v>
      </c>
      <c r="F32" s="9" t="s">
        <v>21</v>
      </c>
      <c r="G32" s="9" t="s">
        <v>58</v>
      </c>
      <c r="H32" s="9" t="s">
        <v>17</v>
      </c>
      <c r="I32" s="9" t="s">
        <v>17</v>
      </c>
      <c r="J32" s="9" t="s">
        <v>341</v>
      </c>
    </row>
    <row r="33" spans="1:10" x14ac:dyDescent="0.25" outlineLevel="1" collapsed="1">
      <c r="A33" s="7" t="s">
        <v>15</v>
      </c>
      <c r="B33" s="8" t="s">
        <v>342</v>
      </c>
      <c r="C33" s="7" t="s">
        <v>17</v>
      </c>
      <c r="D33" s="7"/>
      <c r="E33" s="7" t="s">
        <v>343</v>
      </c>
      <c r="F33" s="7" t="s">
        <v>15</v>
      </c>
      <c r="G33" s="7" t="s">
        <v>17</v>
      </c>
      <c r="H33" s="7" t="s">
        <v>17</v>
      </c>
      <c r="I33" s="7" t="s">
        <v>17</v>
      </c>
      <c r="J33" s="7" t="s">
        <v>344</v>
      </c>
    </row>
    <row r="34" spans="1:10" x14ac:dyDescent="0.25" outlineLevel="2" collapsed="1">
      <c r="A34" s="9" t="s">
        <v>15</v>
      </c>
      <c r="B34" s="9" t="s">
        <v>26</v>
      </c>
      <c r="C34" s="9" t="s">
        <v>345</v>
      </c>
      <c r="D34" s="9"/>
      <c r="E34" s="9" t="s">
        <v>346</v>
      </c>
      <c r="F34" s="9" t="s">
        <v>21</v>
      </c>
      <c r="G34" s="9" t="s">
        <v>1136</v>
      </c>
      <c r="H34" s="9" t="s">
        <v>17</v>
      </c>
      <c r="I34" s="9" t="s">
        <v>17</v>
      </c>
      <c r="J34" s="9" t="s">
        <v>348</v>
      </c>
    </row>
    <row r="35" spans="1:10" x14ac:dyDescent="0.25" outlineLevel="2" collapsed="1">
      <c r="A35" s="9" t="s">
        <v>15</v>
      </c>
      <c r="B35" s="9" t="s">
        <v>79</v>
      </c>
      <c r="C35" s="9" t="s">
        <v>17</v>
      </c>
      <c r="D35" s="9"/>
      <c r="E35" s="9" t="s">
        <v>349</v>
      </c>
      <c r="F35" s="9" t="s">
        <v>21</v>
      </c>
      <c r="G35" s="9">
        <v>1</v>
      </c>
      <c r="H35" s="9" t="s">
        <v>17</v>
      </c>
      <c r="I35" s="9" t="s">
        <v>17</v>
      </c>
      <c r="J35" s="9" t="s">
        <v>350</v>
      </c>
    </row>
    <row r="36" spans="1:10" x14ac:dyDescent="0.25" outlineLevel="2" collapsed="1">
      <c r="A36" s="9" t="s">
        <v>15</v>
      </c>
      <c r="B36" s="9" t="s">
        <v>79</v>
      </c>
      <c r="C36" s="9" t="s">
        <v>17</v>
      </c>
      <c r="D36" s="9"/>
      <c r="E36" s="9" t="s">
        <v>351</v>
      </c>
      <c r="F36" s="9" t="s">
        <v>21</v>
      </c>
      <c r="G36" s="9">
        <v>1</v>
      </c>
      <c r="H36" s="9" t="s">
        <v>17</v>
      </c>
      <c r="I36" s="9" t="s">
        <v>17</v>
      </c>
      <c r="J36" s="9" t="s">
        <v>352</v>
      </c>
    </row>
    <row r="37" spans="1:10" x14ac:dyDescent="0.25" outlineLevel="2" collapsed="1">
      <c r="A37" s="9" t="s">
        <v>15</v>
      </c>
      <c r="B37" s="9" t="s">
        <v>79</v>
      </c>
      <c r="C37" s="9" t="s">
        <v>17</v>
      </c>
      <c r="D37" s="9"/>
      <c r="E37" s="9" t="s">
        <v>353</v>
      </c>
      <c r="F37" s="9" t="s">
        <v>21</v>
      </c>
      <c r="G37" s="9">
        <v>1</v>
      </c>
      <c r="H37" s="9" t="s">
        <v>17</v>
      </c>
      <c r="I37" s="9" t="s">
        <v>17</v>
      </c>
      <c r="J37" s="9" t="s">
        <v>354</v>
      </c>
    </row>
  </sheetData>
  <mergeCells count="3">
    <mergeCell ref="A1:J1"/>
    <mergeCell ref="B2:J2"/>
    <mergeCell ref="B3:J3"/>
  </mergeCells>
  <dataValidations count="1">
    <dataValidation type="list" allowBlank="1" sqref="G22:I22">
      <formula1>'Select the relevant SDG (enum)'!A4:A19</formula1>
    </dataValidation>
  </dataValidations>
  <hyperlinks>
    <hyperlink ref="B5" r:id="rId1" location="#'Sustainable Development Goa 3'!A1"/>
    <hyperlink ref="B7" r:id="rId2" location="#'Data and parameters fixed ex a'!A1"/>
    <hyperlink ref="B16" r:id="rId3" location="#'Ex Ante Estimation of SDG Impa'!A1"/>
    <hyperlink ref="B21" r:id="rId4" location="#'Sustainable Development Goals'!A1"/>
    <hyperlink ref="C22" r:id="rId5" location="#'Select the relevant SDG (enum)'!A3"/>
    <hyperlink ref="B24" r:id="rId6" location="#'Data and parameters fixed ex a'!A1"/>
    <hyperlink ref="B33" r:id="rId7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122</v>
      </c>
      <c r="D5" s="5"/>
      <c r="E5" s="5" t="s">
        <v>123</v>
      </c>
      <c r="F5" s="5" t="s">
        <v>21</v>
      </c>
      <c r="G5" s="5" t="s">
        <v>124</v>
      </c>
      <c r="H5" s="5" t="s">
        <v>17</v>
      </c>
      <c r="I5" s="5" t="s">
        <v>17</v>
      </c>
      <c r="J5" s="5" t="s">
        <v>125</v>
      </c>
    </row>
    <row r="6" spans="1:10" x14ac:dyDescent="0.25">
      <c r="A6" s="5" t="s">
        <v>21</v>
      </c>
      <c r="B6" s="6" t="s">
        <v>126</v>
      </c>
      <c r="C6" s="5" t="s">
        <v>17</v>
      </c>
      <c r="D6" s="5">
        <f>EXACT(G5,"HWT, IWT")</f>
      </c>
      <c r="E6" s="5" t="s">
        <v>126</v>
      </c>
      <c r="F6" s="5" t="s">
        <v>21</v>
      </c>
      <c r="G6" s="5" t="s">
        <v>17</v>
      </c>
      <c r="H6" s="5" t="s">
        <v>17</v>
      </c>
      <c r="I6" s="5" t="s">
        <v>17</v>
      </c>
      <c r="J6" s="5" t="s">
        <v>127</v>
      </c>
    </row>
    <row r="7" spans="1:10" x14ac:dyDescent="0.25" outlineLevel="1" collapsed="1">
      <c r="A7" s="9" t="s">
        <v>15</v>
      </c>
      <c r="B7" s="9" t="s">
        <v>23</v>
      </c>
      <c r="C7" s="10" t="s">
        <v>128</v>
      </c>
      <c r="D7" s="9"/>
      <c r="E7" s="9" t="s">
        <v>126</v>
      </c>
      <c r="F7" s="9" t="s">
        <v>21</v>
      </c>
      <c r="G7" s="9" t="s">
        <v>129</v>
      </c>
      <c r="H7" s="9" t="s">
        <v>17</v>
      </c>
      <c r="I7" s="9" t="s">
        <v>17</v>
      </c>
      <c r="J7" s="9" t="s">
        <v>130</v>
      </c>
    </row>
    <row r="8" spans="1:10" x14ac:dyDescent="0.25" outlineLevel="1" collapsed="1">
      <c r="A8" s="9" t="s">
        <v>21</v>
      </c>
      <c r="B8" s="9" t="s">
        <v>56</v>
      </c>
      <c r="C8" s="9" t="s">
        <v>17</v>
      </c>
      <c r="D8" s="9">
        <f>EXACT(G7,"Other (specify)")</f>
      </c>
      <c r="E8" s="9" t="s">
        <v>131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132</v>
      </c>
    </row>
    <row r="9" spans="1:10" x14ac:dyDescent="0.25">
      <c r="A9" s="5" t="s">
        <v>21</v>
      </c>
      <c r="B9" s="5" t="s">
        <v>56</v>
      </c>
      <c r="C9" s="5" t="s">
        <v>17</v>
      </c>
      <c r="D9" s="5">
        <f>EXACT(G5,"HWT, IWT")</f>
      </c>
      <c r="E9" s="5" t="s">
        <v>133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134</v>
      </c>
    </row>
    <row r="10" spans="1:10" x14ac:dyDescent="0.25">
      <c r="A10" s="5" t="s">
        <v>21</v>
      </c>
      <c r="B10" s="5" t="s">
        <v>56</v>
      </c>
      <c r="C10" s="5" t="s">
        <v>17</v>
      </c>
      <c r="D10" s="5">
        <f>EXACT(G5,"HWT, IWT")</f>
      </c>
      <c r="E10" s="5" t="s">
        <v>135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136</v>
      </c>
    </row>
    <row r="11" spans="1:10" x14ac:dyDescent="0.25">
      <c r="A11" s="5" t="s">
        <v>21</v>
      </c>
      <c r="B11" s="5" t="s">
        <v>56</v>
      </c>
      <c r="C11" s="5" t="s">
        <v>17</v>
      </c>
      <c r="D11" s="5">
        <f>EXACT(G5,"HWT, IWT")</f>
      </c>
      <c r="E11" s="5" t="s">
        <v>137</v>
      </c>
      <c r="F11" s="5" t="s">
        <v>21</v>
      </c>
      <c r="G11" s="5" t="s">
        <v>58</v>
      </c>
      <c r="H11" s="5" t="s">
        <v>17</v>
      </c>
      <c r="I11" s="5" t="s">
        <v>17</v>
      </c>
      <c r="J11" s="5" t="s">
        <v>138</v>
      </c>
    </row>
    <row r="12" spans="1:10" x14ac:dyDescent="0.25">
      <c r="A12" s="5" t="s">
        <v>21</v>
      </c>
      <c r="B12" s="5" t="s">
        <v>56</v>
      </c>
      <c r="C12" s="5" t="s">
        <v>17</v>
      </c>
      <c r="D12" s="5">
        <f>EXACT(G5,"HWT, IWT")</f>
      </c>
      <c r="E12" s="5" t="s">
        <v>139</v>
      </c>
      <c r="F12" s="5" t="s">
        <v>21</v>
      </c>
      <c r="G12" s="5" t="s">
        <v>58</v>
      </c>
      <c r="H12" s="5" t="s">
        <v>17</v>
      </c>
      <c r="I12" s="5" t="s">
        <v>17</v>
      </c>
      <c r="J12" s="5" t="s">
        <v>140</v>
      </c>
    </row>
    <row r="13" spans="1:10" x14ac:dyDescent="0.25">
      <c r="A13" s="5" t="s">
        <v>21</v>
      </c>
      <c r="B13" s="5" t="s">
        <v>79</v>
      </c>
      <c r="C13" s="5" t="s">
        <v>17</v>
      </c>
      <c r="D13" s="5">
        <f>EXACT(G5,"HWT, IWT")</f>
      </c>
      <c r="E13" s="5" t="s">
        <v>141</v>
      </c>
      <c r="F13" s="5" t="s">
        <v>21</v>
      </c>
      <c r="G13" s="5">
        <v>1</v>
      </c>
      <c r="H13" s="5" t="s">
        <v>17</v>
      </c>
      <c r="I13" s="5" t="s">
        <v>17</v>
      </c>
      <c r="J13" s="5" t="s">
        <v>142</v>
      </c>
    </row>
    <row r="14" spans="1:10" x14ac:dyDescent="0.25">
      <c r="A14" s="5" t="s">
        <v>21</v>
      </c>
      <c r="B14" s="5" t="s">
        <v>56</v>
      </c>
      <c r="C14" s="5" t="s">
        <v>17</v>
      </c>
      <c r="D14" s="5">
        <f>EXACT(G5,"HWT, IWT")</f>
      </c>
      <c r="E14" s="5" t="s">
        <v>143</v>
      </c>
      <c r="F14" s="5" t="s">
        <v>21</v>
      </c>
      <c r="G14" s="5" t="s">
        <v>58</v>
      </c>
      <c r="H14" s="5" t="s">
        <v>17</v>
      </c>
      <c r="I14" s="5" t="s">
        <v>17</v>
      </c>
      <c r="J14" s="5" t="s">
        <v>144</v>
      </c>
    </row>
    <row r="15" spans="1:10" x14ac:dyDescent="0.25">
      <c r="A15" s="5" t="s">
        <v>21</v>
      </c>
      <c r="B15" s="5" t="s">
        <v>79</v>
      </c>
      <c r="C15" s="5" t="s">
        <v>17</v>
      </c>
      <c r="D15" s="5">
        <f>EXACT(G5,"HWT, IWT")</f>
      </c>
      <c r="E15" s="5" t="s">
        <v>145</v>
      </c>
      <c r="F15" s="5" t="s">
        <v>21</v>
      </c>
      <c r="G15" s="5">
        <v>1</v>
      </c>
      <c r="H15" s="5" t="s">
        <v>17</v>
      </c>
      <c r="I15" s="5" t="s">
        <v>17</v>
      </c>
      <c r="J15" s="5" t="s">
        <v>146</v>
      </c>
    </row>
    <row r="16" spans="1:10" x14ac:dyDescent="0.25">
      <c r="A16" s="5" t="s">
        <v>21</v>
      </c>
      <c r="B16" s="5" t="s">
        <v>79</v>
      </c>
      <c r="C16" s="5" t="s">
        <v>17</v>
      </c>
      <c r="D16" s="5">
        <f>EXACT(G5,"HWT, IWT")</f>
      </c>
      <c r="E16" s="5" t="s">
        <v>147</v>
      </c>
      <c r="F16" s="5" t="s">
        <v>21</v>
      </c>
      <c r="G16" s="5">
        <v>1</v>
      </c>
      <c r="H16" s="5" t="s">
        <v>17</v>
      </c>
      <c r="I16" s="5" t="s">
        <v>17</v>
      </c>
      <c r="J16" s="5" t="s">
        <v>148</v>
      </c>
    </row>
    <row r="17" spans="1:10" x14ac:dyDescent="0.25">
      <c r="A17" s="5" t="s">
        <v>21</v>
      </c>
      <c r="B17" s="5" t="s">
        <v>56</v>
      </c>
      <c r="C17" s="5" t="s">
        <v>17</v>
      </c>
      <c r="D17" s="5">
        <f>EXACT(G5,"HWT, IWT")</f>
      </c>
      <c r="E17" s="5" t="s">
        <v>149</v>
      </c>
      <c r="F17" s="5" t="s">
        <v>21</v>
      </c>
      <c r="G17" s="5" t="s">
        <v>58</v>
      </c>
      <c r="H17" s="5" t="s">
        <v>17</v>
      </c>
      <c r="I17" s="5" t="s">
        <v>17</v>
      </c>
      <c r="J17" s="5" t="s">
        <v>150</v>
      </c>
    </row>
    <row r="18" spans="1:10" x14ac:dyDescent="0.25">
      <c r="A18" s="5" t="s">
        <v>21</v>
      </c>
      <c r="B18" s="6" t="s">
        <v>151</v>
      </c>
      <c r="C18" s="5" t="s">
        <v>17</v>
      </c>
      <c r="D18" s="5">
        <f>EXACT(G5,"CWT, CWS")</f>
      </c>
      <c r="E18" s="5" t="s">
        <v>126</v>
      </c>
      <c r="F18" s="5" t="s">
        <v>21</v>
      </c>
      <c r="G18" s="5" t="s">
        <v>17</v>
      </c>
      <c r="H18" s="5" t="s">
        <v>17</v>
      </c>
      <c r="I18" s="5" t="s">
        <v>17</v>
      </c>
      <c r="J18" s="5" t="s">
        <v>152</v>
      </c>
    </row>
    <row r="19" spans="1:10" x14ac:dyDescent="0.25" outlineLevel="1" collapsed="1">
      <c r="A19" s="9" t="s">
        <v>15</v>
      </c>
      <c r="B19" s="9" t="s">
        <v>23</v>
      </c>
      <c r="C19" s="10" t="s">
        <v>153</v>
      </c>
      <c r="D19" s="9"/>
      <c r="E19" s="9" t="s">
        <v>126</v>
      </c>
      <c r="F19" s="9" t="s">
        <v>21</v>
      </c>
      <c r="G19" s="9" t="s">
        <v>154</v>
      </c>
      <c r="H19" s="9" t="s">
        <v>17</v>
      </c>
      <c r="I19" s="9" t="s">
        <v>17</v>
      </c>
      <c r="J19" s="9" t="s">
        <v>155</v>
      </c>
    </row>
    <row r="20" spans="1:10" x14ac:dyDescent="0.25" outlineLevel="1" collapsed="1">
      <c r="A20" s="9" t="s">
        <v>21</v>
      </c>
      <c r="B20" s="9" t="s">
        <v>56</v>
      </c>
      <c r="C20" s="9" t="s">
        <v>17</v>
      </c>
      <c r="D20" s="9">
        <f>EXACT(G19,"Other (specify)")</f>
      </c>
      <c r="E20" s="9" t="s">
        <v>131</v>
      </c>
      <c r="F20" s="9" t="s">
        <v>21</v>
      </c>
      <c r="G20" s="9" t="s">
        <v>58</v>
      </c>
      <c r="H20" s="9" t="s">
        <v>17</v>
      </c>
      <c r="I20" s="9" t="s">
        <v>17</v>
      </c>
      <c r="J20" s="9" t="s">
        <v>132</v>
      </c>
    </row>
    <row r="21" spans="1:10" x14ac:dyDescent="0.25">
      <c r="A21" s="5" t="s">
        <v>21</v>
      </c>
      <c r="B21" s="5" t="s">
        <v>56</v>
      </c>
      <c r="C21" s="5" t="s">
        <v>17</v>
      </c>
      <c r="D21" s="5">
        <f>EXACT(G5,"CWT, CWS")</f>
      </c>
      <c r="E21" s="5" t="s">
        <v>133</v>
      </c>
      <c r="F21" s="5" t="s">
        <v>21</v>
      </c>
      <c r="G21" s="5" t="s">
        <v>58</v>
      </c>
      <c r="H21" s="5" t="s">
        <v>17</v>
      </c>
      <c r="I21" s="5" t="s">
        <v>17</v>
      </c>
      <c r="J21" s="5" t="s">
        <v>156</v>
      </c>
    </row>
    <row r="22" spans="1:10" x14ac:dyDescent="0.25">
      <c r="A22" s="5" t="s">
        <v>21</v>
      </c>
      <c r="B22" s="5" t="s">
        <v>56</v>
      </c>
      <c r="C22" s="5" t="s">
        <v>17</v>
      </c>
      <c r="D22" s="5">
        <f>EXACT(G5,"CWT, CWS")</f>
      </c>
      <c r="E22" s="5" t="s">
        <v>157</v>
      </c>
      <c r="F22" s="5" t="s">
        <v>21</v>
      </c>
      <c r="G22" s="5" t="s">
        <v>58</v>
      </c>
      <c r="H22" s="5" t="s">
        <v>17</v>
      </c>
      <c r="I22" s="5" t="s">
        <v>17</v>
      </c>
      <c r="J22" s="5" t="s">
        <v>158</v>
      </c>
    </row>
    <row r="23" spans="1:10" x14ac:dyDescent="0.25">
      <c r="A23" s="5" t="s">
        <v>21</v>
      </c>
      <c r="B23" s="5" t="s">
        <v>56</v>
      </c>
      <c r="C23" s="5" t="s">
        <v>17</v>
      </c>
      <c r="D23" s="5">
        <f>EXACT(G5,"CWT, CWS")</f>
      </c>
      <c r="E23" s="5" t="s">
        <v>159</v>
      </c>
      <c r="F23" s="5" t="s">
        <v>21</v>
      </c>
      <c r="G23" s="5" t="s">
        <v>58</v>
      </c>
      <c r="H23" s="5" t="s">
        <v>17</v>
      </c>
      <c r="I23" s="5" t="s">
        <v>17</v>
      </c>
      <c r="J23" s="5" t="s">
        <v>160</v>
      </c>
    </row>
    <row r="24" spans="1:10" x14ac:dyDescent="0.25">
      <c r="A24" s="5" t="s">
        <v>21</v>
      </c>
      <c r="B24" s="5" t="s">
        <v>79</v>
      </c>
      <c r="C24" s="5" t="s">
        <v>17</v>
      </c>
      <c r="D24" s="5">
        <f>EXACT(G5,"CWT, CWS")</f>
      </c>
      <c r="E24" s="5" t="s">
        <v>161</v>
      </c>
      <c r="F24" s="5" t="s">
        <v>21</v>
      </c>
      <c r="G24" s="5">
        <v>1</v>
      </c>
      <c r="H24" s="5" t="s">
        <v>17</v>
      </c>
      <c r="I24" s="5" t="s">
        <v>17</v>
      </c>
      <c r="J24" s="5" t="s">
        <v>162</v>
      </c>
    </row>
    <row r="25" spans="1:10" x14ac:dyDescent="0.25">
      <c r="A25" s="5" t="s">
        <v>21</v>
      </c>
      <c r="B25" s="5" t="s">
        <v>79</v>
      </c>
      <c r="C25" s="5" t="s">
        <v>17</v>
      </c>
      <c r="D25" s="5">
        <f>EXACT(G5,"CWT, CWS")</f>
      </c>
      <c r="E25" s="5" t="s">
        <v>163</v>
      </c>
      <c r="F25" s="5" t="s">
        <v>21</v>
      </c>
      <c r="G25" s="5">
        <v>1</v>
      </c>
      <c r="H25" s="5" t="s">
        <v>17</v>
      </c>
      <c r="I25" s="5" t="s">
        <v>17</v>
      </c>
      <c r="J25" s="5" t="s">
        <v>164</v>
      </c>
    </row>
    <row r="26" spans="1:10" x14ac:dyDescent="0.25">
      <c r="A26" s="5" t="s">
        <v>21</v>
      </c>
      <c r="B26" s="5" t="s">
        <v>56</v>
      </c>
      <c r="C26" s="5" t="s">
        <v>17</v>
      </c>
      <c r="D26" s="5">
        <f>EXACT(G5,"CWT, CWS")</f>
      </c>
      <c r="E26" s="5" t="s">
        <v>137</v>
      </c>
      <c r="F26" s="5" t="s">
        <v>21</v>
      </c>
      <c r="G26" s="5" t="s">
        <v>58</v>
      </c>
      <c r="H26" s="5" t="s">
        <v>17</v>
      </c>
      <c r="I26" s="5" t="s">
        <v>17</v>
      </c>
      <c r="J26" s="5" t="s">
        <v>165</v>
      </c>
    </row>
    <row r="27" spans="1:10" x14ac:dyDescent="0.25">
      <c r="A27" s="5" t="s">
        <v>21</v>
      </c>
      <c r="B27" s="5" t="s">
        <v>56</v>
      </c>
      <c r="C27" s="5" t="s">
        <v>17</v>
      </c>
      <c r="D27" s="5">
        <f>EXACT(G5,"CWT, CWS")</f>
      </c>
      <c r="E27" s="5" t="s">
        <v>139</v>
      </c>
      <c r="F27" s="5" t="s">
        <v>21</v>
      </c>
      <c r="G27" s="5" t="s">
        <v>58</v>
      </c>
      <c r="H27" s="5" t="s">
        <v>17</v>
      </c>
      <c r="I27" s="5" t="s">
        <v>17</v>
      </c>
      <c r="J27" s="5" t="s">
        <v>166</v>
      </c>
    </row>
    <row r="28" spans="1:10" x14ac:dyDescent="0.25">
      <c r="A28" s="5" t="s">
        <v>21</v>
      </c>
      <c r="B28" s="5" t="s">
        <v>56</v>
      </c>
      <c r="C28" s="5" t="s">
        <v>17</v>
      </c>
      <c r="D28" s="5">
        <f>EXACT(G5,"CWT, CWS")</f>
      </c>
      <c r="E28" s="5" t="s">
        <v>167</v>
      </c>
      <c r="F28" s="5" t="s">
        <v>21</v>
      </c>
      <c r="G28" s="5" t="s">
        <v>58</v>
      </c>
      <c r="H28" s="5" t="s">
        <v>17</v>
      </c>
      <c r="I28" s="5" t="s">
        <v>17</v>
      </c>
      <c r="J28" s="5" t="s">
        <v>168</v>
      </c>
    </row>
    <row r="29" spans="1:10" x14ac:dyDescent="0.25">
      <c r="A29" s="5" t="s">
        <v>21</v>
      </c>
      <c r="B29" s="5" t="s">
        <v>169</v>
      </c>
      <c r="C29" s="5" t="s">
        <v>17</v>
      </c>
      <c r="D29" s="5">
        <f>EXACT(G5,"CWT, CWS")</f>
      </c>
      <c r="E29" s="5" t="s">
        <v>170</v>
      </c>
      <c r="F29" s="5" t="s">
        <v>21</v>
      </c>
      <c r="G29" s="5" t="b">
        <v>1</v>
      </c>
      <c r="H29" s="5" t="s">
        <v>17</v>
      </c>
      <c r="I29" s="5" t="s">
        <v>17</v>
      </c>
      <c r="J29" s="5" t="s">
        <v>171</v>
      </c>
    </row>
    <row r="30" spans="1:10" x14ac:dyDescent="0.25">
      <c r="A30" s="5" t="s">
        <v>21</v>
      </c>
      <c r="B30" s="5" t="s">
        <v>56</v>
      </c>
      <c r="C30" s="5" t="s">
        <v>17</v>
      </c>
      <c r="D30" s="5">
        <f>EXACT(G5,"CWT, CWS")</f>
      </c>
      <c r="E30" s="5" t="s">
        <v>2</v>
      </c>
      <c r="F30" s="5" t="s">
        <v>21</v>
      </c>
      <c r="G30" s="5" t="s">
        <v>58</v>
      </c>
      <c r="H30" s="5" t="s">
        <v>17</v>
      </c>
      <c r="I30" s="5" t="s">
        <v>17</v>
      </c>
      <c r="J30" s="5" t="s">
        <v>172</v>
      </c>
    </row>
    <row r="31" spans="1:10" x14ac:dyDescent="0.25">
      <c r="A31" s="5" t="s">
        <v>21</v>
      </c>
      <c r="B31" s="5" t="s">
        <v>56</v>
      </c>
      <c r="C31" s="5" t="s">
        <v>17</v>
      </c>
      <c r="D31" s="5">
        <f>EXACT(G5,"CWT, CWS")</f>
      </c>
      <c r="E31" s="5" t="s">
        <v>173</v>
      </c>
      <c r="F31" s="5" t="s">
        <v>21</v>
      </c>
      <c r="G31" s="5" t="s">
        <v>58</v>
      </c>
      <c r="H31" s="5" t="s">
        <v>17</v>
      </c>
      <c r="I31" s="5" t="s">
        <v>17</v>
      </c>
      <c r="J31" s="5" t="s">
        <v>174</v>
      </c>
    </row>
    <row r="32" spans="1:10" x14ac:dyDescent="0.25">
      <c r="A32" s="5" t="s">
        <v>21</v>
      </c>
      <c r="B32" s="5" t="s">
        <v>175</v>
      </c>
      <c r="C32" s="5" t="s">
        <v>17</v>
      </c>
      <c r="D32" s="5">
        <f>EXACT(G5,"CWT, CWS")</f>
      </c>
      <c r="E32" s="5" t="s">
        <v>176</v>
      </c>
      <c r="F32" s="5" t="s">
        <v>21</v>
      </c>
      <c r="G32" s="5" t="s">
        <v>1137</v>
      </c>
      <c r="H32" s="5" t="s">
        <v>17</v>
      </c>
      <c r="I32" s="5" t="s">
        <v>17</v>
      </c>
      <c r="J32" s="5" t="s">
        <v>178</v>
      </c>
    </row>
    <row r="33" spans="1:10" x14ac:dyDescent="0.25">
      <c r="A33" s="5" t="s">
        <v>21</v>
      </c>
      <c r="B33" s="6" t="s">
        <v>179</v>
      </c>
      <c r="C33" s="5" t="s">
        <v>17</v>
      </c>
      <c r="D33" s="5">
        <f>EXACT(G5,"CWT, CWS")</f>
      </c>
      <c r="E33" s="5" t="s">
        <v>180</v>
      </c>
      <c r="F33" s="5" t="s">
        <v>21</v>
      </c>
      <c r="G33" s="5" t="s">
        <v>17</v>
      </c>
      <c r="H33" s="5" t="s">
        <v>17</v>
      </c>
      <c r="I33" s="5" t="s">
        <v>17</v>
      </c>
      <c r="J33" s="5" t="s">
        <v>181</v>
      </c>
    </row>
    <row r="34" spans="1:10" x14ac:dyDescent="0.25" outlineLevel="1" collapsed="1">
      <c r="A34" s="9" t="s">
        <v>15</v>
      </c>
      <c r="B34" s="9" t="s">
        <v>169</v>
      </c>
      <c r="C34" s="9" t="s">
        <v>17</v>
      </c>
      <c r="D34" s="9"/>
      <c r="E34" s="9" t="s">
        <v>182</v>
      </c>
      <c r="F34" s="9" t="s">
        <v>21</v>
      </c>
      <c r="G34" s="9" t="b">
        <v>1</v>
      </c>
      <c r="H34" s="9" t="s">
        <v>17</v>
      </c>
      <c r="I34" s="9" t="s">
        <v>17</v>
      </c>
      <c r="J34" s="9" t="s">
        <v>183</v>
      </c>
    </row>
    <row r="35" spans="1:10" x14ac:dyDescent="0.25" outlineLevel="1" collapsed="1">
      <c r="A35" s="9" t="s">
        <v>21</v>
      </c>
      <c r="B35" s="9" t="s">
        <v>89</v>
      </c>
      <c r="C35" s="9" t="s">
        <v>17</v>
      </c>
      <c r="D35" s="9">
        <f>EXACT(G34,true)</f>
      </c>
      <c r="E35" s="9" t="s">
        <v>184</v>
      </c>
      <c r="F35" s="9" t="s">
        <v>21</v>
      </c>
      <c r="G35" s="9" t="s">
        <v>91</v>
      </c>
      <c r="H35" s="9" t="s">
        <v>17</v>
      </c>
      <c r="I35" s="9" t="s">
        <v>17</v>
      </c>
      <c r="J35" s="9" t="s">
        <v>185</v>
      </c>
    </row>
    <row r="36" spans="1:10" x14ac:dyDescent="0.25" outlineLevel="1" collapsed="1">
      <c r="A36" s="9" t="s">
        <v>21</v>
      </c>
      <c r="B36" s="9" t="s">
        <v>26</v>
      </c>
      <c r="C36" s="9" t="s">
        <v>186</v>
      </c>
      <c r="D36" s="9">
        <f>EXACT(G34,true)</f>
      </c>
      <c r="E36" s="9" t="s">
        <v>187</v>
      </c>
      <c r="F36" s="9" t="s">
        <v>21</v>
      </c>
      <c r="G36" s="9" t="s">
        <v>1138</v>
      </c>
      <c r="H36" s="9" t="s">
        <v>17</v>
      </c>
      <c r="I36" s="9" t="s">
        <v>17</v>
      </c>
      <c r="J36" s="9" t="s">
        <v>189</v>
      </c>
    </row>
    <row r="37" spans="1:10" x14ac:dyDescent="0.25" outlineLevel="1" collapsed="1">
      <c r="A37" s="9" t="s">
        <v>21</v>
      </c>
      <c r="B37" s="9" t="s">
        <v>89</v>
      </c>
      <c r="C37" s="9" t="s">
        <v>17</v>
      </c>
      <c r="D37" s="9">
        <f>EXACT(G34,true)</f>
      </c>
      <c r="E37" s="9" t="s">
        <v>190</v>
      </c>
      <c r="F37" s="9" t="s">
        <v>21</v>
      </c>
      <c r="G37" s="9" t="s">
        <v>91</v>
      </c>
      <c r="H37" s="9" t="s">
        <v>17</v>
      </c>
      <c r="I37" s="9" t="s">
        <v>17</v>
      </c>
      <c r="J37" s="9" t="s">
        <v>191</v>
      </c>
    </row>
    <row r="38" spans="1:10" x14ac:dyDescent="0.25" outlineLevel="1" collapsed="1">
      <c r="A38" s="9" t="s">
        <v>21</v>
      </c>
      <c r="B38" s="9" t="s">
        <v>175</v>
      </c>
      <c r="C38" s="9" t="s">
        <v>17</v>
      </c>
      <c r="D38" s="9">
        <f>EXACT(G34,true)</f>
      </c>
      <c r="E38" s="9" t="s">
        <v>192</v>
      </c>
      <c r="F38" s="9" t="s">
        <v>21</v>
      </c>
      <c r="G38" s="9" t="s">
        <v>1139</v>
      </c>
      <c r="H38" s="9" t="s">
        <v>17</v>
      </c>
      <c r="I38" s="9" t="s">
        <v>17</v>
      </c>
      <c r="J38" s="9" t="s">
        <v>194</v>
      </c>
    </row>
    <row r="39" spans="1:10" x14ac:dyDescent="0.25" outlineLevel="1" collapsed="1">
      <c r="A39" s="9" t="s">
        <v>21</v>
      </c>
      <c r="B39" s="9" t="s">
        <v>175</v>
      </c>
      <c r="C39" s="9" t="s">
        <v>17</v>
      </c>
      <c r="D39" s="9">
        <f>EXACT(G34,true)</f>
      </c>
      <c r="E39" s="9" t="s">
        <v>195</v>
      </c>
      <c r="F39" s="9" t="s">
        <v>21</v>
      </c>
      <c r="G39" s="9" t="s">
        <v>1140</v>
      </c>
      <c r="H39" s="9" t="s">
        <v>17</v>
      </c>
      <c r="I39" s="9" t="s">
        <v>17</v>
      </c>
      <c r="J39" s="9" t="s">
        <v>197</v>
      </c>
    </row>
    <row r="40" spans="1:10" x14ac:dyDescent="0.25">
      <c r="A40" s="5" t="s">
        <v>15</v>
      </c>
      <c r="B40" s="5" t="s">
        <v>56</v>
      </c>
      <c r="C40" s="5" t="s">
        <v>17</v>
      </c>
      <c r="D40" s="5"/>
      <c r="E40" s="5" t="s">
        <v>198</v>
      </c>
      <c r="F40" s="5" t="s">
        <v>21</v>
      </c>
      <c r="G40" s="5" t="s">
        <v>58</v>
      </c>
      <c r="H40" s="5" t="s">
        <v>17</v>
      </c>
      <c r="I40" s="5" t="s">
        <v>17</v>
      </c>
      <c r="J40" s="5" t="s">
        <v>199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2 (enum)'!A4:A9</formula1>
    </dataValidation>
    <dataValidation type="list" allowBlank="1" sqref="G5:I5">
      <formula1>'Treatment Technology Ca (enum)'!A4:A5</formula1>
    </dataValidation>
    <dataValidation type="list" allowBlank="1" sqref="G7:I7">
      <formula1>'Treatment Technology Su (enum)'!A4:A9</formula1>
    </dataValidation>
  </dataValidations>
  <hyperlinks>
    <hyperlink ref="C5" r:id="rId1" location="#'Treatment Technology Ca (enum)'!A3"/>
    <hyperlink ref="B6" r:id="rId2" location="#'Treatment Technology Sub-type'!A1"/>
    <hyperlink ref="C7" r:id="rId3" location="#'Treatment Technology Su (enum)'!A3"/>
    <hyperlink ref="B18" r:id="rId4" location="#'Treatment Technology Sub-ty 2'!A1"/>
    <hyperlink ref="C19" r:id="rId5" location="#'Treatment Technology 2 (enum)'!A3"/>
    <hyperlink ref="B33" r:id="rId6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1141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620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348</v>
      </c>
    </row>
    <row r="6" spans="1:10" x14ac:dyDescent="0.25">
      <c r="A6" s="5" t="s">
        <v>15</v>
      </c>
      <c r="B6" s="5" t="s">
        <v>386</v>
      </c>
      <c r="C6" s="5" t="s">
        <v>17</v>
      </c>
      <c r="D6" s="5"/>
      <c r="E6" s="5" t="s">
        <v>621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622</v>
      </c>
    </row>
    <row r="7" spans="1:10" x14ac:dyDescent="0.25">
      <c r="A7" s="5" t="s">
        <v>15</v>
      </c>
      <c r="B7" s="5" t="s">
        <v>386</v>
      </c>
      <c r="C7" s="5" t="s">
        <v>17</v>
      </c>
      <c r="D7" s="5"/>
      <c r="E7" s="5" t="s">
        <v>623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624</v>
      </c>
    </row>
    <row r="8" spans="1:10" x14ac:dyDescent="0.25">
      <c r="A8" s="5" t="s">
        <v>15</v>
      </c>
      <c r="B8" s="5" t="s">
        <v>386</v>
      </c>
      <c r="C8" s="5" t="s">
        <v>17</v>
      </c>
      <c r="D8" s="5"/>
      <c r="E8" s="5" t="s">
        <v>625</v>
      </c>
      <c r="F8" s="5" t="s">
        <v>21</v>
      </c>
      <c r="G8" s="5">
        <v>1</v>
      </c>
      <c r="H8" s="5" t="s">
        <v>17</v>
      </c>
      <c r="I8" s="5" t="s">
        <v>17</v>
      </c>
      <c r="J8" s="5" t="s">
        <v>626</v>
      </c>
    </row>
    <row r="9" spans="1:10" x14ac:dyDescent="0.25">
      <c r="A9" s="5" t="s">
        <v>21</v>
      </c>
      <c r="B9" s="5" t="s">
        <v>79</v>
      </c>
      <c r="C9" s="5" t="s">
        <v>17</v>
      </c>
      <c r="D9" s="5"/>
      <c r="E9" s="5" t="s">
        <v>627</v>
      </c>
      <c r="F9" s="5" t="s">
        <v>21</v>
      </c>
      <c r="G9" s="5">
        <v>1</v>
      </c>
      <c r="H9" s="5" t="s">
        <v>17</v>
      </c>
      <c r="I9" s="5" t="s">
        <v>17</v>
      </c>
      <c r="J9" s="5" t="s">
        <v>628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448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449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329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330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1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331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332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333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450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451</v>
      </c>
    </row>
    <row r="10" spans="1:10" x14ac:dyDescent="0.25">
      <c r="A10" s="5" t="s">
        <v>15</v>
      </c>
      <c r="B10" s="5" t="s">
        <v>56</v>
      </c>
      <c r="C10" s="5" t="s">
        <v>17</v>
      </c>
      <c r="D10" s="5"/>
      <c r="E10" s="5" t="s">
        <v>452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453</v>
      </c>
    </row>
    <row r="11" spans="1:10" x14ac:dyDescent="0.25">
      <c r="A11" s="5" t="s">
        <v>15</v>
      </c>
      <c r="B11" s="5" t="s">
        <v>56</v>
      </c>
      <c r="C11" s="5" t="s">
        <v>17</v>
      </c>
      <c r="D11" s="5"/>
      <c r="E11" s="5" t="s">
        <v>454</v>
      </c>
      <c r="F11" s="5" t="s">
        <v>21</v>
      </c>
      <c r="G11" s="5" t="s">
        <v>58</v>
      </c>
      <c r="H11" s="5" t="s">
        <v>17</v>
      </c>
      <c r="I11" s="5" t="s">
        <v>17</v>
      </c>
      <c r="J11" s="5" t="s">
        <v>455</v>
      </c>
    </row>
    <row r="12" spans="1:10" x14ac:dyDescent="0.25">
      <c r="A12" s="5" t="s">
        <v>15</v>
      </c>
      <c r="B12" s="5" t="s">
        <v>56</v>
      </c>
      <c r="C12" s="5" t="s">
        <v>17</v>
      </c>
      <c r="D12" s="5"/>
      <c r="E12" s="5" t="s">
        <v>338</v>
      </c>
      <c r="F12" s="5" t="s">
        <v>21</v>
      </c>
      <c r="G12" s="5" t="s">
        <v>58</v>
      </c>
      <c r="H12" s="5" t="s">
        <v>17</v>
      </c>
      <c r="I12" s="5" t="s">
        <v>17</v>
      </c>
      <c r="J12" s="5" t="s">
        <v>339</v>
      </c>
    </row>
    <row r="13" spans="1:10" x14ac:dyDescent="0.25">
      <c r="A13" s="5" t="s">
        <v>15</v>
      </c>
      <c r="B13" s="5" t="s">
        <v>56</v>
      </c>
      <c r="C13" s="5" t="s">
        <v>17</v>
      </c>
      <c r="D13" s="5"/>
      <c r="E13" s="5" t="s">
        <v>340</v>
      </c>
      <c r="F13" s="5" t="s">
        <v>21</v>
      </c>
      <c r="G13" s="5" t="s">
        <v>58</v>
      </c>
      <c r="H13" s="5" t="s">
        <v>17</v>
      </c>
      <c r="I13" s="5" t="s">
        <v>17</v>
      </c>
      <c r="J13" s="5" t="s">
        <v>341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422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425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426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427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428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429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430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431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432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433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434</v>
      </c>
    </row>
    <row r="10" spans="1:10" x14ac:dyDescent="0.25">
      <c r="A10" s="5" t="s">
        <v>21</v>
      </c>
      <c r="B10" s="5" t="s">
        <v>175</v>
      </c>
      <c r="C10" s="5" t="s">
        <v>17</v>
      </c>
      <c r="D10" s="5"/>
      <c r="E10" s="5" t="s">
        <v>435</v>
      </c>
      <c r="F10" s="5" t="s">
        <v>21</v>
      </c>
      <c r="G10" s="5" t="s">
        <v>1142</v>
      </c>
      <c r="H10" s="5" t="s">
        <v>17</v>
      </c>
      <c r="I10" s="5" t="s">
        <v>17</v>
      </c>
      <c r="J10" s="5" t="s">
        <v>437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43</v>
      </c>
      <c r="C5" s="5" t="s">
        <v>17</v>
      </c>
      <c r="D5" s="5"/>
      <c r="E5" s="5" t="s">
        <v>271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272</v>
      </c>
    </row>
    <row r="6" spans="1:10" x14ac:dyDescent="0.25">
      <c r="A6" s="5" t="s">
        <v>15</v>
      </c>
      <c r="B6" s="6" t="s">
        <v>294</v>
      </c>
      <c r="C6" s="5" t="s">
        <v>17</v>
      </c>
      <c r="D6" s="5"/>
      <c r="E6" s="5" t="s">
        <v>292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293</v>
      </c>
    </row>
    <row r="7" spans="1:10" x14ac:dyDescent="0.25" outlineLevel="1" collapsed="1">
      <c r="A7" s="9" t="s">
        <v>15</v>
      </c>
      <c r="B7" s="9" t="s">
        <v>56</v>
      </c>
      <c r="C7" s="9" t="s">
        <v>17</v>
      </c>
      <c r="D7" s="9"/>
      <c r="E7" s="9" t="s">
        <v>295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296</v>
      </c>
    </row>
    <row r="8" spans="1:10" x14ac:dyDescent="0.25" outlineLevel="1" collapsed="1">
      <c r="A8" s="9" t="s">
        <v>15</v>
      </c>
      <c r="B8" s="9" t="s">
        <v>26</v>
      </c>
      <c r="C8" s="9" t="s">
        <v>284</v>
      </c>
      <c r="D8" s="9"/>
      <c r="E8" s="9" t="s">
        <v>297</v>
      </c>
      <c r="F8" s="9" t="s">
        <v>21</v>
      </c>
      <c r="G8" s="9" t="s">
        <v>1144</v>
      </c>
      <c r="H8" s="9" t="s">
        <v>17</v>
      </c>
      <c r="I8" s="9" t="s">
        <v>17</v>
      </c>
      <c r="J8" s="9" t="s">
        <v>299</v>
      </c>
    </row>
  </sheetData>
  <mergeCells count="3">
    <mergeCell ref="A1:J1"/>
    <mergeCell ref="B2:J2"/>
    <mergeCell ref="B3:J3"/>
  </mergeCells>
  <hyperlinks>
    <hyperlink ref="B6" r:id="rId1" location="#'Baseline Treatment Method - I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444</v>
      </c>
      <c r="D5" s="5"/>
      <c r="E5" s="5" t="s">
        <v>445</v>
      </c>
      <c r="F5" s="5" t="s">
        <v>21</v>
      </c>
      <c r="G5" s="5" t="s">
        <v>114</v>
      </c>
      <c r="H5" s="5" t="s">
        <v>17</v>
      </c>
      <c r="I5" s="5" t="s">
        <v>17</v>
      </c>
      <c r="J5" s="5" t="s">
        <v>446</v>
      </c>
    </row>
    <row r="6" spans="1:10" x14ac:dyDescent="0.25">
      <c r="A6" s="5" t="s">
        <v>15</v>
      </c>
      <c r="B6" s="6" t="s">
        <v>447</v>
      </c>
      <c r="C6" s="5" t="s">
        <v>17</v>
      </c>
      <c r="D6" s="5"/>
      <c r="E6" s="5" t="s">
        <v>448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449</v>
      </c>
    </row>
    <row r="7" spans="1:10" x14ac:dyDescent="0.25" outlineLevel="1" collapsed="1">
      <c r="A7" s="9" t="s">
        <v>15</v>
      </c>
      <c r="B7" s="9" t="s">
        <v>56</v>
      </c>
      <c r="C7" s="9" t="s">
        <v>17</v>
      </c>
      <c r="D7" s="9"/>
      <c r="E7" s="9" t="s">
        <v>448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449</v>
      </c>
    </row>
    <row r="8" spans="1:10" x14ac:dyDescent="0.25" outlineLevel="1" collapsed="1">
      <c r="A8" s="9" t="s">
        <v>15</v>
      </c>
      <c r="B8" s="9" t="s">
        <v>56</v>
      </c>
      <c r="C8" s="9" t="s">
        <v>17</v>
      </c>
      <c r="D8" s="9"/>
      <c r="E8" s="9" t="s">
        <v>329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330</v>
      </c>
    </row>
    <row r="9" spans="1:10" x14ac:dyDescent="0.25" outlineLevel="1" collapsed="1">
      <c r="A9" s="9" t="s">
        <v>15</v>
      </c>
      <c r="B9" s="9" t="s">
        <v>56</v>
      </c>
      <c r="C9" s="9" t="s">
        <v>17</v>
      </c>
      <c r="D9" s="9"/>
      <c r="E9" s="9" t="s">
        <v>1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331</v>
      </c>
    </row>
    <row r="10" spans="1:10" x14ac:dyDescent="0.25" outlineLevel="1" collapsed="1">
      <c r="A10" s="9" t="s">
        <v>15</v>
      </c>
      <c r="B10" s="9" t="s">
        <v>56</v>
      </c>
      <c r="C10" s="9" t="s">
        <v>17</v>
      </c>
      <c r="D10" s="9"/>
      <c r="E10" s="9" t="s">
        <v>332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333</v>
      </c>
    </row>
    <row r="11" spans="1:10" x14ac:dyDescent="0.25" outlineLevel="1" collapsed="1">
      <c r="A11" s="9" t="s">
        <v>15</v>
      </c>
      <c r="B11" s="9" t="s">
        <v>56</v>
      </c>
      <c r="C11" s="9" t="s">
        <v>17</v>
      </c>
      <c r="D11" s="9"/>
      <c r="E11" s="9" t="s">
        <v>450</v>
      </c>
      <c r="F11" s="9" t="s">
        <v>21</v>
      </c>
      <c r="G11" s="9" t="s">
        <v>58</v>
      </c>
      <c r="H11" s="9" t="s">
        <v>17</v>
      </c>
      <c r="I11" s="9" t="s">
        <v>17</v>
      </c>
      <c r="J11" s="9" t="s">
        <v>451</v>
      </c>
    </row>
    <row r="12" spans="1:10" x14ac:dyDescent="0.25" outlineLevel="1" collapsed="1">
      <c r="A12" s="9" t="s">
        <v>15</v>
      </c>
      <c r="B12" s="9" t="s">
        <v>56</v>
      </c>
      <c r="C12" s="9" t="s">
        <v>17</v>
      </c>
      <c r="D12" s="9"/>
      <c r="E12" s="9" t="s">
        <v>452</v>
      </c>
      <c r="F12" s="9" t="s">
        <v>21</v>
      </c>
      <c r="G12" s="9" t="s">
        <v>58</v>
      </c>
      <c r="H12" s="9" t="s">
        <v>17</v>
      </c>
      <c r="I12" s="9" t="s">
        <v>17</v>
      </c>
      <c r="J12" s="9" t="s">
        <v>453</v>
      </c>
    </row>
    <row r="13" spans="1:10" x14ac:dyDescent="0.25" outlineLevel="1" collapsed="1">
      <c r="A13" s="9" t="s">
        <v>15</v>
      </c>
      <c r="B13" s="9" t="s">
        <v>56</v>
      </c>
      <c r="C13" s="9" t="s">
        <v>17</v>
      </c>
      <c r="D13" s="9"/>
      <c r="E13" s="9" t="s">
        <v>454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455</v>
      </c>
    </row>
    <row r="14" spans="1:10" x14ac:dyDescent="0.25" outlineLevel="1" collapsed="1">
      <c r="A14" s="9" t="s">
        <v>15</v>
      </c>
      <c r="B14" s="9" t="s">
        <v>56</v>
      </c>
      <c r="C14" s="9" t="s">
        <v>17</v>
      </c>
      <c r="D14" s="9"/>
      <c r="E14" s="9" t="s">
        <v>338</v>
      </c>
      <c r="F14" s="9" t="s">
        <v>21</v>
      </c>
      <c r="G14" s="9" t="s">
        <v>58</v>
      </c>
      <c r="H14" s="9" t="s">
        <v>17</v>
      </c>
      <c r="I14" s="9" t="s">
        <v>17</v>
      </c>
      <c r="J14" s="9" t="s">
        <v>339</v>
      </c>
    </row>
    <row r="15" spans="1:10" x14ac:dyDescent="0.25" outlineLevel="1" collapsed="1">
      <c r="A15" s="9" t="s">
        <v>15</v>
      </c>
      <c r="B15" s="9" t="s">
        <v>56</v>
      </c>
      <c r="C15" s="9" t="s">
        <v>17</v>
      </c>
      <c r="D15" s="9"/>
      <c r="E15" s="9" t="s">
        <v>340</v>
      </c>
      <c r="F15" s="9" t="s">
        <v>21</v>
      </c>
      <c r="G15" s="9" t="s">
        <v>58</v>
      </c>
      <c r="H15" s="9" t="s">
        <v>17</v>
      </c>
      <c r="I15" s="9" t="s">
        <v>17</v>
      </c>
      <c r="J15" s="9" t="s">
        <v>341</v>
      </c>
    </row>
    <row r="16" spans="1:10" x14ac:dyDescent="0.25">
      <c r="A16" s="5" t="s">
        <v>15</v>
      </c>
      <c r="B16" s="5" t="s">
        <v>175</v>
      </c>
      <c r="C16" s="5" t="s">
        <v>17</v>
      </c>
      <c r="D16" s="5"/>
      <c r="E16" s="5" t="s">
        <v>456</v>
      </c>
      <c r="F16" s="5" t="s">
        <v>21</v>
      </c>
      <c r="G16" s="5" t="s">
        <v>1146</v>
      </c>
      <c r="H16" s="5" t="s">
        <v>17</v>
      </c>
      <c r="I16" s="5" t="s">
        <v>17</v>
      </c>
      <c r="J16" s="5" t="s">
        <v>458</v>
      </c>
    </row>
    <row r="17" spans="1:10" x14ac:dyDescent="0.25">
      <c r="A17" s="5" t="s">
        <v>15</v>
      </c>
      <c r="B17" s="5" t="s">
        <v>175</v>
      </c>
      <c r="C17" s="5" t="s">
        <v>17</v>
      </c>
      <c r="D17" s="5"/>
      <c r="E17" s="5" t="s">
        <v>459</v>
      </c>
      <c r="F17" s="5" t="s">
        <v>21</v>
      </c>
      <c r="G17" s="5" t="s">
        <v>1147</v>
      </c>
      <c r="H17" s="5" t="s">
        <v>17</v>
      </c>
      <c r="I17" s="5" t="s">
        <v>17</v>
      </c>
      <c r="J17" s="5" t="s">
        <v>461</v>
      </c>
    </row>
    <row r="18" spans="1:10" x14ac:dyDescent="0.25">
      <c r="A18" s="5" t="s">
        <v>15</v>
      </c>
      <c r="B18" s="6" t="s">
        <v>462</v>
      </c>
      <c r="C18" s="5" t="s">
        <v>17</v>
      </c>
      <c r="D18" s="5"/>
      <c r="E18" s="5" t="s">
        <v>463</v>
      </c>
      <c r="F18" s="5" t="s">
        <v>21</v>
      </c>
      <c r="G18" s="5" t="s">
        <v>17</v>
      </c>
      <c r="H18" s="5" t="s">
        <v>17</v>
      </c>
      <c r="I18" s="5" t="s">
        <v>17</v>
      </c>
      <c r="J18" s="5" t="s">
        <v>464</v>
      </c>
    </row>
    <row r="19" spans="1:10" x14ac:dyDescent="0.25" outlineLevel="1" collapsed="1">
      <c r="A19" s="9" t="s">
        <v>15</v>
      </c>
      <c r="B19" s="9" t="s">
        <v>23</v>
      </c>
      <c r="C19" s="10" t="s">
        <v>465</v>
      </c>
      <c r="D19" s="9"/>
      <c r="E19" s="9" t="s">
        <v>123</v>
      </c>
      <c r="F19" s="9" t="s">
        <v>21</v>
      </c>
      <c r="G19" s="9" t="s">
        <v>124</v>
      </c>
      <c r="H19" s="9" t="s">
        <v>17</v>
      </c>
      <c r="I19" s="9" t="s">
        <v>17</v>
      </c>
      <c r="J19" s="9" t="s">
        <v>125</v>
      </c>
    </row>
    <row r="20" spans="1:10" x14ac:dyDescent="0.25" outlineLevel="1" collapsed="1">
      <c r="A20" s="9" t="s">
        <v>21</v>
      </c>
      <c r="B20" s="9" t="s">
        <v>466</v>
      </c>
      <c r="C20" s="11" t="s">
        <v>467</v>
      </c>
      <c r="D20" s="9">
        <f>EXACT(G19,"HWT, IWT")</f>
      </c>
      <c r="E20" s="12" t="s">
        <v>468</v>
      </c>
      <c r="F20" s="9" t="s">
        <v>21</v>
      </c>
      <c r="G20" s="9" t="s">
        <v>17</v>
      </c>
      <c r="H20" s="9" t="s">
        <v>17</v>
      </c>
      <c r="I20" s="9" t="s">
        <v>17</v>
      </c>
      <c r="J20" s="9" t="s">
        <v>222</v>
      </c>
    </row>
    <row r="21" spans="1:10" x14ac:dyDescent="0.25" outlineLevel="1" collapsed="1">
      <c r="A21" s="7" t="s">
        <v>21</v>
      </c>
      <c r="B21" s="8" t="s">
        <v>469</v>
      </c>
      <c r="C21" s="7" t="s">
        <v>17</v>
      </c>
      <c r="D21" s="7">
        <f>EXACT(G19,"CWT, CWS")</f>
      </c>
      <c r="E21" s="7" t="s">
        <v>470</v>
      </c>
      <c r="F21" s="7" t="s">
        <v>21</v>
      </c>
      <c r="G21" s="7" t="s">
        <v>17</v>
      </c>
      <c r="H21" s="7" t="s">
        <v>17</v>
      </c>
      <c r="I21" s="7" t="s">
        <v>17</v>
      </c>
      <c r="J21" s="7" t="s">
        <v>471</v>
      </c>
    </row>
    <row r="22" spans="1:10" x14ac:dyDescent="0.25" outlineLevel="2" collapsed="1">
      <c r="A22" s="9" t="s">
        <v>15</v>
      </c>
      <c r="B22" s="9" t="s">
        <v>56</v>
      </c>
      <c r="C22" s="9" t="s">
        <v>17</v>
      </c>
      <c r="D22" s="9"/>
      <c r="E22" s="9" t="s">
        <v>472</v>
      </c>
      <c r="F22" s="9" t="s">
        <v>21</v>
      </c>
      <c r="G22" s="9" t="s">
        <v>58</v>
      </c>
      <c r="H22" s="9" t="s">
        <v>17</v>
      </c>
      <c r="I22" s="9" t="s">
        <v>17</v>
      </c>
      <c r="J22" s="9" t="s">
        <v>473</v>
      </c>
    </row>
    <row r="23" spans="1:10" x14ac:dyDescent="0.25" outlineLevel="2" collapsed="1">
      <c r="A23" s="9" t="s">
        <v>15</v>
      </c>
      <c r="B23" s="9" t="s">
        <v>56</v>
      </c>
      <c r="C23" s="9" t="s">
        <v>17</v>
      </c>
      <c r="D23" s="9"/>
      <c r="E23" s="9" t="s">
        <v>474</v>
      </c>
      <c r="F23" s="9" t="s">
        <v>21</v>
      </c>
      <c r="G23" s="9" t="s">
        <v>58</v>
      </c>
      <c r="H23" s="9" t="s">
        <v>17</v>
      </c>
      <c r="I23" s="9" t="s">
        <v>17</v>
      </c>
      <c r="J23" s="9" t="s">
        <v>475</v>
      </c>
    </row>
    <row r="24" spans="1:10" x14ac:dyDescent="0.25" outlineLevel="2" collapsed="1">
      <c r="A24" s="9" t="s">
        <v>15</v>
      </c>
      <c r="B24" s="9" t="s">
        <v>56</v>
      </c>
      <c r="C24" s="9" t="s">
        <v>17</v>
      </c>
      <c r="D24" s="9"/>
      <c r="E24" s="9" t="s">
        <v>476</v>
      </c>
      <c r="F24" s="9" t="s">
        <v>21</v>
      </c>
      <c r="G24" s="9" t="s">
        <v>58</v>
      </c>
      <c r="H24" s="9" t="s">
        <v>17</v>
      </c>
      <c r="I24" s="9" t="s">
        <v>17</v>
      </c>
      <c r="J24" s="9" t="s">
        <v>477</v>
      </c>
    </row>
    <row r="25" spans="1:10" x14ac:dyDescent="0.25" outlineLevel="2" collapsed="1">
      <c r="A25" s="9" t="s">
        <v>15</v>
      </c>
      <c r="B25" s="9" t="s">
        <v>56</v>
      </c>
      <c r="C25" s="9" t="s">
        <v>17</v>
      </c>
      <c r="D25" s="9"/>
      <c r="E25" s="9" t="s">
        <v>478</v>
      </c>
      <c r="F25" s="9" t="s">
        <v>21</v>
      </c>
      <c r="G25" s="9" t="s">
        <v>58</v>
      </c>
      <c r="H25" s="9" t="s">
        <v>17</v>
      </c>
      <c r="I25" s="9" t="s">
        <v>17</v>
      </c>
      <c r="J25" s="9" t="s">
        <v>479</v>
      </c>
    </row>
    <row r="26" spans="1:10" x14ac:dyDescent="0.25" outlineLevel="2" collapsed="1">
      <c r="A26" s="9" t="s">
        <v>15</v>
      </c>
      <c r="B26" s="9" t="s">
        <v>175</v>
      </c>
      <c r="C26" s="9" t="s">
        <v>17</v>
      </c>
      <c r="D26" s="9"/>
      <c r="E26" s="9" t="s">
        <v>480</v>
      </c>
      <c r="F26" s="9" t="s">
        <v>21</v>
      </c>
      <c r="G26" s="9" t="s">
        <v>1148</v>
      </c>
      <c r="H26" s="9" t="s">
        <v>17</v>
      </c>
      <c r="I26" s="9" t="s">
        <v>17</v>
      </c>
      <c r="J26" s="9" t="s">
        <v>482</v>
      </c>
    </row>
  </sheetData>
  <mergeCells count="3">
    <mergeCell ref="A1:J1"/>
    <mergeCell ref="B2:J2"/>
    <mergeCell ref="B3:J3"/>
  </mergeCells>
  <dataValidations count="2">
    <dataValidation type="list" allowBlank="1" sqref="G19:I19">
      <formula1>'Treatment Technology 3 (enum)'!A4:A5</formula1>
    </dataValidation>
    <dataValidation type="list" allowBlank="1" sqref="G5:I5">
      <formula1>'Relevant SDG (enum)'!A4:A20</formula1>
    </dataValidation>
  </dataValidations>
  <hyperlinks>
    <hyperlink ref="C5" r:id="rId1" location="#'Relevant SDG (enum)'!A3"/>
    <hyperlink ref="B6" r:id="rId2" location="#'Monitoring Parameter - Item'!A1"/>
    <hyperlink ref="B18" r:id="rId3" location="#'Technology-Specific Details'!A1"/>
    <hyperlink ref="C19" r:id="rId4" location="#'Treatment Technology 3 (enum)'!A3"/>
    <hyperlink ref="B21" r:id="rId5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327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328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329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330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1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331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332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333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334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335</v>
      </c>
    </row>
    <row r="10" spans="1:10" x14ac:dyDescent="0.25">
      <c r="A10" s="5" t="s">
        <v>15</v>
      </c>
      <c r="B10" s="5" t="s">
        <v>56</v>
      </c>
      <c r="C10" s="5" t="s">
        <v>17</v>
      </c>
      <c r="D10" s="5"/>
      <c r="E10" s="5" t="s">
        <v>336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337</v>
      </c>
    </row>
    <row r="11" spans="1:10" x14ac:dyDescent="0.25">
      <c r="A11" s="5" t="s">
        <v>15</v>
      </c>
      <c r="B11" s="5" t="s">
        <v>56</v>
      </c>
      <c r="C11" s="5" t="s">
        <v>17</v>
      </c>
      <c r="D11" s="5"/>
      <c r="E11" s="5" t="s">
        <v>338</v>
      </c>
      <c r="F11" s="5" t="s">
        <v>21</v>
      </c>
      <c r="G11" s="5" t="s">
        <v>58</v>
      </c>
      <c r="H11" s="5" t="s">
        <v>17</v>
      </c>
      <c r="I11" s="5" t="s">
        <v>17</v>
      </c>
      <c r="J11" s="5" t="s">
        <v>339</v>
      </c>
    </row>
    <row r="12" spans="1:10" x14ac:dyDescent="0.25">
      <c r="A12" s="5" t="s">
        <v>15</v>
      </c>
      <c r="B12" s="5" t="s">
        <v>56</v>
      </c>
      <c r="C12" s="5" t="s">
        <v>17</v>
      </c>
      <c r="D12" s="5"/>
      <c r="E12" s="5" t="s">
        <v>340</v>
      </c>
      <c r="F12" s="5" t="s">
        <v>21</v>
      </c>
      <c r="G12" s="5" t="s">
        <v>58</v>
      </c>
      <c r="H12" s="5" t="s">
        <v>17</v>
      </c>
      <c r="I12" s="5" t="s">
        <v>17</v>
      </c>
      <c r="J12" s="5" t="s">
        <v>341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402</v>
      </c>
      <c r="C5" s="5" t="s">
        <v>17</v>
      </c>
      <c r="D5" s="5"/>
      <c r="E5" s="5" t="s">
        <v>402</v>
      </c>
      <c r="F5" s="5" t="s">
        <v>15</v>
      </c>
      <c r="G5" s="5" t="s">
        <v>17</v>
      </c>
      <c r="H5" s="5" t="s">
        <v>17</v>
      </c>
      <c r="I5" s="5" t="s">
        <v>17</v>
      </c>
      <c r="J5" s="5" t="s">
        <v>415</v>
      </c>
    </row>
    <row r="6" spans="1:10" x14ac:dyDescent="0.25" outlineLevel="1" collapsed="1">
      <c r="A6" s="9" t="s">
        <v>15</v>
      </c>
      <c r="B6" s="9" t="s">
        <v>56</v>
      </c>
      <c r="C6" s="9" t="s">
        <v>17</v>
      </c>
      <c r="D6" s="9"/>
      <c r="E6" s="9" t="s">
        <v>402</v>
      </c>
      <c r="F6" s="9" t="s">
        <v>21</v>
      </c>
      <c r="G6" s="9" t="s">
        <v>58</v>
      </c>
      <c r="H6" s="9" t="s">
        <v>17</v>
      </c>
      <c r="I6" s="9" t="s">
        <v>17</v>
      </c>
      <c r="J6" s="9" t="s">
        <v>404</v>
      </c>
    </row>
    <row r="7" spans="1:10" x14ac:dyDescent="0.25" outlineLevel="1" collapsed="1">
      <c r="A7" s="7" t="s">
        <v>15</v>
      </c>
      <c r="B7" s="8" t="s">
        <v>405</v>
      </c>
      <c r="C7" s="7" t="s">
        <v>17</v>
      </c>
      <c r="D7" s="7"/>
      <c r="E7" s="7" t="s">
        <v>406</v>
      </c>
      <c r="F7" s="7" t="s">
        <v>15</v>
      </c>
      <c r="G7" s="7" t="s">
        <v>17</v>
      </c>
      <c r="H7" s="7" t="s">
        <v>17</v>
      </c>
      <c r="I7" s="7" t="s">
        <v>17</v>
      </c>
      <c r="J7" s="7" t="s">
        <v>407</v>
      </c>
    </row>
    <row r="8" spans="1:10" x14ac:dyDescent="0.25" outlineLevel="2" collapsed="1">
      <c r="A8" s="9" t="s">
        <v>15</v>
      </c>
      <c r="B8" s="9" t="s">
        <v>56</v>
      </c>
      <c r="C8" s="9" t="s">
        <v>17</v>
      </c>
      <c r="D8" s="9"/>
      <c r="E8" s="9" t="s">
        <v>408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409</v>
      </c>
    </row>
    <row r="9" spans="1:10" x14ac:dyDescent="0.25" outlineLevel="2" collapsed="1">
      <c r="A9" s="9" t="s">
        <v>15</v>
      </c>
      <c r="B9" s="9" t="s">
        <v>169</v>
      </c>
      <c r="C9" s="9" t="s">
        <v>17</v>
      </c>
      <c r="D9" s="9"/>
      <c r="E9" s="9" t="s">
        <v>410</v>
      </c>
      <c r="F9" s="9" t="s">
        <v>21</v>
      </c>
      <c r="G9" s="9" t="b">
        <v>1</v>
      </c>
      <c r="H9" s="9" t="s">
        <v>17</v>
      </c>
      <c r="I9" s="9" t="s">
        <v>17</v>
      </c>
      <c r="J9" s="9" t="s">
        <v>411</v>
      </c>
    </row>
    <row r="10" spans="1:10" x14ac:dyDescent="0.25" outlineLevel="2" collapsed="1">
      <c r="A10" s="9" t="s">
        <v>15</v>
      </c>
      <c r="B10" s="9" t="s">
        <v>56</v>
      </c>
      <c r="C10" s="9" t="s">
        <v>17</v>
      </c>
      <c r="D10" s="9"/>
      <c r="E10" s="9" t="s">
        <v>412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413</v>
      </c>
    </row>
  </sheetData>
  <mergeCells count="3">
    <mergeCell ref="A1:J1"/>
    <mergeCell ref="B2:J2"/>
    <mergeCell ref="B3:J3"/>
  </mergeCells>
  <hyperlinks>
    <hyperlink ref="B5" r:id="rId1" location="#'Source'!A1"/>
    <hyperlink ref="B7" r:id="rId2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153</v>
      </c>
      <c r="D5" s="5"/>
      <c r="E5" s="5" t="s">
        <v>126</v>
      </c>
      <c r="F5" s="5" t="s">
        <v>21</v>
      </c>
      <c r="G5" s="5" t="s">
        <v>154</v>
      </c>
      <c r="H5" s="5" t="s">
        <v>17</v>
      </c>
      <c r="I5" s="5" t="s">
        <v>17</v>
      </c>
      <c r="J5" s="5" t="s">
        <v>155</v>
      </c>
    </row>
    <row r="6" spans="1:10" x14ac:dyDescent="0.25">
      <c r="A6" s="5" t="s">
        <v>21</v>
      </c>
      <c r="B6" s="5" t="s">
        <v>56</v>
      </c>
      <c r="C6" s="5" t="s">
        <v>17</v>
      </c>
      <c r="D6" s="5">
        <f>EXACT(G5,"Other (specify)")</f>
      </c>
      <c r="E6" s="5" t="s">
        <v>131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132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2 (enum)'!A4:A9</formula1>
    </dataValidation>
  </dataValidations>
  <hyperlinks>
    <hyperlink ref="C5" r:id="rId1" location="#'Treatment Technolog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1151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246</v>
      </c>
      <c r="F5" s="5" t="s">
        <v>21</v>
      </c>
      <c r="G5" s="5" t="s">
        <v>247</v>
      </c>
      <c r="H5" s="5" t="s">
        <v>17</v>
      </c>
      <c r="I5" s="5" t="s">
        <v>17</v>
      </c>
      <c r="J5" s="5" t="s">
        <v>245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248</v>
      </c>
      <c r="F6" s="5" t="s">
        <v>21</v>
      </c>
      <c r="G6" s="5" t="s">
        <v>249</v>
      </c>
      <c r="H6" s="5" t="s">
        <v>17</v>
      </c>
      <c r="I6" s="5" t="s">
        <v>17</v>
      </c>
      <c r="J6" s="5" t="s">
        <v>250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251</v>
      </c>
      <c r="F7" s="5" t="s">
        <v>21</v>
      </c>
      <c r="G7" s="5" t="s">
        <v>252</v>
      </c>
      <c r="H7" s="5" t="s">
        <v>17</v>
      </c>
      <c r="I7" s="5" t="s">
        <v>17</v>
      </c>
      <c r="J7" s="5" t="s">
        <v>253</v>
      </c>
    </row>
    <row r="8" spans="1:10" x14ac:dyDescent="0.25">
      <c r="A8" s="5" t="s">
        <v>21</v>
      </c>
      <c r="B8" s="5" t="s">
        <v>175</v>
      </c>
      <c r="C8" s="5" t="s">
        <v>17</v>
      </c>
      <c r="D8" s="5"/>
      <c r="E8" s="5" t="s">
        <v>254</v>
      </c>
      <c r="F8" s="5" t="s">
        <v>21</v>
      </c>
      <c r="G8" s="5" t="s">
        <v>255</v>
      </c>
      <c r="H8" s="5" t="s">
        <v>17</v>
      </c>
      <c r="I8" s="5" t="s">
        <v>17</v>
      </c>
      <c r="J8" s="5" t="s">
        <v>256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818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818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819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820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821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822</v>
      </c>
    </row>
    <row r="7" spans="1:10" x14ac:dyDescent="0.25">
      <c r="A7" s="5" t="s">
        <v>15</v>
      </c>
      <c r="B7" s="5" t="s">
        <v>89</v>
      </c>
      <c r="C7" s="5" t="s">
        <v>17</v>
      </c>
      <c r="D7" s="5"/>
      <c r="E7" s="5" t="s">
        <v>823</v>
      </c>
      <c r="F7" s="5" t="s">
        <v>21</v>
      </c>
      <c r="G7" s="5" t="s">
        <v>91</v>
      </c>
      <c r="H7" s="5" t="s">
        <v>17</v>
      </c>
      <c r="I7" s="5" t="s">
        <v>17</v>
      </c>
      <c r="J7" s="5" t="s">
        <v>824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89</v>
      </c>
      <c r="C5" s="5" t="s">
        <v>17</v>
      </c>
      <c r="D5" s="5"/>
      <c r="E5" s="5" t="s">
        <v>371</v>
      </c>
      <c r="F5" s="5" t="s">
        <v>21</v>
      </c>
      <c r="G5" s="5" t="s">
        <v>91</v>
      </c>
      <c r="H5" s="5" t="s">
        <v>17</v>
      </c>
      <c r="I5" s="5" t="s">
        <v>17</v>
      </c>
      <c r="J5" s="5" t="s">
        <v>372</v>
      </c>
    </row>
    <row r="6" spans="1:10" x14ac:dyDescent="0.25">
      <c r="A6" s="5" t="s">
        <v>15</v>
      </c>
      <c r="B6" s="5" t="s">
        <v>89</v>
      </c>
      <c r="C6" s="5" t="s">
        <v>17</v>
      </c>
      <c r="D6" s="5"/>
      <c r="E6" s="5" t="s">
        <v>373</v>
      </c>
      <c r="F6" s="5" t="s">
        <v>21</v>
      </c>
      <c r="G6" s="5" t="s">
        <v>91</v>
      </c>
      <c r="H6" s="5" t="s">
        <v>17</v>
      </c>
      <c r="I6" s="5" t="s">
        <v>17</v>
      </c>
      <c r="J6" s="5" t="s">
        <v>374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345</v>
      </c>
      <c r="D5" s="5"/>
      <c r="E5" s="5" t="s">
        <v>346</v>
      </c>
      <c r="F5" s="5" t="s">
        <v>21</v>
      </c>
      <c r="G5" s="5" t="s">
        <v>1152</v>
      </c>
      <c r="H5" s="5" t="s">
        <v>17</v>
      </c>
      <c r="I5" s="5" t="s">
        <v>17</v>
      </c>
      <c r="J5" s="5" t="s">
        <v>348</v>
      </c>
    </row>
    <row r="6" spans="1:10" x14ac:dyDescent="0.25">
      <c r="A6" s="5" t="s">
        <v>15</v>
      </c>
      <c r="B6" s="5" t="s">
        <v>79</v>
      </c>
      <c r="C6" s="5" t="s">
        <v>17</v>
      </c>
      <c r="D6" s="5"/>
      <c r="E6" s="5" t="s">
        <v>349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350</v>
      </c>
    </row>
    <row r="7" spans="1:10" x14ac:dyDescent="0.25">
      <c r="A7" s="5" t="s">
        <v>15</v>
      </c>
      <c r="B7" s="5" t="s">
        <v>79</v>
      </c>
      <c r="C7" s="5" t="s">
        <v>17</v>
      </c>
      <c r="D7" s="5"/>
      <c r="E7" s="5" t="s">
        <v>351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352</v>
      </c>
    </row>
    <row r="8" spans="1:10" x14ac:dyDescent="0.25">
      <c r="A8" s="5" t="s">
        <v>15</v>
      </c>
      <c r="B8" s="5" t="s">
        <v>79</v>
      </c>
      <c r="C8" s="5" t="s">
        <v>17</v>
      </c>
      <c r="D8" s="5"/>
      <c r="E8" s="5" t="s">
        <v>353</v>
      </c>
      <c r="F8" s="5" t="s">
        <v>21</v>
      </c>
      <c r="G8" s="5">
        <v>1</v>
      </c>
      <c r="H8" s="5" t="s">
        <v>17</v>
      </c>
      <c r="I8" s="5" t="s">
        <v>17</v>
      </c>
      <c r="J8" s="5" t="s">
        <v>354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322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323</v>
      </c>
    </row>
    <row r="6" spans="1:10" x14ac:dyDescent="0.25">
      <c r="A6" s="5" t="s">
        <v>15</v>
      </c>
      <c r="B6" s="6" t="s">
        <v>324</v>
      </c>
      <c r="C6" s="5" t="s">
        <v>17</v>
      </c>
      <c r="D6" s="5"/>
      <c r="E6" s="5" t="s">
        <v>325</v>
      </c>
      <c r="F6" s="5" t="s">
        <v>21</v>
      </c>
      <c r="G6" s="5" t="s">
        <v>17</v>
      </c>
      <c r="H6" s="5" t="s">
        <v>17</v>
      </c>
      <c r="I6" s="5" t="s">
        <v>17</v>
      </c>
      <c r="J6" s="5" t="s">
        <v>326</v>
      </c>
    </row>
    <row r="7" spans="1:10" x14ac:dyDescent="0.25" outlineLevel="1" collapsed="1">
      <c r="A7" s="9" t="s">
        <v>15</v>
      </c>
      <c r="B7" s="9" t="s">
        <v>56</v>
      </c>
      <c r="C7" s="9" t="s">
        <v>17</v>
      </c>
      <c r="D7" s="9"/>
      <c r="E7" s="9" t="s">
        <v>327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328</v>
      </c>
    </row>
    <row r="8" spans="1:10" x14ac:dyDescent="0.25" outlineLevel="1" collapsed="1">
      <c r="A8" s="9" t="s">
        <v>15</v>
      </c>
      <c r="B8" s="9" t="s">
        <v>56</v>
      </c>
      <c r="C8" s="9" t="s">
        <v>17</v>
      </c>
      <c r="D8" s="9"/>
      <c r="E8" s="9" t="s">
        <v>329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330</v>
      </c>
    </row>
    <row r="9" spans="1:10" x14ac:dyDescent="0.25" outlineLevel="1" collapsed="1">
      <c r="A9" s="9" t="s">
        <v>15</v>
      </c>
      <c r="B9" s="9" t="s">
        <v>56</v>
      </c>
      <c r="C9" s="9" t="s">
        <v>17</v>
      </c>
      <c r="D9" s="9"/>
      <c r="E9" s="9" t="s">
        <v>1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331</v>
      </c>
    </row>
    <row r="10" spans="1:10" x14ac:dyDescent="0.25" outlineLevel="1" collapsed="1">
      <c r="A10" s="9" t="s">
        <v>15</v>
      </c>
      <c r="B10" s="9" t="s">
        <v>56</v>
      </c>
      <c r="C10" s="9" t="s">
        <v>17</v>
      </c>
      <c r="D10" s="9"/>
      <c r="E10" s="9" t="s">
        <v>332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333</v>
      </c>
    </row>
    <row r="11" spans="1:10" x14ac:dyDescent="0.25" outlineLevel="1" collapsed="1">
      <c r="A11" s="9" t="s">
        <v>15</v>
      </c>
      <c r="B11" s="9" t="s">
        <v>56</v>
      </c>
      <c r="C11" s="9" t="s">
        <v>17</v>
      </c>
      <c r="D11" s="9"/>
      <c r="E11" s="9" t="s">
        <v>334</v>
      </c>
      <c r="F11" s="9" t="s">
        <v>21</v>
      </c>
      <c r="G11" s="9" t="s">
        <v>58</v>
      </c>
      <c r="H11" s="9" t="s">
        <v>17</v>
      </c>
      <c r="I11" s="9" t="s">
        <v>17</v>
      </c>
      <c r="J11" s="9" t="s">
        <v>335</v>
      </c>
    </row>
    <row r="12" spans="1:10" x14ac:dyDescent="0.25" outlineLevel="1" collapsed="1">
      <c r="A12" s="9" t="s">
        <v>15</v>
      </c>
      <c r="B12" s="9" t="s">
        <v>56</v>
      </c>
      <c r="C12" s="9" t="s">
        <v>17</v>
      </c>
      <c r="D12" s="9"/>
      <c r="E12" s="9" t="s">
        <v>336</v>
      </c>
      <c r="F12" s="9" t="s">
        <v>21</v>
      </c>
      <c r="G12" s="9" t="s">
        <v>58</v>
      </c>
      <c r="H12" s="9" t="s">
        <v>17</v>
      </c>
      <c r="I12" s="9" t="s">
        <v>17</v>
      </c>
      <c r="J12" s="9" t="s">
        <v>337</v>
      </c>
    </row>
    <row r="13" spans="1:10" x14ac:dyDescent="0.25" outlineLevel="1" collapsed="1">
      <c r="A13" s="9" t="s">
        <v>15</v>
      </c>
      <c r="B13" s="9" t="s">
        <v>56</v>
      </c>
      <c r="C13" s="9" t="s">
        <v>17</v>
      </c>
      <c r="D13" s="9"/>
      <c r="E13" s="9" t="s">
        <v>338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339</v>
      </c>
    </row>
    <row r="14" spans="1:10" x14ac:dyDescent="0.25" outlineLevel="1" collapsed="1">
      <c r="A14" s="9" t="s">
        <v>15</v>
      </c>
      <c r="B14" s="9" t="s">
        <v>56</v>
      </c>
      <c r="C14" s="9" t="s">
        <v>17</v>
      </c>
      <c r="D14" s="9"/>
      <c r="E14" s="9" t="s">
        <v>340</v>
      </c>
      <c r="F14" s="9" t="s">
        <v>21</v>
      </c>
      <c r="G14" s="9" t="s">
        <v>58</v>
      </c>
      <c r="H14" s="9" t="s">
        <v>17</v>
      </c>
      <c r="I14" s="9" t="s">
        <v>17</v>
      </c>
      <c r="J14" s="9" t="s">
        <v>341</v>
      </c>
    </row>
    <row r="15" spans="1:10" x14ac:dyDescent="0.25">
      <c r="A15" s="5" t="s">
        <v>15</v>
      </c>
      <c r="B15" s="6" t="s">
        <v>342</v>
      </c>
      <c r="C15" s="5" t="s">
        <v>17</v>
      </c>
      <c r="D15" s="5"/>
      <c r="E15" s="5" t="s">
        <v>343</v>
      </c>
      <c r="F15" s="5" t="s">
        <v>15</v>
      </c>
      <c r="G15" s="5" t="s">
        <v>17</v>
      </c>
      <c r="H15" s="5" t="s">
        <v>17</v>
      </c>
      <c r="I15" s="5" t="s">
        <v>17</v>
      </c>
      <c r="J15" s="5" t="s">
        <v>344</v>
      </c>
    </row>
    <row r="16" spans="1:10" x14ac:dyDescent="0.25" outlineLevel="1" collapsed="1">
      <c r="A16" s="9" t="s">
        <v>15</v>
      </c>
      <c r="B16" s="9" t="s">
        <v>26</v>
      </c>
      <c r="C16" s="9" t="s">
        <v>345</v>
      </c>
      <c r="D16" s="9"/>
      <c r="E16" s="9" t="s">
        <v>346</v>
      </c>
      <c r="F16" s="9" t="s">
        <v>21</v>
      </c>
      <c r="G16" s="9" t="s">
        <v>1154</v>
      </c>
      <c r="H16" s="9" t="s">
        <v>17</v>
      </c>
      <c r="I16" s="9" t="s">
        <v>17</v>
      </c>
      <c r="J16" s="9" t="s">
        <v>348</v>
      </c>
    </row>
    <row r="17" spans="1:10" x14ac:dyDescent="0.25" outlineLevel="1" collapsed="1">
      <c r="A17" s="9" t="s">
        <v>15</v>
      </c>
      <c r="B17" s="9" t="s">
        <v>79</v>
      </c>
      <c r="C17" s="9" t="s">
        <v>17</v>
      </c>
      <c r="D17" s="9"/>
      <c r="E17" s="9" t="s">
        <v>349</v>
      </c>
      <c r="F17" s="9" t="s">
        <v>21</v>
      </c>
      <c r="G17" s="9">
        <v>1</v>
      </c>
      <c r="H17" s="9" t="s">
        <v>17</v>
      </c>
      <c r="I17" s="9" t="s">
        <v>17</v>
      </c>
      <c r="J17" s="9" t="s">
        <v>350</v>
      </c>
    </row>
    <row r="18" spans="1:10" x14ac:dyDescent="0.25" outlineLevel="1" collapsed="1">
      <c r="A18" s="9" t="s">
        <v>15</v>
      </c>
      <c r="B18" s="9" t="s">
        <v>79</v>
      </c>
      <c r="C18" s="9" t="s">
        <v>17</v>
      </c>
      <c r="D18" s="9"/>
      <c r="E18" s="9" t="s">
        <v>351</v>
      </c>
      <c r="F18" s="9" t="s">
        <v>21</v>
      </c>
      <c r="G18" s="9">
        <v>1</v>
      </c>
      <c r="H18" s="9" t="s">
        <v>17</v>
      </c>
      <c r="I18" s="9" t="s">
        <v>17</v>
      </c>
      <c r="J18" s="9" t="s">
        <v>352</v>
      </c>
    </row>
    <row r="19" spans="1:10" x14ac:dyDescent="0.25" outlineLevel="1" collapsed="1">
      <c r="A19" s="9" t="s">
        <v>15</v>
      </c>
      <c r="B19" s="9" t="s">
        <v>79</v>
      </c>
      <c r="C19" s="9" t="s">
        <v>17</v>
      </c>
      <c r="D19" s="9"/>
      <c r="E19" s="9" t="s">
        <v>353</v>
      </c>
      <c r="F19" s="9" t="s">
        <v>21</v>
      </c>
      <c r="G19" s="9">
        <v>1</v>
      </c>
      <c r="H19" s="9" t="s">
        <v>17</v>
      </c>
      <c r="I19" s="9" t="s">
        <v>17</v>
      </c>
      <c r="J19" s="9" t="s">
        <v>354</v>
      </c>
    </row>
  </sheetData>
  <mergeCells count="3">
    <mergeCell ref="A1:J1"/>
    <mergeCell ref="B2:J2"/>
    <mergeCell ref="B3:J3"/>
  </mergeCells>
  <hyperlinks>
    <hyperlink ref="B6" r:id="rId1" location="#'Data and parameters fixed ex a'!A1"/>
    <hyperlink ref="B15" r:id="rId2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57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59</v>
      </c>
    </row>
    <row r="6" spans="1:10" x14ac:dyDescent="0.25">
      <c r="A6" s="5" t="s">
        <v>15</v>
      </c>
      <c r="B6" s="5" t="s">
        <v>60</v>
      </c>
      <c r="C6" s="5" t="s">
        <v>17</v>
      </c>
      <c r="D6" s="5"/>
      <c r="E6" s="5" t="s">
        <v>61</v>
      </c>
      <c r="F6" s="5" t="s">
        <v>21</v>
      </c>
      <c r="G6" s="5" t="s">
        <v>62</v>
      </c>
      <c r="H6" s="5" t="s">
        <v>17</v>
      </c>
      <c r="I6" s="5" t="s">
        <v>17</v>
      </c>
      <c r="J6" s="5" t="s">
        <v>63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64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65</v>
      </c>
    </row>
    <row r="8" spans="1:10" x14ac:dyDescent="0.25">
      <c r="A8" s="5" t="s">
        <v>15</v>
      </c>
      <c r="B8" s="5" t="s">
        <v>26</v>
      </c>
      <c r="C8" s="5" t="s">
        <v>66</v>
      </c>
      <c r="D8" s="5"/>
      <c r="E8" s="5" t="s">
        <v>67</v>
      </c>
      <c r="F8" s="5" t="s">
        <v>21</v>
      </c>
      <c r="G8" s="5" t="s">
        <v>1155</v>
      </c>
      <c r="H8" s="5" t="s">
        <v>17</v>
      </c>
      <c r="I8" s="5" t="s">
        <v>17</v>
      </c>
      <c r="J8" s="5" t="s">
        <v>69</v>
      </c>
    </row>
    <row r="9" spans="1:10" x14ac:dyDescent="0.25">
      <c r="A9" s="5" t="s">
        <v>21</v>
      </c>
      <c r="B9" s="5" t="s">
        <v>26</v>
      </c>
      <c r="C9" s="5" t="s">
        <v>66</v>
      </c>
      <c r="D9" s="5"/>
      <c r="E9" s="5" t="s">
        <v>70</v>
      </c>
      <c r="F9" s="5" t="s">
        <v>21</v>
      </c>
      <c r="G9" s="5" t="s">
        <v>1156</v>
      </c>
      <c r="H9" s="5" t="s">
        <v>17</v>
      </c>
      <c r="I9" s="5" t="s">
        <v>17</v>
      </c>
      <c r="J9" s="5" t="s">
        <v>72</v>
      </c>
    </row>
    <row r="10" spans="1:10" x14ac:dyDescent="0.25">
      <c r="A10" s="5" t="s">
        <v>21</v>
      </c>
      <c r="B10" s="5" t="s">
        <v>56</v>
      </c>
      <c r="C10" s="5" t="s">
        <v>17</v>
      </c>
      <c r="D10" s="5"/>
      <c r="E10" s="5" t="s">
        <v>73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74</v>
      </c>
    </row>
    <row r="11" spans="1:10" x14ac:dyDescent="0.25">
      <c r="A11" s="5" t="s">
        <v>21</v>
      </c>
      <c r="B11" s="5" t="s">
        <v>26</v>
      </c>
      <c r="C11" s="5" t="s">
        <v>75</v>
      </c>
      <c r="D11" s="5"/>
      <c r="E11" s="5" t="s">
        <v>76</v>
      </c>
      <c r="F11" s="5" t="s">
        <v>21</v>
      </c>
      <c r="G11" s="5" t="s">
        <v>1157</v>
      </c>
      <c r="H11" s="5" t="s">
        <v>17</v>
      </c>
      <c r="I11" s="5" t="s">
        <v>17</v>
      </c>
      <c r="J11" s="5" t="s">
        <v>78</v>
      </c>
    </row>
    <row r="12" spans="1:10" x14ac:dyDescent="0.25">
      <c r="A12" s="5" t="s">
        <v>15</v>
      </c>
      <c r="B12" s="5" t="s">
        <v>79</v>
      </c>
      <c r="C12" s="5" t="s">
        <v>17</v>
      </c>
      <c r="D12" s="5"/>
      <c r="E12" s="5" t="s">
        <v>80</v>
      </c>
      <c r="F12" s="5" t="s">
        <v>21</v>
      </c>
      <c r="G12" s="5">
        <v>1</v>
      </c>
      <c r="H12" s="5" t="s">
        <v>17</v>
      </c>
      <c r="I12" s="5" t="s">
        <v>17</v>
      </c>
      <c r="J12" s="5" t="s">
        <v>81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761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764</v>
      </c>
      <c r="D5" s="5"/>
      <c r="E5" s="5" t="s">
        <v>761</v>
      </c>
      <c r="F5" s="5" t="s">
        <v>15</v>
      </c>
      <c r="G5" s="5" t="s">
        <v>765</v>
      </c>
      <c r="H5" s="5" t="s">
        <v>17</v>
      </c>
      <c r="I5" s="5" t="s">
        <v>17</v>
      </c>
      <c r="J5" s="5" t="s">
        <v>763</v>
      </c>
    </row>
    <row r="6" spans="1:10" x14ac:dyDescent="0.25">
      <c r="A6" s="5" t="s">
        <v>15</v>
      </c>
      <c r="B6" s="5" t="s">
        <v>169</v>
      </c>
      <c r="C6" s="5" t="s">
        <v>17</v>
      </c>
      <c r="D6" s="5"/>
      <c r="E6" s="5" t="s">
        <v>766</v>
      </c>
      <c r="F6" s="5" t="s">
        <v>21</v>
      </c>
      <c r="G6" s="5" t="s">
        <v>15</v>
      </c>
      <c r="H6" s="5" t="s">
        <v>17</v>
      </c>
      <c r="I6" s="5" t="s">
        <v>17</v>
      </c>
      <c r="J6" s="5" t="s">
        <v>767</v>
      </c>
    </row>
    <row r="7" spans="1:10" x14ac:dyDescent="0.25">
      <c r="A7" s="5" t="s">
        <v>15</v>
      </c>
      <c r="B7" s="5" t="s">
        <v>89</v>
      </c>
      <c r="C7" s="5" t="s">
        <v>17</v>
      </c>
      <c r="D7" s="5"/>
      <c r="E7" s="5" t="s">
        <v>768</v>
      </c>
      <c r="F7" s="5" t="s">
        <v>21</v>
      </c>
      <c r="G7" s="5" t="s">
        <v>769</v>
      </c>
      <c r="H7" s="5" t="s">
        <v>17</v>
      </c>
      <c r="I7" s="5" t="s">
        <v>17</v>
      </c>
      <c r="J7" s="5" t="s">
        <v>770</v>
      </c>
    </row>
    <row r="8" spans="1:10" x14ac:dyDescent="0.25">
      <c r="A8" s="5" t="s">
        <v>15</v>
      </c>
      <c r="B8" s="5" t="s">
        <v>79</v>
      </c>
      <c r="C8" s="5" t="s">
        <v>17</v>
      </c>
      <c r="D8" s="5"/>
      <c r="E8" s="5" t="s">
        <v>771</v>
      </c>
      <c r="F8" s="5" t="s">
        <v>21</v>
      </c>
      <c r="G8" s="5">
        <v>320</v>
      </c>
      <c r="H8" s="5" t="s">
        <v>17</v>
      </c>
      <c r="I8" s="5" t="s">
        <v>17</v>
      </c>
      <c r="J8" s="5" t="s">
        <v>772</v>
      </c>
    </row>
    <row r="9" spans="1:10" x14ac:dyDescent="0.25">
      <c r="A9" s="5" t="s">
        <v>15</v>
      </c>
      <c r="B9" s="5" t="s">
        <v>79</v>
      </c>
      <c r="C9" s="5" t="s">
        <v>17</v>
      </c>
      <c r="D9" s="5"/>
      <c r="E9" s="5" t="s">
        <v>773</v>
      </c>
      <c r="F9" s="5" t="s">
        <v>21</v>
      </c>
      <c r="G9" s="5">
        <v>30</v>
      </c>
      <c r="H9" s="5" t="s">
        <v>17</v>
      </c>
      <c r="I9" s="5" t="s">
        <v>17</v>
      </c>
      <c r="J9" s="5" t="s">
        <v>774</v>
      </c>
    </row>
    <row r="10" spans="1:10" x14ac:dyDescent="0.25">
      <c r="A10" s="5" t="s">
        <v>15</v>
      </c>
      <c r="B10" s="5" t="s">
        <v>56</v>
      </c>
      <c r="C10" s="5" t="s">
        <v>17</v>
      </c>
      <c r="D10" s="5"/>
      <c r="E10" s="5" t="s">
        <v>775</v>
      </c>
      <c r="F10" s="5" t="s">
        <v>21</v>
      </c>
      <c r="G10" s="5" t="s">
        <v>776</v>
      </c>
      <c r="H10" s="5" t="s">
        <v>17</v>
      </c>
      <c r="I10" s="5" t="s">
        <v>17</v>
      </c>
      <c r="J10" s="5" t="s">
        <v>777</v>
      </c>
    </row>
  </sheetData>
  <mergeCells count="3">
    <mergeCell ref="A1:J1"/>
    <mergeCell ref="B2:J2"/>
    <mergeCell ref="B3:J3"/>
  </mergeCells>
  <hyperlinks>
    <hyperlink ref="C5" r:id="rId1" location="#'Means of Verificatio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112</v>
      </c>
      <c r="D5" s="5"/>
      <c r="E5" s="5" t="s">
        <v>113</v>
      </c>
      <c r="F5" s="5" t="s">
        <v>21</v>
      </c>
      <c r="G5" s="5" t="s">
        <v>114</v>
      </c>
      <c r="H5" s="5" t="s">
        <v>17</v>
      </c>
      <c r="I5" s="5" t="s">
        <v>17</v>
      </c>
      <c r="J5" s="5" t="s">
        <v>115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116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117</v>
      </c>
    </row>
  </sheetData>
  <mergeCells count="3">
    <mergeCell ref="A1:J1"/>
    <mergeCell ref="B2:J2"/>
    <mergeCell ref="B3:J3"/>
  </mergeCells>
  <dataValidations count="1">
    <dataValidation type="list" allowBlank="1" sqref="G5:I5">
      <formula1>'Select the SDG (enum)'!A4:A20</formula1>
    </dataValidation>
  </dataValidations>
  <hyperlinks>
    <hyperlink ref="C5" r:id="rId1" location="#'Select the SDG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1158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89</v>
      </c>
      <c r="C5" s="5" t="s">
        <v>17</v>
      </c>
      <c r="D5" s="5"/>
      <c r="E5" s="5" t="s">
        <v>367</v>
      </c>
      <c r="F5" s="5" t="s">
        <v>21</v>
      </c>
      <c r="G5" s="5" t="s">
        <v>91</v>
      </c>
      <c r="H5" s="5" t="s">
        <v>17</v>
      </c>
      <c r="I5" s="5" t="s">
        <v>17</v>
      </c>
      <c r="J5" s="5" t="s">
        <v>92</v>
      </c>
    </row>
    <row r="6" spans="1:10" x14ac:dyDescent="0.25">
      <c r="A6" s="5" t="s">
        <v>15</v>
      </c>
      <c r="B6" s="6" t="s">
        <v>368</v>
      </c>
      <c r="C6" s="5" t="s">
        <v>17</v>
      </c>
      <c r="D6" s="5"/>
      <c r="E6" s="5" t="s">
        <v>369</v>
      </c>
      <c r="F6" s="5" t="s">
        <v>21</v>
      </c>
      <c r="G6" s="5" t="s">
        <v>17</v>
      </c>
      <c r="H6" s="5" t="s">
        <v>17</v>
      </c>
      <c r="I6" s="5" t="s">
        <v>17</v>
      </c>
      <c r="J6" s="5" t="s">
        <v>370</v>
      </c>
    </row>
    <row r="7" spans="1:10" x14ac:dyDescent="0.25" outlineLevel="1" collapsed="1">
      <c r="A7" s="9" t="s">
        <v>15</v>
      </c>
      <c r="B7" s="9" t="s">
        <v>89</v>
      </c>
      <c r="C7" s="9" t="s">
        <v>17</v>
      </c>
      <c r="D7" s="9"/>
      <c r="E7" s="9" t="s">
        <v>371</v>
      </c>
      <c r="F7" s="9" t="s">
        <v>21</v>
      </c>
      <c r="G7" s="9" t="s">
        <v>91</v>
      </c>
      <c r="H7" s="9" t="s">
        <v>17</v>
      </c>
      <c r="I7" s="9" t="s">
        <v>17</v>
      </c>
      <c r="J7" s="9" t="s">
        <v>372</v>
      </c>
    </row>
    <row r="8" spans="1:10" x14ac:dyDescent="0.25" outlineLevel="1" collapsed="1">
      <c r="A8" s="9" t="s">
        <v>15</v>
      </c>
      <c r="B8" s="9" t="s">
        <v>89</v>
      </c>
      <c r="C8" s="9" t="s">
        <v>17</v>
      </c>
      <c r="D8" s="9"/>
      <c r="E8" s="9" t="s">
        <v>373</v>
      </c>
      <c r="F8" s="9" t="s">
        <v>21</v>
      </c>
      <c r="G8" s="9" t="s">
        <v>91</v>
      </c>
      <c r="H8" s="9" t="s">
        <v>17</v>
      </c>
      <c r="I8" s="9" t="s">
        <v>17</v>
      </c>
      <c r="J8" s="9" t="s">
        <v>374</v>
      </c>
    </row>
    <row r="9" spans="1:10" x14ac:dyDescent="0.25">
      <c r="A9" s="5" t="s">
        <v>21</v>
      </c>
      <c r="B9" s="5" t="s">
        <v>56</v>
      </c>
      <c r="C9" s="5" t="s">
        <v>17</v>
      </c>
      <c r="D9" s="5" t="s">
        <v>375</v>
      </c>
      <c r="E9" s="5" t="s">
        <v>376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377</v>
      </c>
    </row>
    <row r="10" spans="1:10" x14ac:dyDescent="0.25">
      <c r="A10" s="5" t="s">
        <v>15</v>
      </c>
      <c r="B10" s="5" t="s">
        <v>23</v>
      </c>
      <c r="C10" s="6" t="s">
        <v>378</v>
      </c>
      <c r="D10" s="5"/>
      <c r="E10" s="5" t="s">
        <v>379</v>
      </c>
      <c r="F10" s="5" t="s">
        <v>21</v>
      </c>
      <c r="G10" s="5" t="s">
        <v>380</v>
      </c>
      <c r="H10" s="5" t="s">
        <v>17</v>
      </c>
      <c r="I10" s="5" t="s">
        <v>17</v>
      </c>
      <c r="J10" s="5" t="s">
        <v>381</v>
      </c>
    </row>
  </sheetData>
  <mergeCells count="3">
    <mergeCell ref="A1:J1"/>
    <mergeCell ref="B2:J2"/>
    <mergeCell ref="B3:J3"/>
  </mergeCells>
  <dataValidations count="1">
    <dataValidation type="list" allowBlank="1" sqref="G10:I10">
      <formula1>'Type of crediting Pe 2 (enum)'!A4:A5</formula1>
    </dataValidation>
  </dataValidations>
  <hyperlinks>
    <hyperlink ref="B6" r:id="rId1" location="#'Project Crediting Period 2'!A1"/>
    <hyperlink ref="C10" r:id="rId2" location="#'Type of crediting Pe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267</v>
      </c>
      <c r="C5" s="5" t="s">
        <v>17</v>
      </c>
      <c r="D5" s="5"/>
      <c r="E5" s="5" t="s">
        <v>269</v>
      </c>
      <c r="F5" s="5" t="s">
        <v>15</v>
      </c>
      <c r="G5" s="5" t="s">
        <v>17</v>
      </c>
      <c r="H5" s="5" t="s">
        <v>17</v>
      </c>
      <c r="I5" s="5" t="s">
        <v>17</v>
      </c>
      <c r="J5" s="5" t="s">
        <v>270</v>
      </c>
    </row>
    <row r="6" spans="1:10" x14ac:dyDescent="0.25" outlineLevel="1" collapsed="1">
      <c r="A6" s="9" t="s">
        <v>15</v>
      </c>
      <c r="B6" s="9" t="s">
        <v>43</v>
      </c>
      <c r="C6" s="9" t="s">
        <v>17</v>
      </c>
      <c r="D6" s="9"/>
      <c r="E6" s="9" t="s">
        <v>271</v>
      </c>
      <c r="F6" s="9" t="s">
        <v>21</v>
      </c>
      <c r="G6" s="9" t="s">
        <v>17</v>
      </c>
      <c r="H6" s="9" t="s">
        <v>17</v>
      </c>
      <c r="I6" s="9" t="s">
        <v>17</v>
      </c>
      <c r="J6" s="9" t="s">
        <v>272</v>
      </c>
    </row>
    <row r="7" spans="1:10" x14ac:dyDescent="0.25" outlineLevel="1" collapsed="1">
      <c r="A7" s="9" t="s">
        <v>15</v>
      </c>
      <c r="B7" s="9" t="s">
        <v>26</v>
      </c>
      <c r="C7" s="9" t="s">
        <v>273</v>
      </c>
      <c r="D7" s="9"/>
      <c r="E7" s="9" t="s">
        <v>274</v>
      </c>
      <c r="F7" s="9" t="s">
        <v>21</v>
      </c>
      <c r="G7" s="9" t="s">
        <v>1160</v>
      </c>
      <c r="H7" s="9" t="s">
        <v>17</v>
      </c>
      <c r="I7" s="9" t="s">
        <v>17</v>
      </c>
      <c r="J7" s="9" t="s">
        <v>276</v>
      </c>
    </row>
    <row r="8" spans="1:10" x14ac:dyDescent="0.25" outlineLevel="1" collapsed="1">
      <c r="A8" s="9" t="s">
        <v>15</v>
      </c>
      <c r="B8" s="9" t="s">
        <v>26</v>
      </c>
      <c r="C8" s="9" t="s">
        <v>273</v>
      </c>
      <c r="D8" s="9"/>
      <c r="E8" s="9" t="s">
        <v>277</v>
      </c>
      <c r="F8" s="9" t="s">
        <v>21</v>
      </c>
      <c r="G8" s="9" t="s">
        <v>1161</v>
      </c>
      <c r="H8" s="9" t="s">
        <v>17</v>
      </c>
      <c r="I8" s="9" t="s">
        <v>17</v>
      </c>
      <c r="J8" s="9" t="s">
        <v>279</v>
      </c>
    </row>
    <row r="9" spans="1:10" x14ac:dyDescent="0.25" outlineLevel="1" collapsed="1">
      <c r="A9" s="7" t="s">
        <v>15</v>
      </c>
      <c r="B9" s="8" t="s">
        <v>280</v>
      </c>
      <c r="C9" s="7" t="s">
        <v>17</v>
      </c>
      <c r="D9" s="7"/>
      <c r="E9" s="7" t="s">
        <v>280</v>
      </c>
      <c r="F9" s="7" t="s">
        <v>15</v>
      </c>
      <c r="G9" s="7" t="s">
        <v>17</v>
      </c>
      <c r="H9" s="7" t="s">
        <v>17</v>
      </c>
      <c r="I9" s="7" t="s">
        <v>17</v>
      </c>
      <c r="J9" s="7" t="s">
        <v>281</v>
      </c>
    </row>
    <row r="10" spans="1:10" x14ac:dyDescent="0.25" outlineLevel="2" collapsed="1">
      <c r="A10" s="9" t="s">
        <v>15</v>
      </c>
      <c r="B10" s="9" t="s">
        <v>56</v>
      </c>
      <c r="C10" s="9" t="s">
        <v>17</v>
      </c>
      <c r="D10" s="9"/>
      <c r="E10" s="9" t="s">
        <v>282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283</v>
      </c>
    </row>
    <row r="11" spans="1:10" x14ac:dyDescent="0.25" outlineLevel="2" collapsed="1">
      <c r="A11" s="9" t="s">
        <v>15</v>
      </c>
      <c r="B11" s="9" t="s">
        <v>26</v>
      </c>
      <c r="C11" s="9" t="s">
        <v>284</v>
      </c>
      <c r="D11" s="9"/>
      <c r="E11" s="9" t="s">
        <v>285</v>
      </c>
      <c r="F11" s="9" t="s">
        <v>21</v>
      </c>
      <c r="G11" s="9" t="s">
        <v>1162</v>
      </c>
      <c r="H11" s="9" t="s">
        <v>17</v>
      </c>
      <c r="I11" s="9" t="s">
        <v>17</v>
      </c>
      <c r="J11" s="9" t="s">
        <v>287</v>
      </c>
    </row>
    <row r="12" spans="1:10" x14ac:dyDescent="0.25">
      <c r="A12" s="5" t="s">
        <v>15</v>
      </c>
      <c r="B12" s="5" t="s">
        <v>175</v>
      </c>
      <c r="C12" s="5" t="s">
        <v>17</v>
      </c>
      <c r="D12" s="5"/>
      <c r="E12" s="5" t="s">
        <v>288</v>
      </c>
      <c r="F12" s="5" t="s">
        <v>21</v>
      </c>
      <c r="G12" s="5" t="s">
        <v>1163</v>
      </c>
      <c r="H12" s="5" t="s">
        <v>17</v>
      </c>
      <c r="I12" s="5" t="s">
        <v>17</v>
      </c>
      <c r="J12" s="5" t="s">
        <v>290</v>
      </c>
    </row>
  </sheetData>
  <mergeCells count="3">
    <mergeCell ref="A1:J1"/>
    <mergeCell ref="B2:J2"/>
    <mergeCell ref="B3:J3"/>
  </mergeCells>
  <hyperlinks>
    <hyperlink ref="B5" r:id="rId1" location="#'Baseline Water Sources'!A1"/>
    <hyperlink ref="B9" r:id="rId2" location="#'Water Source Type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169</v>
      </c>
      <c r="C5" s="5" t="s">
        <v>17</v>
      </c>
      <c r="D5" s="5"/>
      <c r="E5" s="5" t="s">
        <v>182</v>
      </c>
      <c r="F5" s="5" t="s">
        <v>21</v>
      </c>
      <c r="G5" s="5" t="b">
        <v>1</v>
      </c>
      <c r="H5" s="5" t="s">
        <v>17</v>
      </c>
      <c r="I5" s="5" t="s">
        <v>17</v>
      </c>
      <c r="J5" s="5" t="s">
        <v>183</v>
      </c>
    </row>
    <row r="6" spans="1:10" x14ac:dyDescent="0.25">
      <c r="A6" s="5" t="s">
        <v>21</v>
      </c>
      <c r="B6" s="5" t="s">
        <v>89</v>
      </c>
      <c r="C6" s="5" t="s">
        <v>17</v>
      </c>
      <c r="D6" s="5">
        <f>EXACT(G5,true)</f>
      </c>
      <c r="E6" s="5" t="s">
        <v>184</v>
      </c>
      <c r="F6" s="5" t="s">
        <v>21</v>
      </c>
      <c r="G6" s="5" t="s">
        <v>91</v>
      </c>
      <c r="H6" s="5" t="s">
        <v>17</v>
      </c>
      <c r="I6" s="5" t="s">
        <v>17</v>
      </c>
      <c r="J6" s="5" t="s">
        <v>185</v>
      </c>
    </row>
    <row r="7" spans="1:10" x14ac:dyDescent="0.25">
      <c r="A7" s="5" t="s">
        <v>21</v>
      </c>
      <c r="B7" s="5" t="s">
        <v>26</v>
      </c>
      <c r="C7" s="5" t="s">
        <v>186</v>
      </c>
      <c r="D7" s="5">
        <f>EXACT(G5,true)</f>
      </c>
      <c r="E7" s="5" t="s">
        <v>187</v>
      </c>
      <c r="F7" s="5" t="s">
        <v>21</v>
      </c>
      <c r="G7" s="5" t="s">
        <v>1165</v>
      </c>
      <c r="H7" s="5" t="s">
        <v>17</v>
      </c>
      <c r="I7" s="5" t="s">
        <v>17</v>
      </c>
      <c r="J7" s="5" t="s">
        <v>189</v>
      </c>
    </row>
    <row r="8" spans="1:10" x14ac:dyDescent="0.25">
      <c r="A8" s="5" t="s">
        <v>21</v>
      </c>
      <c r="B8" s="5" t="s">
        <v>89</v>
      </c>
      <c r="C8" s="5" t="s">
        <v>17</v>
      </c>
      <c r="D8" s="5">
        <f>EXACT(G5,true)</f>
      </c>
      <c r="E8" s="5" t="s">
        <v>190</v>
      </c>
      <c r="F8" s="5" t="s">
        <v>21</v>
      </c>
      <c r="G8" s="5" t="s">
        <v>91</v>
      </c>
      <c r="H8" s="5" t="s">
        <v>17</v>
      </c>
      <c r="I8" s="5" t="s">
        <v>17</v>
      </c>
      <c r="J8" s="5" t="s">
        <v>191</v>
      </c>
    </row>
    <row r="9" spans="1:10" x14ac:dyDescent="0.25">
      <c r="A9" s="5" t="s">
        <v>21</v>
      </c>
      <c r="B9" s="5" t="s">
        <v>175</v>
      </c>
      <c r="C9" s="5" t="s">
        <v>17</v>
      </c>
      <c r="D9" s="5">
        <f>EXACT(G5,true)</f>
      </c>
      <c r="E9" s="5" t="s">
        <v>192</v>
      </c>
      <c r="F9" s="5" t="s">
        <v>21</v>
      </c>
      <c r="G9" s="5" t="s">
        <v>1166</v>
      </c>
      <c r="H9" s="5" t="s">
        <v>17</v>
      </c>
      <c r="I9" s="5" t="s">
        <v>17</v>
      </c>
      <c r="J9" s="5" t="s">
        <v>194</v>
      </c>
    </row>
    <row r="10" spans="1:10" x14ac:dyDescent="0.25">
      <c r="A10" s="5" t="s">
        <v>21</v>
      </c>
      <c r="B10" s="5" t="s">
        <v>175</v>
      </c>
      <c r="C10" s="5" t="s">
        <v>17</v>
      </c>
      <c r="D10" s="5">
        <f>EXACT(G5,true)</f>
      </c>
      <c r="E10" s="5" t="s">
        <v>195</v>
      </c>
      <c r="F10" s="5" t="s">
        <v>21</v>
      </c>
      <c r="G10" s="5" t="s">
        <v>1167</v>
      </c>
      <c r="H10" s="5" t="s">
        <v>17</v>
      </c>
      <c r="I10" s="5" t="s">
        <v>17</v>
      </c>
      <c r="J10" s="5" t="s">
        <v>197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571</v>
      </c>
      <c r="C5" s="5" t="s">
        <v>17</v>
      </c>
      <c r="D5" s="5"/>
      <c r="E5" s="5" t="s">
        <v>660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661</v>
      </c>
    </row>
    <row r="6" spans="1:10" x14ac:dyDescent="0.25" outlineLevel="1" collapsed="1">
      <c r="A6" s="9" t="s">
        <v>15</v>
      </c>
      <c r="B6" s="9" t="s">
        <v>23</v>
      </c>
      <c r="C6" s="10" t="s">
        <v>574</v>
      </c>
      <c r="D6" s="9"/>
      <c r="E6" s="9" t="s">
        <v>575</v>
      </c>
      <c r="F6" s="9" t="s">
        <v>21</v>
      </c>
      <c r="G6" s="9" t="s">
        <v>15</v>
      </c>
      <c r="H6" s="9" t="s">
        <v>17</v>
      </c>
      <c r="I6" s="9" t="s">
        <v>17</v>
      </c>
      <c r="J6" s="9" t="s">
        <v>576</v>
      </c>
    </row>
    <row r="7" spans="1:10" x14ac:dyDescent="0.25" outlineLevel="1" collapsed="1">
      <c r="A7" s="9" t="s">
        <v>21</v>
      </c>
      <c r="B7" s="9" t="s">
        <v>56</v>
      </c>
      <c r="C7" s="9" t="s">
        <v>17</v>
      </c>
      <c r="D7" s="9"/>
      <c r="E7" s="9" t="s">
        <v>577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578</v>
      </c>
    </row>
    <row r="8" spans="1:10" x14ac:dyDescent="0.25">
      <c r="A8" s="5" t="s">
        <v>15</v>
      </c>
      <c r="B8" s="6" t="s">
        <v>571</v>
      </c>
      <c r="C8" s="5" t="s">
        <v>17</v>
      </c>
      <c r="D8" s="5"/>
      <c r="E8" s="5" t="s">
        <v>662</v>
      </c>
      <c r="F8" s="5" t="s">
        <v>21</v>
      </c>
      <c r="G8" s="5" t="s">
        <v>17</v>
      </c>
      <c r="H8" s="5" t="s">
        <v>17</v>
      </c>
      <c r="I8" s="5" t="s">
        <v>17</v>
      </c>
      <c r="J8" s="5" t="s">
        <v>663</v>
      </c>
    </row>
    <row r="9" spans="1:10" x14ac:dyDescent="0.25" outlineLevel="1" collapsed="1">
      <c r="A9" s="9" t="s">
        <v>15</v>
      </c>
      <c r="B9" s="9" t="s">
        <v>23</v>
      </c>
      <c r="C9" s="10" t="s">
        <v>574</v>
      </c>
      <c r="D9" s="9"/>
      <c r="E9" s="9" t="s">
        <v>575</v>
      </c>
      <c r="F9" s="9" t="s">
        <v>21</v>
      </c>
      <c r="G9" s="9" t="s">
        <v>15</v>
      </c>
      <c r="H9" s="9" t="s">
        <v>17</v>
      </c>
      <c r="I9" s="9" t="s">
        <v>17</v>
      </c>
      <c r="J9" s="9" t="s">
        <v>576</v>
      </c>
    </row>
    <row r="10" spans="1:10" x14ac:dyDescent="0.25" outlineLevel="1" collapsed="1">
      <c r="A10" s="9" t="s">
        <v>21</v>
      </c>
      <c r="B10" s="9" t="s">
        <v>56</v>
      </c>
      <c r="C10" s="9" t="s">
        <v>17</v>
      </c>
      <c r="D10" s="9"/>
      <c r="E10" s="9" t="s">
        <v>577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578</v>
      </c>
    </row>
    <row r="11" spans="1:10" x14ac:dyDescent="0.25">
      <c r="A11" s="5" t="s">
        <v>15</v>
      </c>
      <c r="B11" s="6" t="s">
        <v>571</v>
      </c>
      <c r="C11" s="5" t="s">
        <v>17</v>
      </c>
      <c r="D11" s="5"/>
      <c r="E11" s="5" t="s">
        <v>664</v>
      </c>
      <c r="F11" s="5" t="s">
        <v>21</v>
      </c>
      <c r="G11" s="5" t="s">
        <v>17</v>
      </c>
      <c r="H11" s="5" t="s">
        <v>17</v>
      </c>
      <c r="I11" s="5" t="s">
        <v>17</v>
      </c>
      <c r="J11" s="5" t="s">
        <v>665</v>
      </c>
    </row>
    <row r="12" spans="1:10" x14ac:dyDescent="0.25" outlineLevel="1" collapsed="1">
      <c r="A12" s="9" t="s">
        <v>15</v>
      </c>
      <c r="B12" s="9" t="s">
        <v>23</v>
      </c>
      <c r="C12" s="10" t="s">
        <v>574</v>
      </c>
      <c r="D12" s="9"/>
      <c r="E12" s="9" t="s">
        <v>575</v>
      </c>
      <c r="F12" s="9" t="s">
        <v>21</v>
      </c>
      <c r="G12" s="9" t="s">
        <v>15</v>
      </c>
      <c r="H12" s="9" t="s">
        <v>17</v>
      </c>
      <c r="I12" s="9" t="s">
        <v>17</v>
      </c>
      <c r="J12" s="9" t="s">
        <v>576</v>
      </c>
    </row>
    <row r="13" spans="1:10" x14ac:dyDescent="0.25" outlineLevel="1" collapsed="1">
      <c r="A13" s="9" t="s">
        <v>21</v>
      </c>
      <c r="B13" s="9" t="s">
        <v>56</v>
      </c>
      <c r="C13" s="9" t="s">
        <v>17</v>
      </c>
      <c r="D13" s="9"/>
      <c r="E13" s="9" t="s">
        <v>577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578</v>
      </c>
    </row>
    <row r="14" spans="1:10" x14ac:dyDescent="0.25">
      <c r="A14" s="5" t="s">
        <v>15</v>
      </c>
      <c r="B14" s="6" t="s">
        <v>571</v>
      </c>
      <c r="C14" s="5" t="s">
        <v>17</v>
      </c>
      <c r="D14" s="5"/>
      <c r="E14" s="5" t="s">
        <v>666</v>
      </c>
      <c r="F14" s="5" t="s">
        <v>21</v>
      </c>
      <c r="G14" s="5" t="s">
        <v>17</v>
      </c>
      <c r="H14" s="5" t="s">
        <v>17</v>
      </c>
      <c r="I14" s="5" t="s">
        <v>17</v>
      </c>
      <c r="J14" s="5" t="s">
        <v>667</v>
      </c>
    </row>
    <row r="15" spans="1:10" x14ac:dyDescent="0.25" outlineLevel="1" collapsed="1">
      <c r="A15" s="9" t="s">
        <v>15</v>
      </c>
      <c r="B15" s="9" t="s">
        <v>23</v>
      </c>
      <c r="C15" s="10" t="s">
        <v>574</v>
      </c>
      <c r="D15" s="9"/>
      <c r="E15" s="9" t="s">
        <v>575</v>
      </c>
      <c r="F15" s="9" t="s">
        <v>21</v>
      </c>
      <c r="G15" s="9" t="s">
        <v>15</v>
      </c>
      <c r="H15" s="9" t="s">
        <v>17</v>
      </c>
      <c r="I15" s="9" t="s">
        <v>17</v>
      </c>
      <c r="J15" s="9" t="s">
        <v>576</v>
      </c>
    </row>
    <row r="16" spans="1:10" x14ac:dyDescent="0.25" outlineLevel="1" collapsed="1">
      <c r="A16" s="9" t="s">
        <v>21</v>
      </c>
      <c r="B16" s="9" t="s">
        <v>56</v>
      </c>
      <c r="C16" s="9" t="s">
        <v>17</v>
      </c>
      <c r="D16" s="9"/>
      <c r="E16" s="9" t="s">
        <v>577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578</v>
      </c>
    </row>
  </sheetData>
  <mergeCells count="3">
    <mergeCell ref="A1:J1"/>
    <mergeCell ref="B2:J2"/>
    <mergeCell ref="B3:J3"/>
  </mergeCells>
  <dataValidations count="4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487</v>
      </c>
      <c r="D5" s="5"/>
      <c r="E5" s="5" t="s">
        <v>57</v>
      </c>
      <c r="F5" s="5" t="s">
        <v>21</v>
      </c>
      <c r="G5" s="5" t="s">
        <v>1168</v>
      </c>
      <c r="H5" s="5" t="s">
        <v>17</v>
      </c>
      <c r="I5" s="5" t="s">
        <v>17</v>
      </c>
      <c r="J5" s="5" t="s">
        <v>489</v>
      </c>
    </row>
    <row r="6" spans="1:10" x14ac:dyDescent="0.25">
      <c r="A6" s="5" t="s">
        <v>15</v>
      </c>
      <c r="B6" s="5" t="s">
        <v>23</v>
      </c>
      <c r="C6" s="6" t="s">
        <v>715</v>
      </c>
      <c r="D6" s="5"/>
      <c r="E6" s="5" t="s">
        <v>716</v>
      </c>
      <c r="F6" s="5" t="s">
        <v>21</v>
      </c>
      <c r="G6" s="5" t="s">
        <v>717</v>
      </c>
      <c r="H6" s="5" t="s">
        <v>17</v>
      </c>
      <c r="I6" s="5" t="s">
        <v>17</v>
      </c>
      <c r="J6" s="5" t="s">
        <v>718</v>
      </c>
    </row>
    <row r="7" spans="1:10" x14ac:dyDescent="0.25">
      <c r="A7" s="5" t="s">
        <v>15</v>
      </c>
      <c r="B7" s="5" t="s">
        <v>26</v>
      </c>
      <c r="C7" s="5" t="s">
        <v>501</v>
      </c>
      <c r="D7" s="5"/>
      <c r="E7" s="5" t="s">
        <v>719</v>
      </c>
      <c r="F7" s="5" t="s">
        <v>21</v>
      </c>
      <c r="G7" s="5" t="s">
        <v>1169</v>
      </c>
      <c r="H7" s="5" t="s">
        <v>17</v>
      </c>
      <c r="I7" s="5" t="s">
        <v>17</v>
      </c>
      <c r="J7" s="5" t="s">
        <v>721</v>
      </c>
    </row>
    <row r="8" spans="1:10" x14ac:dyDescent="0.25">
      <c r="A8" s="5" t="s">
        <v>15</v>
      </c>
      <c r="B8" s="5" t="s">
        <v>26</v>
      </c>
      <c r="C8" s="5" t="s">
        <v>75</v>
      </c>
      <c r="D8" s="5"/>
      <c r="E8" s="5" t="s">
        <v>76</v>
      </c>
      <c r="F8" s="5" t="s">
        <v>21</v>
      </c>
      <c r="G8" s="5" t="s">
        <v>1170</v>
      </c>
      <c r="H8" s="5" t="s">
        <v>17</v>
      </c>
      <c r="I8" s="5" t="s">
        <v>17</v>
      </c>
      <c r="J8" s="5" t="s">
        <v>78</v>
      </c>
    </row>
  </sheetData>
  <mergeCells count="3">
    <mergeCell ref="A1:J1"/>
    <mergeCell ref="B2:J2"/>
    <mergeCell ref="B3:J3"/>
  </mergeCells>
  <dataValidations count="1">
    <dataValidation type="list" allowBlank="1" sqref="G6:I6">
      <formula1>'Entity Type (enum)'!A4:A8</formula1>
    </dataValidation>
  </dataValidations>
  <hyperlinks>
    <hyperlink ref="C6" r:id="rId1" location="#'Entity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778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79</v>
      </c>
      <c r="C5" s="5" t="s">
        <v>17</v>
      </c>
      <c r="D5" s="5"/>
      <c r="E5" s="5" t="s">
        <v>781</v>
      </c>
      <c r="F5" s="5" t="s">
        <v>21</v>
      </c>
      <c r="G5" s="5">
        <v>0.85</v>
      </c>
      <c r="H5" s="5" t="s">
        <v>17</v>
      </c>
      <c r="I5" s="5" t="s">
        <v>17</v>
      </c>
      <c r="J5" s="5" t="s">
        <v>782</v>
      </c>
    </row>
    <row r="6" spans="1:10" x14ac:dyDescent="0.25">
      <c r="A6" s="5" t="s">
        <v>15</v>
      </c>
      <c r="B6" s="5" t="s">
        <v>79</v>
      </c>
      <c r="C6" s="5" t="s">
        <v>17</v>
      </c>
      <c r="D6" s="5"/>
      <c r="E6" s="5" t="s">
        <v>783</v>
      </c>
      <c r="F6" s="5" t="s">
        <v>21</v>
      </c>
      <c r="G6" s="5">
        <v>0.82</v>
      </c>
      <c r="H6" s="5" t="s">
        <v>17</v>
      </c>
      <c r="I6" s="5" t="s">
        <v>17</v>
      </c>
      <c r="J6" s="5" t="s">
        <v>784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785</v>
      </c>
      <c r="F7" s="5" t="s">
        <v>21</v>
      </c>
      <c r="G7" s="5" t="s">
        <v>786</v>
      </c>
      <c r="H7" s="5" t="s">
        <v>17</v>
      </c>
      <c r="I7" s="5" t="s">
        <v>17</v>
      </c>
      <c r="J7" s="5" t="s">
        <v>787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788</v>
      </c>
      <c r="F8" s="5" t="s">
        <v>21</v>
      </c>
      <c r="G8" s="5" t="s">
        <v>789</v>
      </c>
      <c r="H8" s="5" t="s">
        <v>17</v>
      </c>
      <c r="I8" s="5" t="s">
        <v>17</v>
      </c>
      <c r="J8" s="5" t="s">
        <v>790</v>
      </c>
    </row>
    <row r="9" spans="1:10" x14ac:dyDescent="0.25">
      <c r="A9" s="5" t="s">
        <v>15</v>
      </c>
      <c r="B9" s="5" t="s">
        <v>79</v>
      </c>
      <c r="C9" s="5" t="s">
        <v>17</v>
      </c>
      <c r="D9" s="5"/>
      <c r="E9" s="5" t="s">
        <v>791</v>
      </c>
      <c r="F9" s="5" t="s">
        <v>21</v>
      </c>
      <c r="G9" s="5">
        <v>0.82</v>
      </c>
      <c r="H9" s="5" t="s">
        <v>17</v>
      </c>
      <c r="I9" s="5" t="s">
        <v>17</v>
      </c>
      <c r="J9" s="5" t="s">
        <v>792</v>
      </c>
    </row>
    <row r="10" spans="1:10" x14ac:dyDescent="0.25">
      <c r="A10" s="5" t="s">
        <v>21</v>
      </c>
      <c r="B10" s="5" t="s">
        <v>56</v>
      </c>
      <c r="C10" s="5" t="s">
        <v>17</v>
      </c>
      <c r="D10" s="5"/>
      <c r="E10" s="5" t="s">
        <v>577</v>
      </c>
      <c r="F10" s="5" t="s">
        <v>21</v>
      </c>
      <c r="G10" s="5" t="s">
        <v>793</v>
      </c>
      <c r="H10" s="5" t="s">
        <v>17</v>
      </c>
      <c r="I10" s="5" t="s">
        <v>17</v>
      </c>
      <c r="J10" s="5" t="s">
        <v>578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402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404</v>
      </c>
    </row>
    <row r="6" spans="1:10" x14ac:dyDescent="0.25">
      <c r="A6" s="5" t="s">
        <v>15</v>
      </c>
      <c r="B6" s="6" t="s">
        <v>405</v>
      </c>
      <c r="C6" s="5" t="s">
        <v>17</v>
      </c>
      <c r="D6" s="5"/>
      <c r="E6" s="5" t="s">
        <v>406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407</v>
      </c>
    </row>
    <row r="7" spans="1:10" x14ac:dyDescent="0.25" outlineLevel="1" collapsed="1">
      <c r="A7" s="9" t="s">
        <v>15</v>
      </c>
      <c r="B7" s="9" t="s">
        <v>56</v>
      </c>
      <c r="C7" s="9" t="s">
        <v>17</v>
      </c>
      <c r="D7" s="9"/>
      <c r="E7" s="9" t="s">
        <v>408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409</v>
      </c>
    </row>
    <row r="8" spans="1:10" x14ac:dyDescent="0.25" outlineLevel="1" collapsed="1">
      <c r="A8" s="9" t="s">
        <v>15</v>
      </c>
      <c r="B8" s="9" t="s">
        <v>169</v>
      </c>
      <c r="C8" s="9" t="s">
        <v>17</v>
      </c>
      <c r="D8" s="9"/>
      <c r="E8" s="9" t="s">
        <v>410</v>
      </c>
      <c r="F8" s="9" t="s">
        <v>21</v>
      </c>
      <c r="G8" s="9" t="b">
        <v>1</v>
      </c>
      <c r="H8" s="9" t="s">
        <v>17</v>
      </c>
      <c r="I8" s="9" t="s">
        <v>17</v>
      </c>
      <c r="J8" s="9" t="s">
        <v>411</v>
      </c>
    </row>
    <row r="9" spans="1:10" x14ac:dyDescent="0.25" outlineLevel="1" collapsed="1">
      <c r="A9" s="9" t="s">
        <v>15</v>
      </c>
      <c r="B9" s="9" t="s">
        <v>56</v>
      </c>
      <c r="C9" s="9" t="s">
        <v>17</v>
      </c>
      <c r="D9" s="9"/>
      <c r="E9" s="9" t="s">
        <v>412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413</v>
      </c>
    </row>
  </sheetData>
  <mergeCells count="3">
    <mergeCell ref="A1:J1"/>
    <mergeCell ref="B2:J2"/>
    <mergeCell ref="B3:J3"/>
  </mergeCells>
  <hyperlinks>
    <hyperlink ref="B6" r:id="rId1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602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605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606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607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608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571</v>
      </c>
      <c r="C5" s="5" t="s">
        <v>17</v>
      </c>
      <c r="D5" s="5"/>
      <c r="E5" s="5" t="s">
        <v>572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573</v>
      </c>
    </row>
    <row r="6" spans="1:10" x14ac:dyDescent="0.25" outlineLevel="1" collapsed="1">
      <c r="A6" s="9" t="s">
        <v>15</v>
      </c>
      <c r="B6" s="9" t="s">
        <v>23</v>
      </c>
      <c r="C6" s="10" t="s">
        <v>574</v>
      </c>
      <c r="D6" s="9"/>
      <c r="E6" s="9" t="s">
        <v>575</v>
      </c>
      <c r="F6" s="9" t="s">
        <v>21</v>
      </c>
      <c r="G6" s="9" t="s">
        <v>15</v>
      </c>
      <c r="H6" s="9" t="s">
        <v>17</v>
      </c>
      <c r="I6" s="9" t="s">
        <v>17</v>
      </c>
      <c r="J6" s="9" t="s">
        <v>576</v>
      </c>
    </row>
    <row r="7" spans="1:10" x14ac:dyDescent="0.25" outlineLevel="1" collapsed="1">
      <c r="A7" s="9" t="s">
        <v>21</v>
      </c>
      <c r="B7" s="9" t="s">
        <v>56</v>
      </c>
      <c r="C7" s="9" t="s">
        <v>17</v>
      </c>
      <c r="D7" s="9"/>
      <c r="E7" s="9" t="s">
        <v>577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578</v>
      </c>
    </row>
    <row r="8" spans="1:10" x14ac:dyDescent="0.25">
      <c r="A8" s="5" t="s">
        <v>15</v>
      </c>
      <c r="B8" s="6" t="s">
        <v>571</v>
      </c>
      <c r="C8" s="5" t="s">
        <v>17</v>
      </c>
      <c r="D8" s="5"/>
      <c r="E8" s="5" t="s">
        <v>579</v>
      </c>
      <c r="F8" s="5" t="s">
        <v>21</v>
      </c>
      <c r="G8" s="5" t="s">
        <v>17</v>
      </c>
      <c r="H8" s="5" t="s">
        <v>17</v>
      </c>
      <c r="I8" s="5" t="s">
        <v>17</v>
      </c>
      <c r="J8" s="5" t="s">
        <v>580</v>
      </c>
    </row>
    <row r="9" spans="1:10" x14ac:dyDescent="0.25" outlineLevel="1" collapsed="1">
      <c r="A9" s="9" t="s">
        <v>15</v>
      </c>
      <c r="B9" s="9" t="s">
        <v>23</v>
      </c>
      <c r="C9" s="10" t="s">
        <v>574</v>
      </c>
      <c r="D9" s="9"/>
      <c r="E9" s="9" t="s">
        <v>575</v>
      </c>
      <c r="F9" s="9" t="s">
        <v>21</v>
      </c>
      <c r="G9" s="9" t="s">
        <v>15</v>
      </c>
      <c r="H9" s="9" t="s">
        <v>17</v>
      </c>
      <c r="I9" s="9" t="s">
        <v>17</v>
      </c>
      <c r="J9" s="9" t="s">
        <v>576</v>
      </c>
    </row>
    <row r="10" spans="1:10" x14ac:dyDescent="0.25" outlineLevel="1" collapsed="1">
      <c r="A10" s="9" t="s">
        <v>21</v>
      </c>
      <c r="B10" s="9" t="s">
        <v>56</v>
      </c>
      <c r="C10" s="9" t="s">
        <v>17</v>
      </c>
      <c r="D10" s="9"/>
      <c r="E10" s="9" t="s">
        <v>577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578</v>
      </c>
    </row>
    <row r="11" spans="1:10" x14ac:dyDescent="0.25">
      <c r="A11" s="5" t="s">
        <v>15</v>
      </c>
      <c r="B11" s="6" t="s">
        <v>571</v>
      </c>
      <c r="C11" s="5" t="s">
        <v>17</v>
      </c>
      <c r="D11" s="5"/>
      <c r="E11" s="5" t="s">
        <v>581</v>
      </c>
      <c r="F11" s="5" t="s">
        <v>21</v>
      </c>
      <c r="G11" s="5" t="s">
        <v>17</v>
      </c>
      <c r="H11" s="5" t="s">
        <v>17</v>
      </c>
      <c r="I11" s="5" t="s">
        <v>17</v>
      </c>
      <c r="J11" s="5" t="s">
        <v>582</v>
      </c>
    </row>
    <row r="12" spans="1:10" x14ac:dyDescent="0.25" outlineLevel="1" collapsed="1">
      <c r="A12" s="9" t="s">
        <v>15</v>
      </c>
      <c r="B12" s="9" t="s">
        <v>23</v>
      </c>
      <c r="C12" s="10" t="s">
        <v>574</v>
      </c>
      <c r="D12" s="9"/>
      <c r="E12" s="9" t="s">
        <v>575</v>
      </c>
      <c r="F12" s="9" t="s">
        <v>21</v>
      </c>
      <c r="G12" s="9" t="s">
        <v>15</v>
      </c>
      <c r="H12" s="9" t="s">
        <v>17</v>
      </c>
      <c r="I12" s="9" t="s">
        <v>17</v>
      </c>
      <c r="J12" s="9" t="s">
        <v>576</v>
      </c>
    </row>
    <row r="13" spans="1:10" x14ac:dyDescent="0.25" outlineLevel="1" collapsed="1">
      <c r="A13" s="9" t="s">
        <v>21</v>
      </c>
      <c r="B13" s="9" t="s">
        <v>56</v>
      </c>
      <c r="C13" s="9" t="s">
        <v>17</v>
      </c>
      <c r="D13" s="9"/>
      <c r="E13" s="9" t="s">
        <v>577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578</v>
      </c>
    </row>
    <row r="14" spans="1:10" x14ac:dyDescent="0.25">
      <c r="A14" s="5" t="s">
        <v>15</v>
      </c>
      <c r="B14" s="6" t="s">
        <v>571</v>
      </c>
      <c r="C14" s="5" t="s">
        <v>17</v>
      </c>
      <c r="D14" s="5"/>
      <c r="E14" s="5" t="s">
        <v>583</v>
      </c>
      <c r="F14" s="5" t="s">
        <v>21</v>
      </c>
      <c r="G14" s="5" t="s">
        <v>17</v>
      </c>
      <c r="H14" s="5" t="s">
        <v>17</v>
      </c>
      <c r="I14" s="5" t="s">
        <v>17</v>
      </c>
      <c r="J14" s="5" t="s">
        <v>584</v>
      </c>
    </row>
    <row r="15" spans="1:10" x14ac:dyDescent="0.25" outlineLevel="1" collapsed="1">
      <c r="A15" s="9" t="s">
        <v>15</v>
      </c>
      <c r="B15" s="9" t="s">
        <v>23</v>
      </c>
      <c r="C15" s="10" t="s">
        <v>574</v>
      </c>
      <c r="D15" s="9"/>
      <c r="E15" s="9" t="s">
        <v>575</v>
      </c>
      <c r="F15" s="9" t="s">
        <v>21</v>
      </c>
      <c r="G15" s="9" t="s">
        <v>15</v>
      </c>
      <c r="H15" s="9" t="s">
        <v>17</v>
      </c>
      <c r="I15" s="9" t="s">
        <v>17</v>
      </c>
      <c r="J15" s="9" t="s">
        <v>576</v>
      </c>
    </row>
    <row r="16" spans="1:10" x14ac:dyDescent="0.25" outlineLevel="1" collapsed="1">
      <c r="A16" s="9" t="s">
        <v>21</v>
      </c>
      <c r="B16" s="9" t="s">
        <v>56</v>
      </c>
      <c r="C16" s="9" t="s">
        <v>17</v>
      </c>
      <c r="D16" s="9"/>
      <c r="E16" s="9" t="s">
        <v>577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578</v>
      </c>
    </row>
    <row r="17" spans="1:10" x14ac:dyDescent="0.25">
      <c r="A17" s="5" t="s">
        <v>15</v>
      </c>
      <c r="B17" s="6" t="s">
        <v>571</v>
      </c>
      <c r="C17" s="5" t="s">
        <v>17</v>
      </c>
      <c r="D17" s="5"/>
      <c r="E17" s="5" t="s">
        <v>585</v>
      </c>
      <c r="F17" s="5" t="s">
        <v>21</v>
      </c>
      <c r="G17" s="5" t="s">
        <v>17</v>
      </c>
      <c r="H17" s="5" t="s">
        <v>17</v>
      </c>
      <c r="I17" s="5" t="s">
        <v>17</v>
      </c>
      <c r="J17" s="5" t="s">
        <v>586</v>
      </c>
    </row>
    <row r="18" spans="1:10" x14ac:dyDescent="0.25" outlineLevel="1" collapsed="1">
      <c r="A18" s="9" t="s">
        <v>15</v>
      </c>
      <c r="B18" s="9" t="s">
        <v>23</v>
      </c>
      <c r="C18" s="10" t="s">
        <v>574</v>
      </c>
      <c r="D18" s="9"/>
      <c r="E18" s="9" t="s">
        <v>575</v>
      </c>
      <c r="F18" s="9" t="s">
        <v>21</v>
      </c>
      <c r="G18" s="9" t="s">
        <v>15</v>
      </c>
      <c r="H18" s="9" t="s">
        <v>17</v>
      </c>
      <c r="I18" s="9" t="s">
        <v>17</v>
      </c>
      <c r="J18" s="9" t="s">
        <v>576</v>
      </c>
    </row>
    <row r="19" spans="1:10" x14ac:dyDescent="0.25" outlineLevel="1" collapsed="1">
      <c r="A19" s="9" t="s">
        <v>21</v>
      </c>
      <c r="B19" s="9" t="s">
        <v>56</v>
      </c>
      <c r="C19" s="9" t="s">
        <v>17</v>
      </c>
      <c r="D19" s="9"/>
      <c r="E19" s="9" t="s">
        <v>577</v>
      </c>
      <c r="F19" s="9" t="s">
        <v>21</v>
      </c>
      <c r="G19" s="9" t="s">
        <v>58</v>
      </c>
      <c r="H19" s="9" t="s">
        <v>17</v>
      </c>
      <c r="I19" s="9" t="s">
        <v>17</v>
      </c>
      <c r="J19" s="9" t="s">
        <v>578</v>
      </c>
    </row>
    <row r="20" spans="1:10" x14ac:dyDescent="0.25">
      <c r="A20" s="5" t="s">
        <v>15</v>
      </c>
      <c r="B20" s="6" t="s">
        <v>571</v>
      </c>
      <c r="C20" s="5" t="s">
        <v>17</v>
      </c>
      <c r="D20" s="5"/>
      <c r="E20" s="5" t="s">
        <v>587</v>
      </c>
      <c r="F20" s="5" t="s">
        <v>21</v>
      </c>
      <c r="G20" s="5" t="s">
        <v>17</v>
      </c>
      <c r="H20" s="5" t="s">
        <v>17</v>
      </c>
      <c r="I20" s="5" t="s">
        <v>17</v>
      </c>
      <c r="J20" s="5" t="s">
        <v>588</v>
      </c>
    </row>
    <row r="21" spans="1:10" x14ac:dyDescent="0.25" outlineLevel="1" collapsed="1">
      <c r="A21" s="9" t="s">
        <v>15</v>
      </c>
      <c r="B21" s="9" t="s">
        <v>23</v>
      </c>
      <c r="C21" s="10" t="s">
        <v>574</v>
      </c>
      <c r="D21" s="9"/>
      <c r="E21" s="9" t="s">
        <v>575</v>
      </c>
      <c r="F21" s="9" t="s">
        <v>21</v>
      </c>
      <c r="G21" s="9" t="s">
        <v>15</v>
      </c>
      <c r="H21" s="9" t="s">
        <v>17</v>
      </c>
      <c r="I21" s="9" t="s">
        <v>17</v>
      </c>
      <c r="J21" s="9" t="s">
        <v>576</v>
      </c>
    </row>
    <row r="22" spans="1:10" x14ac:dyDescent="0.25" outlineLevel="1" collapsed="1">
      <c r="A22" s="9" t="s">
        <v>21</v>
      </c>
      <c r="B22" s="9" t="s">
        <v>56</v>
      </c>
      <c r="C22" s="9" t="s">
        <v>17</v>
      </c>
      <c r="D22" s="9"/>
      <c r="E22" s="9" t="s">
        <v>577</v>
      </c>
      <c r="F22" s="9" t="s">
        <v>21</v>
      </c>
      <c r="G22" s="9" t="s">
        <v>58</v>
      </c>
      <c r="H22" s="9" t="s">
        <v>17</v>
      </c>
      <c r="I22" s="9" t="s">
        <v>17</v>
      </c>
      <c r="J22" s="9" t="s">
        <v>578</v>
      </c>
    </row>
    <row r="23" spans="1:10" x14ac:dyDescent="0.25">
      <c r="A23" s="5" t="s">
        <v>15</v>
      </c>
      <c r="B23" s="6" t="s">
        <v>571</v>
      </c>
      <c r="C23" s="5" t="s">
        <v>17</v>
      </c>
      <c r="D23" s="5"/>
      <c r="E23" s="5" t="s">
        <v>589</v>
      </c>
      <c r="F23" s="5" t="s">
        <v>21</v>
      </c>
      <c r="G23" s="5" t="s">
        <v>17</v>
      </c>
      <c r="H23" s="5" t="s">
        <v>17</v>
      </c>
      <c r="I23" s="5" t="s">
        <v>17</v>
      </c>
      <c r="J23" s="5" t="s">
        <v>590</v>
      </c>
    </row>
    <row r="24" spans="1:10" x14ac:dyDescent="0.25" outlineLevel="1" collapsed="1">
      <c r="A24" s="9" t="s">
        <v>15</v>
      </c>
      <c r="B24" s="9" t="s">
        <v>23</v>
      </c>
      <c r="C24" s="10" t="s">
        <v>574</v>
      </c>
      <c r="D24" s="9"/>
      <c r="E24" s="9" t="s">
        <v>575</v>
      </c>
      <c r="F24" s="9" t="s">
        <v>21</v>
      </c>
      <c r="G24" s="9" t="s">
        <v>15</v>
      </c>
      <c r="H24" s="9" t="s">
        <v>17</v>
      </c>
      <c r="I24" s="9" t="s">
        <v>17</v>
      </c>
      <c r="J24" s="9" t="s">
        <v>576</v>
      </c>
    </row>
    <row r="25" spans="1:10" x14ac:dyDescent="0.25" outlineLevel="1" collapsed="1">
      <c r="A25" s="9" t="s">
        <v>21</v>
      </c>
      <c r="B25" s="9" t="s">
        <v>56</v>
      </c>
      <c r="C25" s="9" t="s">
        <v>17</v>
      </c>
      <c r="D25" s="9"/>
      <c r="E25" s="9" t="s">
        <v>577</v>
      </c>
      <c r="F25" s="9" t="s">
        <v>21</v>
      </c>
      <c r="G25" s="9" t="s">
        <v>58</v>
      </c>
      <c r="H25" s="9" t="s">
        <v>17</v>
      </c>
      <c r="I25" s="9" t="s">
        <v>17</v>
      </c>
      <c r="J25" s="9" t="s">
        <v>578</v>
      </c>
    </row>
    <row r="26" spans="1:10" x14ac:dyDescent="0.25">
      <c r="A26" s="5" t="s">
        <v>15</v>
      </c>
      <c r="B26" s="6" t="s">
        <v>571</v>
      </c>
      <c r="C26" s="5" t="s">
        <v>17</v>
      </c>
      <c r="D26" s="5"/>
      <c r="E26" s="5" t="s">
        <v>591</v>
      </c>
      <c r="F26" s="5" t="s">
        <v>21</v>
      </c>
      <c r="G26" s="5" t="s">
        <v>17</v>
      </c>
      <c r="H26" s="5" t="s">
        <v>17</v>
      </c>
      <c r="I26" s="5" t="s">
        <v>17</v>
      </c>
      <c r="J26" s="5" t="s">
        <v>592</v>
      </c>
    </row>
    <row r="27" spans="1:10" x14ac:dyDescent="0.25" outlineLevel="1" collapsed="1">
      <c r="A27" s="9" t="s">
        <v>15</v>
      </c>
      <c r="B27" s="9" t="s">
        <v>23</v>
      </c>
      <c r="C27" s="10" t="s">
        <v>574</v>
      </c>
      <c r="D27" s="9"/>
      <c r="E27" s="9" t="s">
        <v>575</v>
      </c>
      <c r="F27" s="9" t="s">
        <v>21</v>
      </c>
      <c r="G27" s="9" t="s">
        <v>15</v>
      </c>
      <c r="H27" s="9" t="s">
        <v>17</v>
      </c>
      <c r="I27" s="9" t="s">
        <v>17</v>
      </c>
      <c r="J27" s="9" t="s">
        <v>576</v>
      </c>
    </row>
    <row r="28" spans="1:10" x14ac:dyDescent="0.25" outlineLevel="1" collapsed="1">
      <c r="A28" s="9" t="s">
        <v>21</v>
      </c>
      <c r="B28" s="9" t="s">
        <v>56</v>
      </c>
      <c r="C28" s="9" t="s">
        <v>17</v>
      </c>
      <c r="D28" s="9"/>
      <c r="E28" s="9" t="s">
        <v>577</v>
      </c>
      <c r="F28" s="9" t="s">
        <v>21</v>
      </c>
      <c r="G28" s="9" t="s">
        <v>58</v>
      </c>
      <c r="H28" s="9" t="s">
        <v>17</v>
      </c>
      <c r="I28" s="9" t="s">
        <v>17</v>
      </c>
      <c r="J28" s="9" t="s">
        <v>578</v>
      </c>
    </row>
    <row r="29" spans="1:10" x14ac:dyDescent="0.25">
      <c r="A29" s="5" t="s">
        <v>15</v>
      </c>
      <c r="B29" s="6" t="s">
        <v>571</v>
      </c>
      <c r="C29" s="5" t="s">
        <v>17</v>
      </c>
      <c r="D29" s="5"/>
      <c r="E29" s="5" t="s">
        <v>593</v>
      </c>
      <c r="F29" s="5" t="s">
        <v>21</v>
      </c>
      <c r="G29" s="5" t="s">
        <v>17</v>
      </c>
      <c r="H29" s="5" t="s">
        <v>17</v>
      </c>
      <c r="I29" s="5" t="s">
        <v>17</v>
      </c>
      <c r="J29" s="5" t="s">
        <v>594</v>
      </c>
    </row>
    <row r="30" spans="1:10" x14ac:dyDescent="0.25" outlineLevel="1" collapsed="1">
      <c r="A30" s="9" t="s">
        <v>15</v>
      </c>
      <c r="B30" s="9" t="s">
        <v>23</v>
      </c>
      <c r="C30" s="10" t="s">
        <v>574</v>
      </c>
      <c r="D30" s="9"/>
      <c r="E30" s="9" t="s">
        <v>575</v>
      </c>
      <c r="F30" s="9" t="s">
        <v>21</v>
      </c>
      <c r="G30" s="9" t="s">
        <v>15</v>
      </c>
      <c r="H30" s="9" t="s">
        <v>17</v>
      </c>
      <c r="I30" s="9" t="s">
        <v>17</v>
      </c>
      <c r="J30" s="9" t="s">
        <v>576</v>
      </c>
    </row>
    <row r="31" spans="1:10" x14ac:dyDescent="0.25" outlineLevel="1" collapsed="1">
      <c r="A31" s="9" t="s">
        <v>21</v>
      </c>
      <c r="B31" s="9" t="s">
        <v>56</v>
      </c>
      <c r="C31" s="9" t="s">
        <v>17</v>
      </c>
      <c r="D31" s="9"/>
      <c r="E31" s="9" t="s">
        <v>577</v>
      </c>
      <c r="F31" s="9" t="s">
        <v>21</v>
      </c>
      <c r="G31" s="9" t="s">
        <v>58</v>
      </c>
      <c r="H31" s="9" t="s">
        <v>17</v>
      </c>
      <c r="I31" s="9" t="s">
        <v>17</v>
      </c>
      <c r="J31" s="9" t="s">
        <v>578</v>
      </c>
    </row>
    <row r="32" spans="1:10" x14ac:dyDescent="0.25">
      <c r="A32" s="5" t="s">
        <v>15</v>
      </c>
      <c r="B32" s="6" t="s">
        <v>571</v>
      </c>
      <c r="C32" s="5" t="s">
        <v>17</v>
      </c>
      <c r="D32" s="5"/>
      <c r="E32" s="5" t="s">
        <v>595</v>
      </c>
      <c r="F32" s="5" t="s">
        <v>21</v>
      </c>
      <c r="G32" s="5" t="s">
        <v>17</v>
      </c>
      <c r="H32" s="5" t="s">
        <v>17</v>
      </c>
      <c r="I32" s="5" t="s">
        <v>17</v>
      </c>
      <c r="J32" s="5" t="s">
        <v>596</v>
      </c>
    </row>
    <row r="33" spans="1:10" x14ac:dyDescent="0.25" outlineLevel="1" collapsed="1">
      <c r="A33" s="9" t="s">
        <v>15</v>
      </c>
      <c r="B33" s="9" t="s">
        <v>23</v>
      </c>
      <c r="C33" s="10" t="s">
        <v>574</v>
      </c>
      <c r="D33" s="9"/>
      <c r="E33" s="9" t="s">
        <v>575</v>
      </c>
      <c r="F33" s="9" t="s">
        <v>21</v>
      </c>
      <c r="G33" s="9" t="s">
        <v>15</v>
      </c>
      <c r="H33" s="9" t="s">
        <v>17</v>
      </c>
      <c r="I33" s="9" t="s">
        <v>17</v>
      </c>
      <c r="J33" s="9" t="s">
        <v>576</v>
      </c>
    </row>
    <row r="34" spans="1:10" x14ac:dyDescent="0.25" outlineLevel="1" collapsed="1">
      <c r="A34" s="9" t="s">
        <v>21</v>
      </c>
      <c r="B34" s="9" t="s">
        <v>56</v>
      </c>
      <c r="C34" s="9" t="s">
        <v>17</v>
      </c>
      <c r="D34" s="9"/>
      <c r="E34" s="9" t="s">
        <v>577</v>
      </c>
      <c r="F34" s="9" t="s">
        <v>21</v>
      </c>
      <c r="G34" s="9" t="s">
        <v>58</v>
      </c>
      <c r="H34" s="9" t="s">
        <v>17</v>
      </c>
      <c r="I34" s="9" t="s">
        <v>17</v>
      </c>
      <c r="J34" s="9" t="s">
        <v>578</v>
      </c>
    </row>
    <row r="35" spans="1:10" x14ac:dyDescent="0.25">
      <c r="A35" s="5" t="s">
        <v>15</v>
      </c>
      <c r="B35" s="6" t="s">
        <v>571</v>
      </c>
      <c r="C35" s="5" t="s">
        <v>17</v>
      </c>
      <c r="D35" s="5"/>
      <c r="E35" s="5" t="s">
        <v>597</v>
      </c>
      <c r="F35" s="5" t="s">
        <v>21</v>
      </c>
      <c r="G35" s="5" t="s">
        <v>17</v>
      </c>
      <c r="H35" s="5" t="s">
        <v>17</v>
      </c>
      <c r="I35" s="5" t="s">
        <v>17</v>
      </c>
      <c r="J35" s="5" t="s">
        <v>598</v>
      </c>
    </row>
    <row r="36" spans="1:10" x14ac:dyDescent="0.25" outlineLevel="1" collapsed="1">
      <c r="A36" s="9" t="s">
        <v>15</v>
      </c>
      <c r="B36" s="9" t="s">
        <v>23</v>
      </c>
      <c r="C36" s="10" t="s">
        <v>574</v>
      </c>
      <c r="D36" s="9"/>
      <c r="E36" s="9" t="s">
        <v>575</v>
      </c>
      <c r="F36" s="9" t="s">
        <v>21</v>
      </c>
      <c r="G36" s="9" t="s">
        <v>15</v>
      </c>
      <c r="H36" s="9" t="s">
        <v>17</v>
      </c>
      <c r="I36" s="9" t="s">
        <v>17</v>
      </c>
      <c r="J36" s="9" t="s">
        <v>576</v>
      </c>
    </row>
    <row r="37" spans="1:10" x14ac:dyDescent="0.25" outlineLevel="1" collapsed="1">
      <c r="A37" s="9" t="s">
        <v>21</v>
      </c>
      <c r="B37" s="9" t="s">
        <v>56</v>
      </c>
      <c r="C37" s="9" t="s">
        <v>17</v>
      </c>
      <c r="D37" s="9"/>
      <c r="E37" s="9" t="s">
        <v>577</v>
      </c>
      <c r="F37" s="9" t="s">
        <v>21</v>
      </c>
      <c r="G37" s="9" t="s">
        <v>58</v>
      </c>
      <c r="H37" s="9" t="s">
        <v>17</v>
      </c>
      <c r="I37" s="9" t="s">
        <v>17</v>
      </c>
      <c r="J37" s="9" t="s">
        <v>578</v>
      </c>
    </row>
    <row r="38" spans="1:10" x14ac:dyDescent="0.25">
      <c r="A38" s="5" t="s">
        <v>15</v>
      </c>
      <c r="B38" s="6" t="s">
        <v>571</v>
      </c>
      <c r="C38" s="5" t="s">
        <v>17</v>
      </c>
      <c r="D38" s="5"/>
      <c r="E38" s="5" t="s">
        <v>599</v>
      </c>
      <c r="F38" s="5" t="s">
        <v>21</v>
      </c>
      <c r="G38" s="5" t="s">
        <v>17</v>
      </c>
      <c r="H38" s="5" t="s">
        <v>17</v>
      </c>
      <c r="I38" s="5" t="s">
        <v>17</v>
      </c>
      <c r="J38" s="5" t="s">
        <v>600</v>
      </c>
    </row>
    <row r="39" spans="1:10" x14ac:dyDescent="0.25" outlineLevel="1" collapsed="1">
      <c r="A39" s="9" t="s">
        <v>15</v>
      </c>
      <c r="B39" s="9" t="s">
        <v>23</v>
      </c>
      <c r="C39" s="10" t="s">
        <v>574</v>
      </c>
      <c r="D39" s="9"/>
      <c r="E39" s="9" t="s">
        <v>575</v>
      </c>
      <c r="F39" s="9" t="s">
        <v>21</v>
      </c>
      <c r="G39" s="9" t="s">
        <v>15</v>
      </c>
      <c r="H39" s="9" t="s">
        <v>17</v>
      </c>
      <c r="I39" s="9" t="s">
        <v>17</v>
      </c>
      <c r="J39" s="9" t="s">
        <v>576</v>
      </c>
    </row>
    <row r="40" spans="1:10" x14ac:dyDescent="0.25" outlineLevel="1" collapsed="1">
      <c r="A40" s="9" t="s">
        <v>21</v>
      </c>
      <c r="B40" s="9" t="s">
        <v>56</v>
      </c>
      <c r="C40" s="9" t="s">
        <v>17</v>
      </c>
      <c r="D40" s="9"/>
      <c r="E40" s="9" t="s">
        <v>577</v>
      </c>
      <c r="F40" s="9" t="s">
        <v>21</v>
      </c>
      <c r="G40" s="9" t="s">
        <v>58</v>
      </c>
      <c r="H40" s="9" t="s">
        <v>17</v>
      </c>
      <c r="I40" s="9" t="s">
        <v>17</v>
      </c>
      <c r="J40" s="9" t="s">
        <v>578</v>
      </c>
    </row>
  </sheetData>
  <mergeCells count="3">
    <mergeCell ref="A1:J1"/>
    <mergeCell ref="B2:J2"/>
    <mergeCell ref="B3:J3"/>
  </mergeCells>
  <dataValidations count="12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18:I18">
      <formula1>'Yes or No (enum)'!A4:A5</formula1>
    </dataValidation>
    <dataValidation type="list" allowBlank="1" sqref="G21:I21">
      <formula1>'Yes or No (enum)'!A4:A5</formula1>
    </dataValidation>
    <dataValidation type="list" allowBlank="1" sqref="G24:I24">
      <formula1>'Yes or No (enum)'!A4:A5</formula1>
    </dataValidation>
    <dataValidation type="list" allowBlank="1" sqref="G27:I27">
      <formula1>'Yes or No (enum)'!A4:A5</formula1>
    </dataValidation>
    <dataValidation type="list" allowBlank="1" sqref="G30:I30">
      <formula1>'Yes or No (enum)'!A4:A5</formula1>
    </dataValidation>
    <dataValidation type="list" allowBlank="1" sqref="G33:I33">
      <formula1>'Yes or No (enum)'!A4:A5</formula1>
    </dataValidation>
    <dataValidation type="list" allowBlank="1" sqref="G36:I36">
      <formula1>'Yes or No (enum)'!A4:A5</formula1>
    </dataValidation>
    <dataValidation type="list" allowBlank="1" sqref="G39:I39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  <hyperlink ref="B17" r:id="rId9" location="#'Yes or no with comments'!A1"/>
    <hyperlink ref="C18" r:id="rId10" location="#'Yes or No (enum)'!A3"/>
    <hyperlink ref="B20" r:id="rId11" location="#'Yes or no with comments'!A1"/>
    <hyperlink ref="C21" r:id="rId12" location="#'Yes or No (enum)'!A3"/>
    <hyperlink ref="B23" r:id="rId13" location="#'Yes or no with comments'!A1"/>
    <hyperlink ref="C24" r:id="rId14" location="#'Yes or No (enum)'!A3"/>
    <hyperlink ref="B26" r:id="rId15" location="#'Yes or no with comments'!A1"/>
    <hyperlink ref="C27" r:id="rId16" location="#'Yes or No (enum)'!A3"/>
    <hyperlink ref="B29" r:id="rId17" location="#'Yes or no with comments'!A1"/>
    <hyperlink ref="C30" r:id="rId18" location="#'Yes or No (enum)'!A3"/>
    <hyperlink ref="B32" r:id="rId19" location="#'Yes or no with comments'!A1"/>
    <hyperlink ref="C33" r:id="rId20" location="#'Yes or No (enum)'!A3"/>
    <hyperlink ref="B35" r:id="rId21" location="#'Yes or no with comments'!A1"/>
    <hyperlink ref="C36" r:id="rId22" location="#'Yes or No (enum)'!A3"/>
    <hyperlink ref="B38" r:id="rId23" location="#'Yes or no with comments'!A1"/>
    <hyperlink ref="C39" r:id="rId24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723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507</v>
      </c>
      <c r="D5" s="5"/>
      <c r="E5" s="5" t="s">
        <v>726</v>
      </c>
      <c r="F5" s="5" t="s">
        <v>21</v>
      </c>
      <c r="G5" s="5" t="s">
        <v>1172</v>
      </c>
      <c r="H5" s="5" t="s">
        <v>17</v>
      </c>
      <c r="I5" s="5" t="s">
        <v>17</v>
      </c>
      <c r="J5" s="5" t="s">
        <v>728</v>
      </c>
    </row>
    <row r="6" spans="1:10" x14ac:dyDescent="0.25">
      <c r="A6" s="5" t="s">
        <v>15</v>
      </c>
      <c r="B6" s="5" t="s">
        <v>26</v>
      </c>
      <c r="C6" s="5" t="s">
        <v>507</v>
      </c>
      <c r="D6" s="5"/>
      <c r="E6" s="5" t="s">
        <v>729</v>
      </c>
      <c r="F6" s="5" t="s">
        <v>21</v>
      </c>
      <c r="G6" s="5" t="s">
        <v>1173</v>
      </c>
      <c r="H6" s="5" t="s">
        <v>17</v>
      </c>
      <c r="I6" s="5" t="s">
        <v>17</v>
      </c>
      <c r="J6" s="5" t="s">
        <v>731</v>
      </c>
    </row>
    <row r="7" spans="1:10" x14ac:dyDescent="0.25">
      <c r="A7" s="5" t="s">
        <v>15</v>
      </c>
      <c r="B7" s="5" t="s">
        <v>60</v>
      </c>
      <c r="C7" s="5" t="s">
        <v>17</v>
      </c>
      <c r="D7" s="5"/>
      <c r="E7" s="5" t="s">
        <v>504</v>
      </c>
      <c r="F7" s="5" t="s">
        <v>21</v>
      </c>
      <c r="G7" s="5" t="s">
        <v>62</v>
      </c>
      <c r="H7" s="5" t="s">
        <v>17</v>
      </c>
      <c r="I7" s="5" t="s">
        <v>17</v>
      </c>
      <c r="J7" s="5" t="s">
        <v>506</v>
      </c>
    </row>
    <row r="8" spans="1:10" x14ac:dyDescent="0.25">
      <c r="A8" s="5" t="s">
        <v>15</v>
      </c>
      <c r="B8" s="5" t="s">
        <v>26</v>
      </c>
      <c r="C8" s="5" t="s">
        <v>512</v>
      </c>
      <c r="D8" s="5"/>
      <c r="E8" s="5" t="s">
        <v>732</v>
      </c>
      <c r="F8" s="5" t="s">
        <v>21</v>
      </c>
      <c r="G8" s="5" t="s">
        <v>1174</v>
      </c>
      <c r="H8" s="5" t="s">
        <v>17</v>
      </c>
      <c r="I8" s="5" t="s">
        <v>17</v>
      </c>
      <c r="J8" s="5" t="s">
        <v>734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405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408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409</v>
      </c>
    </row>
    <row r="6" spans="1:10" x14ac:dyDescent="0.25">
      <c r="A6" s="5" t="s">
        <v>15</v>
      </c>
      <c r="B6" s="5" t="s">
        <v>169</v>
      </c>
      <c r="C6" s="5" t="s">
        <v>17</v>
      </c>
      <c r="D6" s="5"/>
      <c r="E6" s="5" t="s">
        <v>410</v>
      </c>
      <c r="F6" s="5" t="s">
        <v>21</v>
      </c>
      <c r="G6" s="5" t="b">
        <v>1</v>
      </c>
      <c r="H6" s="5" t="s">
        <v>17</v>
      </c>
      <c r="I6" s="5" t="s">
        <v>17</v>
      </c>
      <c r="J6" s="5" t="s">
        <v>411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412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413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43</v>
      </c>
      <c r="C5" s="5" t="s">
        <v>17</v>
      </c>
      <c r="D5" s="5"/>
      <c r="E5" s="5" t="s">
        <v>271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272</v>
      </c>
    </row>
    <row r="6" spans="1:10" x14ac:dyDescent="0.25">
      <c r="A6" s="5" t="s">
        <v>15</v>
      </c>
      <c r="B6" s="6" t="s">
        <v>303</v>
      </c>
      <c r="C6" s="5" t="s">
        <v>17</v>
      </c>
      <c r="D6" s="5"/>
      <c r="E6" s="5" t="s">
        <v>301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302</v>
      </c>
    </row>
    <row r="7" spans="1:10" x14ac:dyDescent="0.25" outlineLevel="1" collapsed="1">
      <c r="A7" s="9" t="s">
        <v>15</v>
      </c>
      <c r="B7" s="9" t="s">
        <v>56</v>
      </c>
      <c r="C7" s="9" t="s">
        <v>17</v>
      </c>
      <c r="D7" s="9"/>
      <c r="E7" s="9" t="s">
        <v>304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305</v>
      </c>
    </row>
    <row r="8" spans="1:10" x14ac:dyDescent="0.25" outlineLevel="1" collapsed="1">
      <c r="A8" s="9" t="s">
        <v>15</v>
      </c>
      <c r="B8" s="9" t="s">
        <v>26</v>
      </c>
      <c r="C8" s="9" t="s">
        <v>284</v>
      </c>
      <c r="D8" s="9"/>
      <c r="E8" s="9" t="s">
        <v>297</v>
      </c>
      <c r="F8" s="9" t="s">
        <v>21</v>
      </c>
      <c r="G8" s="9" t="s">
        <v>1175</v>
      </c>
      <c r="H8" s="9" t="s">
        <v>17</v>
      </c>
      <c r="I8" s="9" t="s">
        <v>17</v>
      </c>
      <c r="J8" s="9" t="s">
        <v>299</v>
      </c>
    </row>
  </sheetData>
  <mergeCells count="3">
    <mergeCell ref="A1:J1"/>
    <mergeCell ref="B2:J2"/>
    <mergeCell ref="B3:J3"/>
  </mergeCells>
  <hyperlinks>
    <hyperlink ref="B6" r:id="rId1" location="#'Baseline fuels usage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465</v>
      </c>
      <c r="D5" s="5"/>
      <c r="E5" s="5" t="s">
        <v>123</v>
      </c>
      <c r="F5" s="5" t="s">
        <v>21</v>
      </c>
      <c r="G5" s="5" t="s">
        <v>124</v>
      </c>
      <c r="H5" s="5" t="s">
        <v>17</v>
      </c>
      <c r="I5" s="5" t="s">
        <v>17</v>
      </c>
      <c r="J5" s="5" t="s">
        <v>125</v>
      </c>
    </row>
    <row r="6" spans="1:10" x14ac:dyDescent="0.25">
      <c r="A6" s="5" t="s">
        <v>21</v>
      </c>
      <c r="B6" s="5" t="s">
        <v>466</v>
      </c>
      <c r="C6" s="13" t="s">
        <v>467</v>
      </c>
      <c r="D6" s="5">
        <f>EXACT(G5,"HWT, IWT")</f>
      </c>
      <c r="E6" s="14" t="s">
        <v>468</v>
      </c>
      <c r="F6" s="5" t="s">
        <v>21</v>
      </c>
      <c r="G6" s="5" t="s">
        <v>17</v>
      </c>
      <c r="H6" s="5" t="s">
        <v>17</v>
      </c>
      <c r="I6" s="5" t="s">
        <v>17</v>
      </c>
      <c r="J6" s="5" t="s">
        <v>222</v>
      </c>
    </row>
    <row r="7" spans="1:10" x14ac:dyDescent="0.25">
      <c r="A7" s="5" t="s">
        <v>21</v>
      </c>
      <c r="B7" s="6" t="s">
        <v>469</v>
      </c>
      <c r="C7" s="5" t="s">
        <v>17</v>
      </c>
      <c r="D7" s="5">
        <f>EXACT(G5,"CWT, CWS")</f>
      </c>
      <c r="E7" s="5" t="s">
        <v>470</v>
      </c>
      <c r="F7" s="5" t="s">
        <v>21</v>
      </c>
      <c r="G7" s="5" t="s">
        <v>17</v>
      </c>
      <c r="H7" s="5" t="s">
        <v>17</v>
      </c>
      <c r="I7" s="5" t="s">
        <v>17</v>
      </c>
      <c r="J7" s="5" t="s">
        <v>471</v>
      </c>
    </row>
    <row r="8" spans="1:10" x14ac:dyDescent="0.25" outlineLevel="1" collapsed="1">
      <c r="A8" s="9" t="s">
        <v>15</v>
      </c>
      <c r="B8" s="9" t="s">
        <v>56</v>
      </c>
      <c r="C8" s="9" t="s">
        <v>17</v>
      </c>
      <c r="D8" s="9"/>
      <c r="E8" s="9" t="s">
        <v>472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473</v>
      </c>
    </row>
    <row r="9" spans="1:10" x14ac:dyDescent="0.25" outlineLevel="1" collapsed="1">
      <c r="A9" s="9" t="s">
        <v>15</v>
      </c>
      <c r="B9" s="9" t="s">
        <v>56</v>
      </c>
      <c r="C9" s="9" t="s">
        <v>17</v>
      </c>
      <c r="D9" s="9"/>
      <c r="E9" s="9" t="s">
        <v>474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475</v>
      </c>
    </row>
    <row r="10" spans="1:10" x14ac:dyDescent="0.25" outlineLevel="1" collapsed="1">
      <c r="A10" s="9" t="s">
        <v>15</v>
      </c>
      <c r="B10" s="9" t="s">
        <v>56</v>
      </c>
      <c r="C10" s="9" t="s">
        <v>17</v>
      </c>
      <c r="D10" s="9"/>
      <c r="E10" s="9" t="s">
        <v>476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477</v>
      </c>
    </row>
    <row r="11" spans="1:10" x14ac:dyDescent="0.25" outlineLevel="1" collapsed="1">
      <c r="A11" s="9" t="s">
        <v>15</v>
      </c>
      <c r="B11" s="9" t="s">
        <v>56</v>
      </c>
      <c r="C11" s="9" t="s">
        <v>17</v>
      </c>
      <c r="D11" s="9"/>
      <c r="E11" s="9" t="s">
        <v>478</v>
      </c>
      <c r="F11" s="9" t="s">
        <v>21</v>
      </c>
      <c r="G11" s="9" t="s">
        <v>58</v>
      </c>
      <c r="H11" s="9" t="s">
        <v>17</v>
      </c>
      <c r="I11" s="9" t="s">
        <v>17</v>
      </c>
      <c r="J11" s="9" t="s">
        <v>479</v>
      </c>
    </row>
    <row r="12" spans="1:10" x14ac:dyDescent="0.25" outlineLevel="1" collapsed="1">
      <c r="A12" s="9" t="s">
        <v>15</v>
      </c>
      <c r="B12" s="9" t="s">
        <v>175</v>
      </c>
      <c r="C12" s="9" t="s">
        <v>17</v>
      </c>
      <c r="D12" s="9"/>
      <c r="E12" s="9" t="s">
        <v>480</v>
      </c>
      <c r="F12" s="9" t="s">
        <v>21</v>
      </c>
      <c r="G12" s="9" t="s">
        <v>1176</v>
      </c>
      <c r="H12" s="9" t="s">
        <v>17</v>
      </c>
      <c r="I12" s="9" t="s">
        <v>17</v>
      </c>
      <c r="J12" s="9" t="s">
        <v>482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3 (enum)'!A4:A5</formula1>
    </dataValidation>
  </dataValidations>
  <hyperlinks>
    <hyperlink ref="C5" r:id="rId1" location="#'Treatment Technology 3 (enum)'!A3"/>
    <hyperlink ref="B7" r:id="rId2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304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305</v>
      </c>
    </row>
    <row r="6" spans="1:10" x14ac:dyDescent="0.25">
      <c r="A6" s="5" t="s">
        <v>15</v>
      </c>
      <c r="B6" s="5" t="s">
        <v>26</v>
      </c>
      <c r="C6" s="5" t="s">
        <v>284</v>
      </c>
      <c r="D6" s="5"/>
      <c r="E6" s="5" t="s">
        <v>297</v>
      </c>
      <c r="F6" s="5" t="s">
        <v>21</v>
      </c>
      <c r="G6" s="5" t="s">
        <v>1177</v>
      </c>
      <c r="H6" s="5" t="s">
        <v>17</v>
      </c>
      <c r="I6" s="5" t="s">
        <v>17</v>
      </c>
      <c r="J6" s="5" t="s">
        <v>299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20</v>
      </c>
      <c r="C5" s="5" t="s">
        <v>17</v>
      </c>
      <c r="D5" s="5"/>
      <c r="E5" s="5" t="s">
        <v>20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22</v>
      </c>
    </row>
    <row r="6" spans="1:10" x14ac:dyDescent="0.25" outlineLevel="1" collapsed="1">
      <c r="A6" s="9" t="s">
        <v>15</v>
      </c>
      <c r="B6" s="9" t="s">
        <v>23</v>
      </c>
      <c r="C6" s="10" t="s">
        <v>24</v>
      </c>
      <c r="D6" s="9"/>
      <c r="E6" s="9" t="s">
        <v>20</v>
      </c>
      <c r="F6" s="9" t="s">
        <v>21</v>
      </c>
      <c r="G6" s="9" t="s">
        <v>25</v>
      </c>
      <c r="H6" s="9" t="s">
        <v>17</v>
      </c>
      <c r="I6" s="9" t="s">
        <v>17</v>
      </c>
      <c r="J6" s="9" t="s">
        <v>22</v>
      </c>
    </row>
    <row r="7" spans="1:10" x14ac:dyDescent="0.25">
      <c r="A7" s="5" t="s">
        <v>15</v>
      </c>
      <c r="B7" s="5" t="s">
        <v>26</v>
      </c>
      <c r="C7" s="5" t="s">
        <v>27</v>
      </c>
      <c r="D7" s="5"/>
      <c r="E7" s="5" t="s">
        <v>28</v>
      </c>
      <c r="F7" s="5" t="s">
        <v>21</v>
      </c>
      <c r="G7" s="5" t="s">
        <v>1178</v>
      </c>
      <c r="H7" s="5" t="s">
        <v>17</v>
      </c>
      <c r="I7" s="5" t="s">
        <v>17</v>
      </c>
      <c r="J7" s="5" t="s">
        <v>30</v>
      </c>
    </row>
    <row r="8" spans="1:10" x14ac:dyDescent="0.25">
      <c r="A8" s="5" t="s">
        <v>15</v>
      </c>
      <c r="B8" s="5" t="s">
        <v>26</v>
      </c>
      <c r="C8" s="5" t="s">
        <v>31</v>
      </c>
      <c r="D8" s="5"/>
      <c r="E8" s="5" t="s">
        <v>32</v>
      </c>
      <c r="F8" s="5" t="s">
        <v>21</v>
      </c>
      <c r="G8" s="5" t="s">
        <v>1179</v>
      </c>
      <c r="H8" s="5" t="s">
        <v>17</v>
      </c>
      <c r="I8" s="5" t="s">
        <v>17</v>
      </c>
      <c r="J8" s="5" t="s">
        <v>34</v>
      </c>
    </row>
    <row r="9" spans="1:10" x14ac:dyDescent="0.25">
      <c r="A9" s="5" t="s">
        <v>15</v>
      </c>
      <c r="B9" s="5" t="s">
        <v>26</v>
      </c>
      <c r="C9" s="5" t="s">
        <v>35</v>
      </c>
      <c r="D9" s="5"/>
      <c r="E9" s="5" t="s">
        <v>36</v>
      </c>
      <c r="F9" s="5" t="s">
        <v>21</v>
      </c>
      <c r="G9" s="5" t="s">
        <v>1180</v>
      </c>
      <c r="H9" s="5" t="s">
        <v>17</v>
      </c>
      <c r="I9" s="5" t="s">
        <v>17</v>
      </c>
      <c r="J9" s="5" t="s">
        <v>38</v>
      </c>
    </row>
    <row r="10" spans="1:10" x14ac:dyDescent="0.25">
      <c r="A10" s="5" t="s">
        <v>15</v>
      </c>
      <c r="B10" s="5" t="s">
        <v>23</v>
      </c>
      <c r="C10" s="6" t="s">
        <v>39</v>
      </c>
      <c r="D10" s="5"/>
      <c r="E10" s="5" t="s">
        <v>40</v>
      </c>
      <c r="F10" s="5" t="s">
        <v>21</v>
      </c>
      <c r="G10" s="5" t="s">
        <v>41</v>
      </c>
      <c r="H10" s="5" t="s">
        <v>17</v>
      </c>
      <c r="I10" s="5" t="s">
        <v>17</v>
      </c>
      <c r="J10" s="5" t="s">
        <v>42</v>
      </c>
    </row>
    <row r="11" spans="1:10" x14ac:dyDescent="0.25">
      <c r="A11" s="5" t="s">
        <v>15</v>
      </c>
      <c r="B11" s="5" t="s">
        <v>43</v>
      </c>
      <c r="C11" s="5" t="s">
        <v>17</v>
      </c>
      <c r="D11" s="5"/>
      <c r="E11" s="5" t="s">
        <v>44</v>
      </c>
      <c r="F11" s="5" t="s">
        <v>21</v>
      </c>
      <c r="G11" s="5" t="s">
        <v>17</v>
      </c>
      <c r="H11" s="5" t="s">
        <v>17</v>
      </c>
      <c r="I11" s="5" t="s">
        <v>17</v>
      </c>
      <c r="J11" s="5" t="s">
        <v>19</v>
      </c>
    </row>
    <row r="12" spans="1:10" x14ac:dyDescent="0.25">
      <c r="A12" s="5" t="s">
        <v>15</v>
      </c>
      <c r="B12" s="5" t="s">
        <v>26</v>
      </c>
      <c r="C12" s="5" t="s">
        <v>45</v>
      </c>
      <c r="D12" s="5"/>
      <c r="E12" s="5" t="s">
        <v>46</v>
      </c>
      <c r="F12" s="5" t="s">
        <v>21</v>
      </c>
      <c r="G12" s="5" t="s">
        <v>1181</v>
      </c>
      <c r="H12" s="5" t="s">
        <v>17</v>
      </c>
      <c r="I12" s="5" t="s">
        <v>17</v>
      </c>
      <c r="J12" s="5" t="s">
        <v>48</v>
      </c>
    </row>
    <row r="13" spans="1:10" x14ac:dyDescent="0.25">
      <c r="A13" s="5" t="s">
        <v>15</v>
      </c>
      <c r="B13" s="5" t="s">
        <v>26</v>
      </c>
      <c r="C13" s="5" t="s">
        <v>49</v>
      </c>
      <c r="D13" s="5"/>
      <c r="E13" s="5" t="s">
        <v>50</v>
      </c>
      <c r="F13" s="5" t="s">
        <v>21</v>
      </c>
      <c r="G13" s="5" t="s">
        <v>1182</v>
      </c>
      <c r="H13" s="5" t="s">
        <v>17</v>
      </c>
      <c r="I13" s="5" t="s">
        <v>17</v>
      </c>
      <c r="J13" s="5" t="s">
        <v>52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'UrbanRural Classificati (enum)'!A4:A5</formula1>
    </dataValidation>
    <dataValidation type="list" allowBlank="1" sqref="G6:I6">
      <formula1>'Country 3 (enum)'!A4:A256</formula1>
    </dataValidation>
  </dataValidations>
  <hyperlinks>
    <hyperlink ref="B5" r:id="rId1" location="#'Country'!A1"/>
    <hyperlink ref="C6" r:id="rId2" location="#'Country 3 (enum)'!A3"/>
    <hyperlink ref="C10" r:id="rId3" location="#'UrbanRural Classificati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609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612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613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614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615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85</v>
      </c>
      <c r="D5" s="5"/>
      <c r="E5" s="5" t="s">
        <v>86</v>
      </c>
      <c r="F5" s="5" t="s">
        <v>21</v>
      </c>
      <c r="G5" s="5" t="s">
        <v>1183</v>
      </c>
      <c r="H5" s="5" t="s">
        <v>17</v>
      </c>
      <c r="I5" s="5" t="s">
        <v>17</v>
      </c>
      <c r="J5" s="5" t="s">
        <v>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220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203</v>
      </c>
    </row>
    <row r="6" spans="1:10" x14ac:dyDescent="0.25">
      <c r="A6" s="5" t="s">
        <v>15</v>
      </c>
      <c r="B6" s="5" t="s">
        <v>386</v>
      </c>
      <c r="C6" s="5" t="s">
        <v>17</v>
      </c>
      <c r="D6" s="5"/>
      <c r="E6" s="5" t="s">
        <v>834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835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836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837</v>
      </c>
    </row>
    <row r="8" spans="1:10" x14ac:dyDescent="0.25">
      <c r="A8" s="5" t="s">
        <v>15</v>
      </c>
      <c r="B8" s="5" t="s">
        <v>386</v>
      </c>
      <c r="C8" s="5" t="s">
        <v>17</v>
      </c>
      <c r="D8" s="5"/>
      <c r="E8" s="5" t="s">
        <v>838</v>
      </c>
      <c r="F8" s="5" t="s">
        <v>21</v>
      </c>
      <c r="G8" s="5">
        <v>1</v>
      </c>
      <c r="H8" s="5" t="s">
        <v>17</v>
      </c>
      <c r="I8" s="5" t="s">
        <v>17</v>
      </c>
      <c r="J8" s="5" t="s">
        <v>839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840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841</v>
      </c>
    </row>
    <row r="10" spans="1:10" x14ac:dyDescent="0.25">
      <c r="A10" s="5" t="s">
        <v>15</v>
      </c>
      <c r="B10" s="5" t="s">
        <v>56</v>
      </c>
      <c r="C10" s="5" t="s">
        <v>17</v>
      </c>
      <c r="D10" s="5"/>
      <c r="E10" s="5" t="s">
        <v>842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843</v>
      </c>
    </row>
    <row r="11" spans="1:10" x14ac:dyDescent="0.25">
      <c r="A11" s="5" t="s">
        <v>15</v>
      </c>
      <c r="B11" s="5" t="s">
        <v>56</v>
      </c>
      <c r="C11" s="5" t="s">
        <v>17</v>
      </c>
      <c r="D11" s="5"/>
      <c r="E11" s="5" t="s">
        <v>844</v>
      </c>
      <c r="F11" s="5" t="s">
        <v>21</v>
      </c>
      <c r="G11" s="5" t="s">
        <v>58</v>
      </c>
      <c r="H11" s="5" t="s">
        <v>17</v>
      </c>
      <c r="I11" s="5" t="s">
        <v>17</v>
      </c>
      <c r="J11" s="5" t="s">
        <v>845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57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59</v>
      </c>
    </row>
    <row r="6" spans="1:10" x14ac:dyDescent="0.25">
      <c r="A6" s="5" t="s">
        <v>15</v>
      </c>
      <c r="B6" s="5" t="s">
        <v>60</v>
      </c>
      <c r="C6" s="5" t="s">
        <v>17</v>
      </c>
      <c r="D6" s="5"/>
      <c r="E6" s="5" t="s">
        <v>61</v>
      </c>
      <c r="F6" s="5" t="s">
        <v>21</v>
      </c>
      <c r="G6" s="5" t="s">
        <v>62</v>
      </c>
      <c r="H6" s="5" t="s">
        <v>17</v>
      </c>
      <c r="I6" s="5" t="s">
        <v>17</v>
      </c>
      <c r="J6" s="5" t="s">
        <v>63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64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65</v>
      </c>
    </row>
    <row r="8" spans="1:10" x14ac:dyDescent="0.25">
      <c r="A8" s="5" t="s">
        <v>15</v>
      </c>
      <c r="B8" s="5" t="s">
        <v>26</v>
      </c>
      <c r="C8" s="5" t="s">
        <v>66</v>
      </c>
      <c r="D8" s="5"/>
      <c r="E8" s="5" t="s">
        <v>67</v>
      </c>
      <c r="F8" s="5" t="s">
        <v>21</v>
      </c>
      <c r="G8" s="5" t="s">
        <v>1185</v>
      </c>
      <c r="H8" s="5" t="s">
        <v>17</v>
      </c>
      <c r="I8" s="5" t="s">
        <v>17</v>
      </c>
      <c r="J8" s="5" t="s">
        <v>69</v>
      </c>
    </row>
    <row r="9" spans="1:10" x14ac:dyDescent="0.25">
      <c r="A9" s="5" t="s">
        <v>21</v>
      </c>
      <c r="B9" s="5" t="s">
        <v>26</v>
      </c>
      <c r="C9" s="5" t="s">
        <v>66</v>
      </c>
      <c r="D9" s="5"/>
      <c r="E9" s="5" t="s">
        <v>70</v>
      </c>
      <c r="F9" s="5" t="s">
        <v>21</v>
      </c>
      <c r="G9" s="5" t="s">
        <v>1186</v>
      </c>
      <c r="H9" s="5" t="s">
        <v>17</v>
      </c>
      <c r="I9" s="5" t="s">
        <v>17</v>
      </c>
      <c r="J9" s="5" t="s">
        <v>72</v>
      </c>
    </row>
    <row r="10" spans="1:10" x14ac:dyDescent="0.25">
      <c r="A10" s="5" t="s">
        <v>21</v>
      </c>
      <c r="B10" s="5" t="s">
        <v>56</v>
      </c>
      <c r="C10" s="5" t="s">
        <v>17</v>
      </c>
      <c r="D10" s="5"/>
      <c r="E10" s="5" t="s">
        <v>73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74</v>
      </c>
    </row>
    <row r="11" spans="1:10" x14ac:dyDescent="0.25">
      <c r="A11" s="5" t="s">
        <v>21</v>
      </c>
      <c r="B11" s="5" t="s">
        <v>26</v>
      </c>
      <c r="C11" s="5" t="s">
        <v>75</v>
      </c>
      <c r="D11" s="5"/>
      <c r="E11" s="5" t="s">
        <v>76</v>
      </c>
      <c r="F11" s="5" t="s">
        <v>21</v>
      </c>
      <c r="G11" s="5" t="s">
        <v>1187</v>
      </c>
      <c r="H11" s="5" t="s">
        <v>17</v>
      </c>
      <c r="I11" s="5" t="s">
        <v>17</v>
      </c>
      <c r="J11" s="5" t="s">
        <v>78</v>
      </c>
    </row>
    <row r="12" spans="1:10" x14ac:dyDescent="0.25">
      <c r="A12" s="5" t="s">
        <v>15</v>
      </c>
      <c r="B12" s="5" t="s">
        <v>79</v>
      </c>
      <c r="C12" s="5" t="s">
        <v>17</v>
      </c>
      <c r="D12" s="5"/>
      <c r="E12" s="5" t="s">
        <v>80</v>
      </c>
      <c r="F12" s="5" t="s">
        <v>21</v>
      </c>
      <c r="G12" s="5">
        <v>1</v>
      </c>
      <c r="H12" s="5" t="s">
        <v>17</v>
      </c>
      <c r="I12" s="5" t="s">
        <v>17</v>
      </c>
      <c r="J12" s="5" t="s">
        <v>81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856</v>
      </c>
      <c r="D5" s="5"/>
      <c r="E5" s="5" t="s">
        <v>126</v>
      </c>
      <c r="F5" s="5" t="s">
        <v>21</v>
      </c>
      <c r="G5" s="5" t="s">
        <v>129</v>
      </c>
      <c r="H5" s="5" t="s">
        <v>17</v>
      </c>
      <c r="I5" s="5" t="s">
        <v>17</v>
      </c>
      <c r="J5" s="5" t="s">
        <v>130</v>
      </c>
    </row>
    <row r="6" spans="1:10" x14ac:dyDescent="0.25">
      <c r="A6" s="5" t="s">
        <v>21</v>
      </c>
      <c r="B6" s="5" t="s">
        <v>56</v>
      </c>
      <c r="C6" s="5" t="s">
        <v>17</v>
      </c>
      <c r="D6" s="5">
        <f>EXACT(G5,"Other (specify)")</f>
      </c>
      <c r="E6" s="5" t="s">
        <v>131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132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4 (enum)'!A4:A9</formula1>
    </dataValidation>
  </dataValidations>
  <hyperlinks>
    <hyperlink ref="C5" r:id="rId1" location="#'Treatment Technology 4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858</v>
      </c>
      <c r="D5" s="5"/>
      <c r="E5" s="5" t="s">
        <v>126</v>
      </c>
      <c r="F5" s="5" t="s">
        <v>21</v>
      </c>
      <c r="G5" s="5" t="s">
        <v>154</v>
      </c>
      <c r="H5" s="5" t="s">
        <v>17</v>
      </c>
      <c r="I5" s="5" t="s">
        <v>17</v>
      </c>
      <c r="J5" s="5" t="s">
        <v>155</v>
      </c>
    </row>
    <row r="6" spans="1:10" x14ac:dyDescent="0.25">
      <c r="A6" s="5" t="s">
        <v>21</v>
      </c>
      <c r="B6" s="5" t="s">
        <v>56</v>
      </c>
      <c r="C6" s="5" t="s">
        <v>17</v>
      </c>
      <c r="D6" s="5">
        <f>EXACT(G5,"Other (specify)")</f>
      </c>
      <c r="E6" s="5" t="s">
        <v>131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132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5 (enum)'!A4:A9</formula1>
    </dataValidation>
  </dataValidations>
  <hyperlinks>
    <hyperlink ref="C5" r:id="rId1" location="#'Treatment Technology 5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169</v>
      </c>
      <c r="C5" s="5" t="s">
        <v>17</v>
      </c>
      <c r="D5" s="5"/>
      <c r="E5" s="5" t="s">
        <v>182</v>
      </c>
      <c r="F5" s="5" t="s">
        <v>21</v>
      </c>
      <c r="G5" s="5" t="b">
        <v>1</v>
      </c>
      <c r="H5" s="5" t="s">
        <v>17</v>
      </c>
      <c r="I5" s="5" t="s">
        <v>17</v>
      </c>
      <c r="J5" s="5" t="s">
        <v>183</v>
      </c>
    </row>
    <row r="6" spans="1:10" x14ac:dyDescent="0.25">
      <c r="A6" s="5" t="s">
        <v>21</v>
      </c>
      <c r="B6" s="5" t="s">
        <v>89</v>
      </c>
      <c r="C6" s="5" t="s">
        <v>17</v>
      </c>
      <c r="D6" s="5">
        <f>EXACT(G5,true)</f>
      </c>
      <c r="E6" s="5" t="s">
        <v>184</v>
      </c>
      <c r="F6" s="5" t="s">
        <v>21</v>
      </c>
      <c r="G6" s="5" t="s">
        <v>91</v>
      </c>
      <c r="H6" s="5" t="s">
        <v>17</v>
      </c>
      <c r="I6" s="5" t="s">
        <v>17</v>
      </c>
      <c r="J6" s="5" t="s">
        <v>185</v>
      </c>
    </row>
    <row r="7" spans="1:10" x14ac:dyDescent="0.25">
      <c r="A7" s="5" t="s">
        <v>21</v>
      </c>
      <c r="B7" s="5" t="s">
        <v>26</v>
      </c>
      <c r="C7" s="5" t="s">
        <v>186</v>
      </c>
      <c r="D7" s="5">
        <f>EXACT(G5,true)</f>
      </c>
      <c r="E7" s="5" t="s">
        <v>187</v>
      </c>
      <c r="F7" s="5" t="s">
        <v>21</v>
      </c>
      <c r="G7" s="5" t="s">
        <v>1188</v>
      </c>
      <c r="H7" s="5" t="s">
        <v>17</v>
      </c>
      <c r="I7" s="5" t="s">
        <v>17</v>
      </c>
      <c r="J7" s="5" t="s">
        <v>189</v>
      </c>
    </row>
    <row r="8" spans="1:10" x14ac:dyDescent="0.25">
      <c r="A8" s="5" t="s">
        <v>21</v>
      </c>
      <c r="B8" s="5" t="s">
        <v>89</v>
      </c>
      <c r="C8" s="5" t="s">
        <v>17</v>
      </c>
      <c r="D8" s="5">
        <f>EXACT(G5,true)</f>
      </c>
      <c r="E8" s="5" t="s">
        <v>190</v>
      </c>
      <c r="F8" s="5" t="s">
        <v>21</v>
      </c>
      <c r="G8" s="5" t="s">
        <v>91</v>
      </c>
      <c r="H8" s="5" t="s">
        <v>17</v>
      </c>
      <c r="I8" s="5" t="s">
        <v>17</v>
      </c>
      <c r="J8" s="5" t="s">
        <v>191</v>
      </c>
    </row>
    <row r="9" spans="1:10" x14ac:dyDescent="0.25">
      <c r="A9" s="5" t="s">
        <v>21</v>
      </c>
      <c r="B9" s="5" t="s">
        <v>175</v>
      </c>
      <c r="C9" s="5" t="s">
        <v>17</v>
      </c>
      <c r="D9" s="5">
        <f>EXACT(G5,true)</f>
      </c>
      <c r="E9" s="5" t="s">
        <v>192</v>
      </c>
      <c r="F9" s="5" t="s">
        <v>21</v>
      </c>
      <c r="G9" s="5" t="s">
        <v>1189</v>
      </c>
      <c r="H9" s="5" t="s">
        <v>17</v>
      </c>
      <c r="I9" s="5" t="s">
        <v>17</v>
      </c>
      <c r="J9" s="5" t="s">
        <v>194</v>
      </c>
    </row>
    <row r="10" spans="1:10" x14ac:dyDescent="0.25">
      <c r="A10" s="5" t="s">
        <v>21</v>
      </c>
      <c r="B10" s="5" t="s">
        <v>175</v>
      </c>
      <c r="C10" s="5" t="s">
        <v>17</v>
      </c>
      <c r="D10" s="5">
        <f>EXACT(G5,true)</f>
      </c>
      <c r="E10" s="5" t="s">
        <v>195</v>
      </c>
      <c r="F10" s="5" t="s">
        <v>21</v>
      </c>
      <c r="G10" s="5" t="s">
        <v>1190</v>
      </c>
      <c r="H10" s="5" t="s">
        <v>17</v>
      </c>
      <c r="I10" s="5" t="s">
        <v>17</v>
      </c>
      <c r="J10" s="5" t="s">
        <v>197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854</v>
      </c>
      <c r="D5" s="5"/>
      <c r="E5" s="5" t="s">
        <v>123</v>
      </c>
      <c r="F5" s="5" t="s">
        <v>21</v>
      </c>
      <c r="G5" s="5" t="s">
        <v>124</v>
      </c>
      <c r="H5" s="5" t="s">
        <v>17</v>
      </c>
      <c r="I5" s="5" t="s">
        <v>17</v>
      </c>
      <c r="J5" s="5" t="s">
        <v>125</v>
      </c>
    </row>
    <row r="6" spans="1:10" x14ac:dyDescent="0.25">
      <c r="A6" s="5" t="s">
        <v>21</v>
      </c>
      <c r="B6" s="6" t="s">
        <v>855</v>
      </c>
      <c r="C6" s="5" t="s">
        <v>17</v>
      </c>
      <c r="D6" s="5">
        <f>EXACT(G5,"HWT, IWT")</f>
      </c>
      <c r="E6" s="5" t="s">
        <v>126</v>
      </c>
      <c r="F6" s="5" t="s">
        <v>21</v>
      </c>
      <c r="G6" s="5" t="s">
        <v>17</v>
      </c>
      <c r="H6" s="5" t="s">
        <v>17</v>
      </c>
      <c r="I6" s="5" t="s">
        <v>17</v>
      </c>
      <c r="J6" s="5" t="s">
        <v>127</v>
      </c>
    </row>
    <row r="7" spans="1:10" x14ac:dyDescent="0.25" outlineLevel="1" collapsed="1">
      <c r="A7" s="9" t="s">
        <v>15</v>
      </c>
      <c r="B7" s="9" t="s">
        <v>23</v>
      </c>
      <c r="C7" s="10" t="s">
        <v>856</v>
      </c>
      <c r="D7" s="9"/>
      <c r="E7" s="9" t="s">
        <v>126</v>
      </c>
      <c r="F7" s="9" t="s">
        <v>21</v>
      </c>
      <c r="G7" s="9" t="s">
        <v>129</v>
      </c>
      <c r="H7" s="9" t="s">
        <v>17</v>
      </c>
      <c r="I7" s="9" t="s">
        <v>17</v>
      </c>
      <c r="J7" s="9" t="s">
        <v>130</v>
      </c>
    </row>
    <row r="8" spans="1:10" x14ac:dyDescent="0.25" outlineLevel="1" collapsed="1">
      <c r="A8" s="9" t="s">
        <v>21</v>
      </c>
      <c r="B8" s="9" t="s">
        <v>56</v>
      </c>
      <c r="C8" s="9" t="s">
        <v>17</v>
      </c>
      <c r="D8" s="9">
        <f>EXACT(G7,"Other (specify)")</f>
      </c>
      <c r="E8" s="9" t="s">
        <v>131</v>
      </c>
      <c r="F8" s="9" t="s">
        <v>21</v>
      </c>
      <c r="G8" s="9" t="s">
        <v>58</v>
      </c>
      <c r="H8" s="9" t="s">
        <v>17</v>
      </c>
      <c r="I8" s="9" t="s">
        <v>17</v>
      </c>
      <c r="J8" s="9" t="s">
        <v>132</v>
      </c>
    </row>
    <row r="9" spans="1:10" x14ac:dyDescent="0.25">
      <c r="A9" s="5" t="s">
        <v>21</v>
      </c>
      <c r="B9" s="5" t="s">
        <v>56</v>
      </c>
      <c r="C9" s="5" t="s">
        <v>17</v>
      </c>
      <c r="D9" s="5">
        <f>EXACT(G5,"HWT, IWT")</f>
      </c>
      <c r="E9" s="5" t="s">
        <v>133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134</v>
      </c>
    </row>
    <row r="10" spans="1:10" x14ac:dyDescent="0.25">
      <c r="A10" s="5" t="s">
        <v>21</v>
      </c>
      <c r="B10" s="5" t="s">
        <v>56</v>
      </c>
      <c r="C10" s="5" t="s">
        <v>17</v>
      </c>
      <c r="D10" s="5">
        <f>EXACT(G5,"HWT, IWT")</f>
      </c>
      <c r="E10" s="5" t="s">
        <v>135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136</v>
      </c>
    </row>
    <row r="11" spans="1:10" x14ac:dyDescent="0.25">
      <c r="A11" s="5" t="s">
        <v>21</v>
      </c>
      <c r="B11" s="5" t="s">
        <v>56</v>
      </c>
      <c r="C11" s="5" t="s">
        <v>17</v>
      </c>
      <c r="D11" s="5">
        <f>EXACT(G5,"HWT, IWT")</f>
      </c>
      <c r="E11" s="5" t="s">
        <v>137</v>
      </c>
      <c r="F11" s="5" t="s">
        <v>21</v>
      </c>
      <c r="G11" s="5" t="s">
        <v>58</v>
      </c>
      <c r="H11" s="5" t="s">
        <v>17</v>
      </c>
      <c r="I11" s="5" t="s">
        <v>17</v>
      </c>
      <c r="J11" s="5" t="s">
        <v>138</v>
      </c>
    </row>
    <row r="12" spans="1:10" x14ac:dyDescent="0.25">
      <c r="A12" s="5" t="s">
        <v>21</v>
      </c>
      <c r="B12" s="5" t="s">
        <v>56</v>
      </c>
      <c r="C12" s="5" t="s">
        <v>17</v>
      </c>
      <c r="D12" s="5">
        <f>EXACT(G5,"HWT, IWT")</f>
      </c>
      <c r="E12" s="5" t="s">
        <v>139</v>
      </c>
      <c r="F12" s="5" t="s">
        <v>21</v>
      </c>
      <c r="G12" s="5" t="s">
        <v>58</v>
      </c>
      <c r="H12" s="5" t="s">
        <v>17</v>
      </c>
      <c r="I12" s="5" t="s">
        <v>17</v>
      </c>
      <c r="J12" s="5" t="s">
        <v>140</v>
      </c>
    </row>
    <row r="13" spans="1:10" x14ac:dyDescent="0.25">
      <c r="A13" s="5" t="s">
        <v>21</v>
      </c>
      <c r="B13" s="5" t="s">
        <v>79</v>
      </c>
      <c r="C13" s="5" t="s">
        <v>17</v>
      </c>
      <c r="D13" s="5">
        <f>EXACT(G5,"HWT, IWT")</f>
      </c>
      <c r="E13" s="5" t="s">
        <v>141</v>
      </c>
      <c r="F13" s="5" t="s">
        <v>21</v>
      </c>
      <c r="G13" s="5">
        <v>1</v>
      </c>
      <c r="H13" s="5" t="s">
        <v>17</v>
      </c>
      <c r="I13" s="5" t="s">
        <v>17</v>
      </c>
      <c r="J13" s="5" t="s">
        <v>142</v>
      </c>
    </row>
    <row r="14" spans="1:10" x14ac:dyDescent="0.25">
      <c r="A14" s="5" t="s">
        <v>21</v>
      </c>
      <c r="B14" s="5" t="s">
        <v>56</v>
      </c>
      <c r="C14" s="5" t="s">
        <v>17</v>
      </c>
      <c r="D14" s="5">
        <f>EXACT(G5,"HWT, IWT")</f>
      </c>
      <c r="E14" s="5" t="s">
        <v>143</v>
      </c>
      <c r="F14" s="5" t="s">
        <v>21</v>
      </c>
      <c r="G14" s="5" t="s">
        <v>58</v>
      </c>
      <c r="H14" s="5" t="s">
        <v>17</v>
      </c>
      <c r="I14" s="5" t="s">
        <v>17</v>
      </c>
      <c r="J14" s="5" t="s">
        <v>144</v>
      </c>
    </row>
    <row r="15" spans="1:10" x14ac:dyDescent="0.25">
      <c r="A15" s="5" t="s">
        <v>21</v>
      </c>
      <c r="B15" s="5" t="s">
        <v>79</v>
      </c>
      <c r="C15" s="5" t="s">
        <v>17</v>
      </c>
      <c r="D15" s="5">
        <f>EXACT(G5,"HWT, IWT")</f>
      </c>
      <c r="E15" s="5" t="s">
        <v>145</v>
      </c>
      <c r="F15" s="5" t="s">
        <v>21</v>
      </c>
      <c r="G15" s="5">
        <v>1</v>
      </c>
      <c r="H15" s="5" t="s">
        <v>17</v>
      </c>
      <c r="I15" s="5" t="s">
        <v>17</v>
      </c>
      <c r="J15" s="5" t="s">
        <v>146</v>
      </c>
    </row>
    <row r="16" spans="1:10" x14ac:dyDescent="0.25">
      <c r="A16" s="5" t="s">
        <v>21</v>
      </c>
      <c r="B16" s="5" t="s">
        <v>79</v>
      </c>
      <c r="C16" s="5" t="s">
        <v>17</v>
      </c>
      <c r="D16" s="5">
        <f>EXACT(G5,"HWT, IWT")</f>
      </c>
      <c r="E16" s="5" t="s">
        <v>147</v>
      </c>
      <c r="F16" s="5" t="s">
        <v>21</v>
      </c>
      <c r="G16" s="5">
        <v>1</v>
      </c>
      <c r="H16" s="5" t="s">
        <v>17</v>
      </c>
      <c r="I16" s="5" t="s">
        <v>17</v>
      </c>
      <c r="J16" s="5" t="s">
        <v>148</v>
      </c>
    </row>
    <row r="17" spans="1:10" x14ac:dyDescent="0.25">
      <c r="A17" s="5" t="s">
        <v>21</v>
      </c>
      <c r="B17" s="5" t="s">
        <v>56</v>
      </c>
      <c r="C17" s="5" t="s">
        <v>17</v>
      </c>
      <c r="D17" s="5">
        <f>EXACT(G5,"HWT, IWT")</f>
      </c>
      <c r="E17" s="5" t="s">
        <v>149</v>
      </c>
      <c r="F17" s="5" t="s">
        <v>21</v>
      </c>
      <c r="G17" s="5" t="s">
        <v>58</v>
      </c>
      <c r="H17" s="5" t="s">
        <v>17</v>
      </c>
      <c r="I17" s="5" t="s">
        <v>17</v>
      </c>
      <c r="J17" s="5" t="s">
        <v>150</v>
      </c>
    </row>
    <row r="18" spans="1:10" x14ac:dyDescent="0.25">
      <c r="A18" s="5" t="s">
        <v>21</v>
      </c>
      <c r="B18" s="6" t="s">
        <v>857</v>
      </c>
      <c r="C18" s="5" t="s">
        <v>17</v>
      </c>
      <c r="D18" s="5">
        <f>EXACT(G5,"CWT, CWS")</f>
      </c>
      <c r="E18" s="5" t="s">
        <v>126</v>
      </c>
      <c r="F18" s="5" t="s">
        <v>21</v>
      </c>
      <c r="G18" s="5" t="s">
        <v>17</v>
      </c>
      <c r="H18" s="5" t="s">
        <v>17</v>
      </c>
      <c r="I18" s="5" t="s">
        <v>17</v>
      </c>
      <c r="J18" s="5" t="s">
        <v>152</v>
      </c>
    </row>
    <row r="19" spans="1:10" x14ac:dyDescent="0.25" outlineLevel="1" collapsed="1">
      <c r="A19" s="9" t="s">
        <v>15</v>
      </c>
      <c r="B19" s="9" t="s">
        <v>23</v>
      </c>
      <c r="C19" s="10" t="s">
        <v>858</v>
      </c>
      <c r="D19" s="9"/>
      <c r="E19" s="9" t="s">
        <v>126</v>
      </c>
      <c r="F19" s="9" t="s">
        <v>21</v>
      </c>
      <c r="G19" s="9" t="s">
        <v>154</v>
      </c>
      <c r="H19" s="9" t="s">
        <v>17</v>
      </c>
      <c r="I19" s="9" t="s">
        <v>17</v>
      </c>
      <c r="J19" s="9" t="s">
        <v>155</v>
      </c>
    </row>
    <row r="20" spans="1:10" x14ac:dyDescent="0.25" outlineLevel="1" collapsed="1">
      <c r="A20" s="9" t="s">
        <v>21</v>
      </c>
      <c r="B20" s="9" t="s">
        <v>56</v>
      </c>
      <c r="C20" s="9" t="s">
        <v>17</v>
      </c>
      <c r="D20" s="9">
        <f>EXACT(G19,"Other (specify)")</f>
      </c>
      <c r="E20" s="9" t="s">
        <v>131</v>
      </c>
      <c r="F20" s="9" t="s">
        <v>21</v>
      </c>
      <c r="G20" s="9" t="s">
        <v>58</v>
      </c>
      <c r="H20" s="9" t="s">
        <v>17</v>
      </c>
      <c r="I20" s="9" t="s">
        <v>17</v>
      </c>
      <c r="J20" s="9" t="s">
        <v>132</v>
      </c>
    </row>
    <row r="21" spans="1:10" x14ac:dyDescent="0.25">
      <c r="A21" s="5" t="s">
        <v>21</v>
      </c>
      <c r="B21" s="5" t="s">
        <v>56</v>
      </c>
      <c r="C21" s="5" t="s">
        <v>17</v>
      </c>
      <c r="D21" s="5">
        <f>EXACT(G5,"CWT, CWS")</f>
      </c>
      <c r="E21" s="5" t="s">
        <v>133</v>
      </c>
      <c r="F21" s="5" t="s">
        <v>21</v>
      </c>
      <c r="G21" s="5" t="s">
        <v>58</v>
      </c>
      <c r="H21" s="5" t="s">
        <v>17</v>
      </c>
      <c r="I21" s="5" t="s">
        <v>17</v>
      </c>
      <c r="J21" s="5" t="s">
        <v>156</v>
      </c>
    </row>
    <row r="22" spans="1:10" x14ac:dyDescent="0.25">
      <c r="A22" s="5" t="s">
        <v>21</v>
      </c>
      <c r="B22" s="5" t="s">
        <v>56</v>
      </c>
      <c r="C22" s="5" t="s">
        <v>17</v>
      </c>
      <c r="D22" s="5">
        <f>EXACT(G5,"CWT, CWS")</f>
      </c>
      <c r="E22" s="5" t="s">
        <v>157</v>
      </c>
      <c r="F22" s="5" t="s">
        <v>21</v>
      </c>
      <c r="G22" s="5" t="s">
        <v>58</v>
      </c>
      <c r="H22" s="5" t="s">
        <v>17</v>
      </c>
      <c r="I22" s="5" t="s">
        <v>17</v>
      </c>
      <c r="J22" s="5" t="s">
        <v>158</v>
      </c>
    </row>
    <row r="23" spans="1:10" x14ac:dyDescent="0.25">
      <c r="A23" s="5" t="s">
        <v>21</v>
      </c>
      <c r="B23" s="5" t="s">
        <v>56</v>
      </c>
      <c r="C23" s="5" t="s">
        <v>17</v>
      </c>
      <c r="D23" s="5">
        <f>EXACT(G5,"CWT, CWS")</f>
      </c>
      <c r="E23" s="5" t="s">
        <v>159</v>
      </c>
      <c r="F23" s="5" t="s">
        <v>21</v>
      </c>
      <c r="G23" s="5" t="s">
        <v>58</v>
      </c>
      <c r="H23" s="5" t="s">
        <v>17</v>
      </c>
      <c r="I23" s="5" t="s">
        <v>17</v>
      </c>
      <c r="J23" s="5" t="s">
        <v>160</v>
      </c>
    </row>
    <row r="24" spans="1:10" x14ac:dyDescent="0.25">
      <c r="A24" s="5" t="s">
        <v>21</v>
      </c>
      <c r="B24" s="5" t="s">
        <v>79</v>
      </c>
      <c r="C24" s="5" t="s">
        <v>17</v>
      </c>
      <c r="D24" s="5">
        <f>EXACT(G5,"CWT, CWS")</f>
      </c>
      <c r="E24" s="5" t="s">
        <v>161</v>
      </c>
      <c r="F24" s="5" t="s">
        <v>21</v>
      </c>
      <c r="G24" s="5">
        <v>1</v>
      </c>
      <c r="H24" s="5" t="s">
        <v>17</v>
      </c>
      <c r="I24" s="5" t="s">
        <v>17</v>
      </c>
      <c r="J24" s="5" t="s">
        <v>162</v>
      </c>
    </row>
    <row r="25" spans="1:10" x14ac:dyDescent="0.25">
      <c r="A25" s="5" t="s">
        <v>21</v>
      </c>
      <c r="B25" s="5" t="s">
        <v>79</v>
      </c>
      <c r="C25" s="5" t="s">
        <v>17</v>
      </c>
      <c r="D25" s="5">
        <f>EXACT(G5,"CWT, CWS")</f>
      </c>
      <c r="E25" s="5" t="s">
        <v>163</v>
      </c>
      <c r="F25" s="5" t="s">
        <v>21</v>
      </c>
      <c r="G25" s="5">
        <v>1</v>
      </c>
      <c r="H25" s="5" t="s">
        <v>17</v>
      </c>
      <c r="I25" s="5" t="s">
        <v>17</v>
      </c>
      <c r="J25" s="5" t="s">
        <v>164</v>
      </c>
    </row>
    <row r="26" spans="1:10" x14ac:dyDescent="0.25">
      <c r="A26" s="5" t="s">
        <v>21</v>
      </c>
      <c r="B26" s="5" t="s">
        <v>56</v>
      </c>
      <c r="C26" s="5" t="s">
        <v>17</v>
      </c>
      <c r="D26" s="5">
        <f>EXACT(G5,"CWT, CWS")</f>
      </c>
      <c r="E26" s="5" t="s">
        <v>137</v>
      </c>
      <c r="F26" s="5" t="s">
        <v>21</v>
      </c>
      <c r="G26" s="5" t="s">
        <v>58</v>
      </c>
      <c r="H26" s="5" t="s">
        <v>17</v>
      </c>
      <c r="I26" s="5" t="s">
        <v>17</v>
      </c>
      <c r="J26" s="5" t="s">
        <v>165</v>
      </c>
    </row>
    <row r="27" spans="1:10" x14ac:dyDescent="0.25">
      <c r="A27" s="5" t="s">
        <v>21</v>
      </c>
      <c r="B27" s="5" t="s">
        <v>56</v>
      </c>
      <c r="C27" s="5" t="s">
        <v>17</v>
      </c>
      <c r="D27" s="5">
        <f>EXACT(G5,"CWT, CWS")</f>
      </c>
      <c r="E27" s="5" t="s">
        <v>139</v>
      </c>
      <c r="F27" s="5" t="s">
        <v>21</v>
      </c>
      <c r="G27" s="5" t="s">
        <v>58</v>
      </c>
      <c r="H27" s="5" t="s">
        <v>17</v>
      </c>
      <c r="I27" s="5" t="s">
        <v>17</v>
      </c>
      <c r="J27" s="5" t="s">
        <v>166</v>
      </c>
    </row>
    <row r="28" spans="1:10" x14ac:dyDescent="0.25">
      <c r="A28" s="5" t="s">
        <v>21</v>
      </c>
      <c r="B28" s="5" t="s">
        <v>56</v>
      </c>
      <c r="C28" s="5" t="s">
        <v>17</v>
      </c>
      <c r="D28" s="5">
        <f>EXACT(G5,"CWT, CWS")</f>
      </c>
      <c r="E28" s="5" t="s">
        <v>167</v>
      </c>
      <c r="F28" s="5" t="s">
        <v>21</v>
      </c>
      <c r="G28" s="5" t="s">
        <v>58</v>
      </c>
      <c r="H28" s="5" t="s">
        <v>17</v>
      </c>
      <c r="I28" s="5" t="s">
        <v>17</v>
      </c>
      <c r="J28" s="5" t="s">
        <v>168</v>
      </c>
    </row>
    <row r="29" spans="1:10" x14ac:dyDescent="0.25">
      <c r="A29" s="5" t="s">
        <v>21</v>
      </c>
      <c r="B29" s="5" t="s">
        <v>169</v>
      </c>
      <c r="C29" s="5" t="s">
        <v>17</v>
      </c>
      <c r="D29" s="5">
        <f>EXACT(G5,"CWT, CWS")</f>
      </c>
      <c r="E29" s="5" t="s">
        <v>170</v>
      </c>
      <c r="F29" s="5" t="s">
        <v>21</v>
      </c>
      <c r="G29" s="5" t="b">
        <v>1</v>
      </c>
      <c r="H29" s="5" t="s">
        <v>17</v>
      </c>
      <c r="I29" s="5" t="s">
        <v>17</v>
      </c>
      <c r="J29" s="5" t="s">
        <v>171</v>
      </c>
    </row>
    <row r="30" spans="1:10" x14ac:dyDescent="0.25">
      <c r="A30" s="5" t="s">
        <v>21</v>
      </c>
      <c r="B30" s="5" t="s">
        <v>56</v>
      </c>
      <c r="C30" s="5" t="s">
        <v>17</v>
      </c>
      <c r="D30" s="5">
        <f>EXACT(G5,"CWT, CWS")</f>
      </c>
      <c r="E30" s="5" t="s">
        <v>2</v>
      </c>
      <c r="F30" s="5" t="s">
        <v>21</v>
      </c>
      <c r="G30" s="5" t="s">
        <v>58</v>
      </c>
      <c r="H30" s="5" t="s">
        <v>17</v>
      </c>
      <c r="I30" s="5" t="s">
        <v>17</v>
      </c>
      <c r="J30" s="5" t="s">
        <v>172</v>
      </c>
    </row>
    <row r="31" spans="1:10" x14ac:dyDescent="0.25">
      <c r="A31" s="5" t="s">
        <v>21</v>
      </c>
      <c r="B31" s="5" t="s">
        <v>56</v>
      </c>
      <c r="C31" s="5" t="s">
        <v>17</v>
      </c>
      <c r="D31" s="5">
        <f>EXACT(G5,"CWT, CWS")</f>
      </c>
      <c r="E31" s="5" t="s">
        <v>173</v>
      </c>
      <c r="F31" s="5" t="s">
        <v>21</v>
      </c>
      <c r="G31" s="5" t="s">
        <v>58</v>
      </c>
      <c r="H31" s="5" t="s">
        <v>17</v>
      </c>
      <c r="I31" s="5" t="s">
        <v>17</v>
      </c>
      <c r="J31" s="5" t="s">
        <v>174</v>
      </c>
    </row>
    <row r="32" spans="1:10" x14ac:dyDescent="0.25">
      <c r="A32" s="5" t="s">
        <v>21</v>
      </c>
      <c r="B32" s="5" t="s">
        <v>175</v>
      </c>
      <c r="C32" s="5" t="s">
        <v>17</v>
      </c>
      <c r="D32" s="5">
        <f>EXACT(G5,"CWT, CWS")</f>
      </c>
      <c r="E32" s="5" t="s">
        <v>176</v>
      </c>
      <c r="F32" s="5" t="s">
        <v>21</v>
      </c>
      <c r="G32" s="5" t="s">
        <v>1191</v>
      </c>
      <c r="H32" s="5" t="s">
        <v>17</v>
      </c>
      <c r="I32" s="5" t="s">
        <v>17</v>
      </c>
      <c r="J32" s="5" t="s">
        <v>178</v>
      </c>
    </row>
    <row r="33" spans="1:10" x14ac:dyDescent="0.25">
      <c r="A33" s="5" t="s">
        <v>21</v>
      </c>
      <c r="B33" s="6" t="s">
        <v>860</v>
      </c>
      <c r="C33" s="5" t="s">
        <v>17</v>
      </c>
      <c r="D33" s="5">
        <f>EXACT(G5,"CWT, CWS")</f>
      </c>
      <c r="E33" s="5" t="s">
        <v>180</v>
      </c>
      <c r="F33" s="5" t="s">
        <v>21</v>
      </c>
      <c r="G33" s="5" t="s">
        <v>17</v>
      </c>
      <c r="H33" s="5" t="s">
        <v>17</v>
      </c>
      <c r="I33" s="5" t="s">
        <v>17</v>
      </c>
      <c r="J33" s="5" t="s">
        <v>181</v>
      </c>
    </row>
    <row r="34" spans="1:10" x14ac:dyDescent="0.25" outlineLevel="1" collapsed="1">
      <c r="A34" s="9" t="s">
        <v>15</v>
      </c>
      <c r="B34" s="9" t="s">
        <v>169</v>
      </c>
      <c r="C34" s="9" t="s">
        <v>17</v>
      </c>
      <c r="D34" s="9"/>
      <c r="E34" s="9" t="s">
        <v>182</v>
      </c>
      <c r="F34" s="9" t="s">
        <v>21</v>
      </c>
      <c r="G34" s="9" t="b">
        <v>1</v>
      </c>
      <c r="H34" s="9" t="s">
        <v>17</v>
      </c>
      <c r="I34" s="9" t="s">
        <v>17</v>
      </c>
      <c r="J34" s="9" t="s">
        <v>183</v>
      </c>
    </row>
    <row r="35" spans="1:10" x14ac:dyDescent="0.25" outlineLevel="1" collapsed="1">
      <c r="A35" s="9" t="s">
        <v>21</v>
      </c>
      <c r="B35" s="9" t="s">
        <v>89</v>
      </c>
      <c r="C35" s="9" t="s">
        <v>17</v>
      </c>
      <c r="D35" s="9">
        <f>EXACT(G34,true)</f>
      </c>
      <c r="E35" s="9" t="s">
        <v>184</v>
      </c>
      <c r="F35" s="9" t="s">
        <v>21</v>
      </c>
      <c r="G35" s="9" t="s">
        <v>91</v>
      </c>
      <c r="H35" s="9" t="s">
        <v>17</v>
      </c>
      <c r="I35" s="9" t="s">
        <v>17</v>
      </c>
      <c r="J35" s="9" t="s">
        <v>185</v>
      </c>
    </row>
    <row r="36" spans="1:10" x14ac:dyDescent="0.25" outlineLevel="1" collapsed="1">
      <c r="A36" s="9" t="s">
        <v>21</v>
      </c>
      <c r="B36" s="9" t="s">
        <v>26</v>
      </c>
      <c r="C36" s="9" t="s">
        <v>186</v>
      </c>
      <c r="D36" s="9">
        <f>EXACT(G34,true)</f>
      </c>
      <c r="E36" s="9" t="s">
        <v>187</v>
      </c>
      <c r="F36" s="9" t="s">
        <v>21</v>
      </c>
      <c r="G36" s="9" t="s">
        <v>1192</v>
      </c>
      <c r="H36" s="9" t="s">
        <v>17</v>
      </c>
      <c r="I36" s="9" t="s">
        <v>17</v>
      </c>
      <c r="J36" s="9" t="s">
        <v>189</v>
      </c>
    </row>
    <row r="37" spans="1:10" x14ac:dyDescent="0.25" outlineLevel="1" collapsed="1">
      <c r="A37" s="9" t="s">
        <v>21</v>
      </c>
      <c r="B37" s="9" t="s">
        <v>89</v>
      </c>
      <c r="C37" s="9" t="s">
        <v>17</v>
      </c>
      <c r="D37" s="9">
        <f>EXACT(G34,true)</f>
      </c>
      <c r="E37" s="9" t="s">
        <v>190</v>
      </c>
      <c r="F37" s="9" t="s">
        <v>21</v>
      </c>
      <c r="G37" s="9" t="s">
        <v>91</v>
      </c>
      <c r="H37" s="9" t="s">
        <v>17</v>
      </c>
      <c r="I37" s="9" t="s">
        <v>17</v>
      </c>
      <c r="J37" s="9" t="s">
        <v>191</v>
      </c>
    </row>
    <row r="38" spans="1:10" x14ac:dyDescent="0.25" outlineLevel="1" collapsed="1">
      <c r="A38" s="9" t="s">
        <v>21</v>
      </c>
      <c r="B38" s="9" t="s">
        <v>175</v>
      </c>
      <c r="C38" s="9" t="s">
        <v>17</v>
      </c>
      <c r="D38" s="9">
        <f>EXACT(G34,true)</f>
      </c>
      <c r="E38" s="9" t="s">
        <v>192</v>
      </c>
      <c r="F38" s="9" t="s">
        <v>21</v>
      </c>
      <c r="G38" s="9" t="s">
        <v>1193</v>
      </c>
      <c r="H38" s="9" t="s">
        <v>17</v>
      </c>
      <c r="I38" s="9" t="s">
        <v>17</v>
      </c>
      <c r="J38" s="9" t="s">
        <v>194</v>
      </c>
    </row>
    <row r="39" spans="1:10" x14ac:dyDescent="0.25" outlineLevel="1" collapsed="1">
      <c r="A39" s="9" t="s">
        <v>21</v>
      </c>
      <c r="B39" s="9" t="s">
        <v>175</v>
      </c>
      <c r="C39" s="9" t="s">
        <v>17</v>
      </c>
      <c r="D39" s="9">
        <f>EXACT(G34,true)</f>
      </c>
      <c r="E39" s="9" t="s">
        <v>195</v>
      </c>
      <c r="F39" s="9" t="s">
        <v>21</v>
      </c>
      <c r="G39" s="9" t="s">
        <v>1194</v>
      </c>
      <c r="H39" s="9" t="s">
        <v>17</v>
      </c>
      <c r="I39" s="9" t="s">
        <v>17</v>
      </c>
      <c r="J39" s="9" t="s">
        <v>197</v>
      </c>
    </row>
    <row r="40" spans="1:10" x14ac:dyDescent="0.25">
      <c r="A40" s="5" t="s">
        <v>15</v>
      </c>
      <c r="B40" s="5" t="s">
        <v>56</v>
      </c>
      <c r="C40" s="5" t="s">
        <v>17</v>
      </c>
      <c r="D40" s="5"/>
      <c r="E40" s="5" t="s">
        <v>198</v>
      </c>
      <c r="F40" s="5" t="s">
        <v>21</v>
      </c>
      <c r="G40" s="5" t="s">
        <v>58</v>
      </c>
      <c r="H40" s="5" t="s">
        <v>17</v>
      </c>
      <c r="I40" s="5" t="s">
        <v>17</v>
      </c>
      <c r="J40" s="5" t="s">
        <v>199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5 (enum)'!A4:A9</formula1>
    </dataValidation>
    <dataValidation type="list" allowBlank="1" sqref="G5:I5">
      <formula1>'Treatment Technology 6 (enum)'!A4:A5</formula1>
    </dataValidation>
    <dataValidation type="list" allowBlank="1" sqref="G7:I7">
      <formula1>'Treatment Technology 4 (enum)'!A4:A9</formula1>
    </dataValidation>
  </dataValidations>
  <hyperlinks>
    <hyperlink ref="C5" r:id="rId1" location="#'Treatment Technology 6 (enum)'!A3"/>
    <hyperlink ref="B6" r:id="rId2" location="#'Treatment Technology Sub-ty 3'!A1"/>
    <hyperlink ref="C7" r:id="rId3" location="#'Treatment Technology 4 (enum)'!A3"/>
    <hyperlink ref="B18" r:id="rId4" location="#'Treatment Technology Sub-ty 4'!A1"/>
    <hyperlink ref="C19" r:id="rId5" location="#'Treatment Technology 5 (enum)'!A3"/>
    <hyperlink ref="B33" r:id="rId6" location="#'If the Project Installation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867</v>
      </c>
      <c r="D5" s="5"/>
      <c r="E5" s="5" t="s">
        <v>20</v>
      </c>
      <c r="F5" s="5" t="s">
        <v>21</v>
      </c>
      <c r="G5" s="5" t="s">
        <v>25</v>
      </c>
      <c r="H5" s="5" t="s">
        <v>17</v>
      </c>
      <c r="I5" s="5" t="s">
        <v>17</v>
      </c>
      <c r="J5" s="5" t="s">
        <v>22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'Country 4 (enum)'!A4:A256</formula1>
    </dataValidation>
  </dataValidations>
  <hyperlinks>
    <hyperlink ref="C5" r:id="rId1" location="#'Country 4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866</v>
      </c>
      <c r="C5" s="5" t="s">
        <v>17</v>
      </c>
      <c r="D5" s="5"/>
      <c r="E5" s="5" t="s">
        <v>20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22</v>
      </c>
    </row>
    <row r="6" spans="1:10" x14ac:dyDescent="0.25" outlineLevel="1" collapsed="1">
      <c r="A6" s="9" t="s">
        <v>15</v>
      </c>
      <c r="B6" s="9" t="s">
        <v>23</v>
      </c>
      <c r="C6" s="10" t="s">
        <v>867</v>
      </c>
      <c r="D6" s="9"/>
      <c r="E6" s="9" t="s">
        <v>20</v>
      </c>
      <c r="F6" s="9" t="s">
        <v>21</v>
      </c>
      <c r="G6" s="9" t="s">
        <v>25</v>
      </c>
      <c r="H6" s="9" t="s">
        <v>17</v>
      </c>
      <c r="I6" s="9" t="s">
        <v>17</v>
      </c>
      <c r="J6" s="9" t="s">
        <v>22</v>
      </c>
    </row>
    <row r="7" spans="1:10" x14ac:dyDescent="0.25">
      <c r="A7" s="5" t="s">
        <v>15</v>
      </c>
      <c r="B7" s="5" t="s">
        <v>26</v>
      </c>
      <c r="C7" s="5" t="s">
        <v>27</v>
      </c>
      <c r="D7" s="5"/>
      <c r="E7" s="5" t="s">
        <v>28</v>
      </c>
      <c r="F7" s="5" t="s">
        <v>21</v>
      </c>
      <c r="G7" s="5" t="s">
        <v>1195</v>
      </c>
      <c r="H7" s="5" t="s">
        <v>17</v>
      </c>
      <c r="I7" s="5" t="s">
        <v>17</v>
      </c>
      <c r="J7" s="5" t="s">
        <v>30</v>
      </c>
    </row>
    <row r="8" spans="1:10" x14ac:dyDescent="0.25">
      <c r="A8" s="5" t="s">
        <v>15</v>
      </c>
      <c r="B8" s="5" t="s">
        <v>26</v>
      </c>
      <c r="C8" s="5" t="s">
        <v>31</v>
      </c>
      <c r="D8" s="5"/>
      <c r="E8" s="5" t="s">
        <v>32</v>
      </c>
      <c r="F8" s="5" t="s">
        <v>21</v>
      </c>
      <c r="G8" s="5" t="s">
        <v>1196</v>
      </c>
      <c r="H8" s="5" t="s">
        <v>17</v>
      </c>
      <c r="I8" s="5" t="s">
        <v>17</v>
      </c>
      <c r="J8" s="5" t="s">
        <v>34</v>
      </c>
    </row>
    <row r="9" spans="1:10" x14ac:dyDescent="0.25">
      <c r="A9" s="5" t="s">
        <v>15</v>
      </c>
      <c r="B9" s="5" t="s">
        <v>26</v>
      </c>
      <c r="C9" s="5" t="s">
        <v>35</v>
      </c>
      <c r="D9" s="5"/>
      <c r="E9" s="5" t="s">
        <v>36</v>
      </c>
      <c r="F9" s="5" t="s">
        <v>21</v>
      </c>
      <c r="G9" s="5" t="s">
        <v>1197</v>
      </c>
      <c r="H9" s="5" t="s">
        <v>17</v>
      </c>
      <c r="I9" s="5" t="s">
        <v>17</v>
      </c>
      <c r="J9" s="5" t="s">
        <v>38</v>
      </c>
    </row>
    <row r="10" spans="1:10" x14ac:dyDescent="0.25">
      <c r="A10" s="5" t="s">
        <v>15</v>
      </c>
      <c r="B10" s="5" t="s">
        <v>23</v>
      </c>
      <c r="C10" s="6" t="s">
        <v>871</v>
      </c>
      <c r="D10" s="5"/>
      <c r="E10" s="5" t="s">
        <v>40</v>
      </c>
      <c r="F10" s="5" t="s">
        <v>21</v>
      </c>
      <c r="G10" s="5" t="s">
        <v>41</v>
      </c>
      <c r="H10" s="5" t="s">
        <v>17</v>
      </c>
      <c r="I10" s="5" t="s">
        <v>17</v>
      </c>
      <c r="J10" s="5" t="s">
        <v>42</v>
      </c>
    </row>
    <row r="11" spans="1:10" x14ac:dyDescent="0.25">
      <c r="A11" s="5" t="s">
        <v>15</v>
      </c>
      <c r="B11" s="5" t="s">
        <v>43</v>
      </c>
      <c r="C11" s="5" t="s">
        <v>17</v>
      </c>
      <c r="D11" s="5"/>
      <c r="E11" s="5" t="s">
        <v>44</v>
      </c>
      <c r="F11" s="5" t="s">
        <v>21</v>
      </c>
      <c r="G11" s="5" t="s">
        <v>17</v>
      </c>
      <c r="H11" s="5" t="s">
        <v>17</v>
      </c>
      <c r="I11" s="5" t="s">
        <v>17</v>
      </c>
      <c r="J11" s="5" t="s">
        <v>19</v>
      </c>
    </row>
    <row r="12" spans="1:10" x14ac:dyDescent="0.25">
      <c r="A12" s="5" t="s">
        <v>15</v>
      </c>
      <c r="B12" s="5" t="s">
        <v>26</v>
      </c>
      <c r="C12" s="5" t="s">
        <v>45</v>
      </c>
      <c r="D12" s="5"/>
      <c r="E12" s="5" t="s">
        <v>46</v>
      </c>
      <c r="F12" s="5" t="s">
        <v>21</v>
      </c>
      <c r="G12" s="5" t="s">
        <v>1198</v>
      </c>
      <c r="H12" s="5" t="s">
        <v>17</v>
      </c>
      <c r="I12" s="5" t="s">
        <v>17</v>
      </c>
      <c r="J12" s="5" t="s">
        <v>48</v>
      </c>
    </row>
    <row r="13" spans="1:10" x14ac:dyDescent="0.25">
      <c r="A13" s="5" t="s">
        <v>15</v>
      </c>
      <c r="B13" s="5" t="s">
        <v>26</v>
      </c>
      <c r="C13" s="5" t="s">
        <v>49</v>
      </c>
      <c r="D13" s="5"/>
      <c r="E13" s="5" t="s">
        <v>50</v>
      </c>
      <c r="F13" s="5" t="s">
        <v>21</v>
      </c>
      <c r="G13" s="5" t="s">
        <v>1199</v>
      </c>
      <c r="H13" s="5" t="s">
        <v>17</v>
      </c>
      <c r="I13" s="5" t="s">
        <v>17</v>
      </c>
      <c r="J13" s="5" t="s">
        <v>52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'UrbanRural Classific 2 (enum)'!A4:A5</formula1>
    </dataValidation>
    <dataValidation type="list" allowBlank="1" sqref="G6:I6">
      <formula1>'Country 4 (enum)'!A4:A256</formula1>
    </dataValidation>
  </dataValidations>
  <hyperlinks>
    <hyperlink ref="B5" r:id="rId1" location="#'Country 2'!A1"/>
    <hyperlink ref="C6" r:id="rId2" location="#'Country 4 (enum)'!A3"/>
    <hyperlink ref="C10" r:id="rId3" location="#'UrbanRural Classific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874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877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878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879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880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881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882</v>
      </c>
    </row>
    <row r="8" spans="1:10" x14ac:dyDescent="0.25">
      <c r="A8" s="5" t="s">
        <v>15</v>
      </c>
      <c r="B8" s="5" t="s">
        <v>89</v>
      </c>
      <c r="C8" s="5" t="s">
        <v>17</v>
      </c>
      <c r="D8" s="5"/>
      <c r="E8" s="5" t="s">
        <v>883</v>
      </c>
      <c r="F8" s="5" t="s">
        <v>21</v>
      </c>
      <c r="G8" s="5" t="s">
        <v>91</v>
      </c>
      <c r="H8" s="5" t="s">
        <v>17</v>
      </c>
      <c r="I8" s="5" t="s">
        <v>17</v>
      </c>
      <c r="J8" s="5" t="s">
        <v>884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889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890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891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892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893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894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895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896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905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89</v>
      </c>
      <c r="C5" s="5" t="s">
        <v>17</v>
      </c>
      <c r="D5" s="5"/>
      <c r="E5" s="5" t="s">
        <v>906</v>
      </c>
      <c r="F5" s="5" t="s">
        <v>21</v>
      </c>
      <c r="G5" s="5" t="s">
        <v>91</v>
      </c>
      <c r="H5" s="5" t="s">
        <v>17</v>
      </c>
      <c r="I5" s="5" t="s">
        <v>17</v>
      </c>
      <c r="J5" s="5" t="s">
        <v>907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908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909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910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911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912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913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914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915</v>
      </c>
    </row>
    <row r="10" spans="1:10" x14ac:dyDescent="0.25">
      <c r="A10" s="5" t="s">
        <v>15</v>
      </c>
      <c r="B10" s="5" t="s">
        <v>56</v>
      </c>
      <c r="C10" s="5" t="s">
        <v>17</v>
      </c>
      <c r="D10" s="5"/>
      <c r="E10" s="5" t="s">
        <v>916</v>
      </c>
      <c r="F10" s="5" t="s">
        <v>21</v>
      </c>
      <c r="G10" s="5" t="s">
        <v>58</v>
      </c>
      <c r="H10" s="5" t="s">
        <v>17</v>
      </c>
      <c r="I10" s="5" t="s">
        <v>17</v>
      </c>
      <c r="J10" s="5" t="s">
        <v>917</v>
      </c>
    </row>
    <row r="11" spans="1:10" x14ac:dyDescent="0.25">
      <c r="A11" s="5" t="s">
        <v>15</v>
      </c>
      <c r="B11" s="5" t="s">
        <v>26</v>
      </c>
      <c r="C11" s="5" t="s">
        <v>918</v>
      </c>
      <c r="D11" s="5"/>
      <c r="E11" s="5" t="s">
        <v>919</v>
      </c>
      <c r="F11" s="5" t="s">
        <v>21</v>
      </c>
      <c r="G11" s="5" t="s">
        <v>1201</v>
      </c>
      <c r="H11" s="5" t="s">
        <v>17</v>
      </c>
      <c r="I11" s="5" t="s">
        <v>17</v>
      </c>
      <c r="J11" s="5" t="s">
        <v>921</v>
      </c>
    </row>
    <row r="12" spans="1:10" x14ac:dyDescent="0.25">
      <c r="A12" s="5" t="s">
        <v>15</v>
      </c>
      <c r="B12" s="5" t="s">
        <v>386</v>
      </c>
      <c r="C12" s="5" t="s">
        <v>17</v>
      </c>
      <c r="D12" s="5"/>
      <c r="E12" s="5" t="s">
        <v>922</v>
      </c>
      <c r="F12" s="5" t="s">
        <v>21</v>
      </c>
      <c r="G12" s="5">
        <v>1</v>
      </c>
      <c r="H12" s="5" t="s">
        <v>17</v>
      </c>
      <c r="I12" s="5" t="s">
        <v>17</v>
      </c>
      <c r="J12" s="5" t="s">
        <v>923</v>
      </c>
    </row>
    <row r="13" spans="1:10" x14ac:dyDescent="0.25">
      <c r="A13" s="5" t="s">
        <v>15</v>
      </c>
      <c r="B13" s="5" t="s">
        <v>56</v>
      </c>
      <c r="C13" s="5" t="s">
        <v>17</v>
      </c>
      <c r="D13" s="5"/>
      <c r="E13" s="5" t="s">
        <v>924</v>
      </c>
      <c r="F13" s="5" t="s">
        <v>21</v>
      </c>
      <c r="G13" s="5" t="s">
        <v>58</v>
      </c>
      <c r="H13" s="5" t="s">
        <v>17</v>
      </c>
      <c r="I13" s="5" t="s">
        <v>17</v>
      </c>
      <c r="J13" s="5" t="s">
        <v>925</v>
      </c>
    </row>
    <row r="14" spans="1:10" x14ac:dyDescent="0.25">
      <c r="A14" s="5" t="s">
        <v>15</v>
      </c>
      <c r="B14" s="5" t="s">
        <v>175</v>
      </c>
      <c r="C14" s="5" t="s">
        <v>17</v>
      </c>
      <c r="D14" s="5"/>
      <c r="E14" s="5" t="s">
        <v>926</v>
      </c>
      <c r="F14" s="5" t="s">
        <v>21</v>
      </c>
      <c r="G14" s="5" t="s">
        <v>1202</v>
      </c>
      <c r="H14" s="5" t="s">
        <v>17</v>
      </c>
      <c r="I14" s="5" t="s">
        <v>17</v>
      </c>
      <c r="J14" s="5" t="s">
        <v>928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1204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933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934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935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936</v>
      </c>
    </row>
    <row r="7" spans="1:10" x14ac:dyDescent="0.25">
      <c r="A7" s="5" t="s">
        <v>15</v>
      </c>
      <c r="B7" s="5" t="s">
        <v>386</v>
      </c>
      <c r="C7" s="5" t="s">
        <v>17</v>
      </c>
      <c r="D7" s="5"/>
      <c r="E7" s="5" t="s">
        <v>937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938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939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940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941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942</v>
      </c>
    </row>
    <row r="10" spans="1:10" x14ac:dyDescent="0.25">
      <c r="A10" s="5" t="s">
        <v>15</v>
      </c>
      <c r="B10" s="5" t="s">
        <v>169</v>
      </c>
      <c r="C10" s="5" t="s">
        <v>17</v>
      </c>
      <c r="D10" s="5"/>
      <c r="E10" s="5" t="s">
        <v>943</v>
      </c>
      <c r="F10" s="5" t="s">
        <v>21</v>
      </c>
      <c r="G10" s="5" t="b">
        <v>1</v>
      </c>
      <c r="H10" s="5" t="s">
        <v>17</v>
      </c>
      <c r="I10" s="5" t="s">
        <v>17</v>
      </c>
      <c r="J10" s="5" t="s">
        <v>944</v>
      </c>
    </row>
    <row r="11" spans="1:10" x14ac:dyDescent="0.25">
      <c r="A11" s="5" t="s">
        <v>15</v>
      </c>
      <c r="B11" s="5" t="s">
        <v>56</v>
      </c>
      <c r="C11" s="5" t="s">
        <v>17</v>
      </c>
      <c r="D11" s="5"/>
      <c r="E11" s="5" t="s">
        <v>945</v>
      </c>
      <c r="F11" s="5" t="s">
        <v>21</v>
      </c>
      <c r="G11" s="5" t="s">
        <v>58</v>
      </c>
      <c r="H11" s="5" t="s">
        <v>17</v>
      </c>
      <c r="I11" s="5" t="s">
        <v>17</v>
      </c>
      <c r="J11" s="5" t="s">
        <v>946</v>
      </c>
    </row>
    <row r="12" spans="1:10" x14ac:dyDescent="0.25">
      <c r="A12" s="5" t="s">
        <v>15</v>
      </c>
      <c r="B12" s="5" t="s">
        <v>175</v>
      </c>
      <c r="C12" s="5" t="s">
        <v>17</v>
      </c>
      <c r="D12" s="5"/>
      <c r="E12" s="5" t="s">
        <v>947</v>
      </c>
      <c r="F12" s="5" t="s">
        <v>21</v>
      </c>
      <c r="G12" s="5" t="s">
        <v>1205</v>
      </c>
      <c r="H12" s="5" t="s">
        <v>17</v>
      </c>
      <c r="I12" s="5" t="s">
        <v>17</v>
      </c>
      <c r="J12" s="5" t="s">
        <v>949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951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386</v>
      </c>
      <c r="C5" s="5" t="s">
        <v>17</v>
      </c>
      <c r="D5" s="5"/>
      <c r="E5" s="5" t="s">
        <v>953</v>
      </c>
      <c r="F5" s="5" t="s">
        <v>21</v>
      </c>
      <c r="G5" s="5">
        <v>1</v>
      </c>
      <c r="H5" s="5" t="s">
        <v>17</v>
      </c>
      <c r="I5" s="5" t="s">
        <v>17</v>
      </c>
      <c r="J5" s="5" t="s">
        <v>954</v>
      </c>
    </row>
    <row r="6" spans="1:10" x14ac:dyDescent="0.25">
      <c r="A6" s="5" t="s">
        <v>15</v>
      </c>
      <c r="B6" s="5" t="s">
        <v>386</v>
      </c>
      <c r="C6" s="5" t="s">
        <v>17</v>
      </c>
      <c r="D6" s="5"/>
      <c r="E6" s="5" t="s">
        <v>955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956</v>
      </c>
    </row>
    <row r="7" spans="1:10" x14ac:dyDescent="0.25">
      <c r="A7" s="5" t="s">
        <v>15</v>
      </c>
      <c r="B7" s="5" t="s">
        <v>386</v>
      </c>
      <c r="C7" s="5" t="s">
        <v>17</v>
      </c>
      <c r="D7" s="5"/>
      <c r="E7" s="5" t="s">
        <v>957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958</v>
      </c>
    </row>
    <row r="8" spans="1:10" x14ac:dyDescent="0.25">
      <c r="A8" s="5" t="s">
        <v>15</v>
      </c>
      <c r="B8" s="5" t="s">
        <v>79</v>
      </c>
      <c r="C8" s="5" t="s">
        <v>17</v>
      </c>
      <c r="D8" s="5"/>
      <c r="E8" s="5" t="s">
        <v>959</v>
      </c>
      <c r="F8" s="5" t="s">
        <v>21</v>
      </c>
      <c r="G8" s="5">
        <v>1</v>
      </c>
      <c r="H8" s="5" t="s">
        <v>17</v>
      </c>
      <c r="I8" s="5" t="s">
        <v>17</v>
      </c>
      <c r="J8" s="5" t="s">
        <v>960</v>
      </c>
    </row>
    <row r="9" spans="1:10" x14ac:dyDescent="0.25">
      <c r="A9" s="5" t="s">
        <v>15</v>
      </c>
      <c r="B9" s="5" t="s">
        <v>386</v>
      </c>
      <c r="C9" s="5" t="s">
        <v>17</v>
      </c>
      <c r="D9" s="5"/>
      <c r="E9" s="5" t="s">
        <v>961</v>
      </c>
      <c r="F9" s="5" t="s">
        <v>21</v>
      </c>
      <c r="G9" s="5">
        <v>1</v>
      </c>
      <c r="H9" s="5" t="s">
        <v>17</v>
      </c>
      <c r="I9" s="5" t="s">
        <v>17</v>
      </c>
      <c r="J9" s="5" t="s">
        <v>962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964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169</v>
      </c>
      <c r="C5" s="5" t="s">
        <v>17</v>
      </c>
      <c r="D5" s="5"/>
      <c r="E5" s="5" t="s">
        <v>965</v>
      </c>
      <c r="F5" s="5" t="s">
        <v>21</v>
      </c>
      <c r="G5" s="5" t="b">
        <v>1</v>
      </c>
      <c r="H5" s="5" t="s">
        <v>17</v>
      </c>
      <c r="I5" s="5" t="s">
        <v>17</v>
      </c>
      <c r="J5" s="5" t="s">
        <v>966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967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968</v>
      </c>
    </row>
    <row r="7" spans="1:10" x14ac:dyDescent="0.25">
      <c r="A7" s="5" t="s">
        <v>15</v>
      </c>
      <c r="B7" s="5" t="s">
        <v>26</v>
      </c>
      <c r="C7" s="5" t="s">
        <v>918</v>
      </c>
      <c r="D7" s="5"/>
      <c r="E7" s="5" t="s">
        <v>969</v>
      </c>
      <c r="F7" s="5" t="s">
        <v>21</v>
      </c>
      <c r="G7" s="5" t="s">
        <v>1208</v>
      </c>
      <c r="H7" s="5" t="s">
        <v>17</v>
      </c>
      <c r="I7" s="5" t="s">
        <v>17</v>
      </c>
      <c r="J7" s="5" t="s">
        <v>971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972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973</v>
      </c>
    </row>
    <row r="9" spans="1:10" x14ac:dyDescent="0.25">
      <c r="A9" s="5" t="s">
        <v>15</v>
      </c>
      <c r="B9" s="5" t="s">
        <v>56</v>
      </c>
      <c r="C9" s="5" t="s">
        <v>17</v>
      </c>
      <c r="D9" s="5"/>
      <c r="E9" s="5" t="s">
        <v>974</v>
      </c>
      <c r="F9" s="5" t="s">
        <v>21</v>
      </c>
      <c r="G9" s="5" t="s">
        <v>58</v>
      </c>
      <c r="H9" s="5" t="s">
        <v>17</v>
      </c>
      <c r="I9" s="5" t="s">
        <v>17</v>
      </c>
      <c r="J9" s="5" t="s">
        <v>975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977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89</v>
      </c>
      <c r="C5" s="5" t="s">
        <v>17</v>
      </c>
      <c r="D5" s="5"/>
      <c r="E5" s="5" t="s">
        <v>979</v>
      </c>
      <c r="F5" s="5" t="s">
        <v>21</v>
      </c>
      <c r="G5" s="5" t="s">
        <v>91</v>
      </c>
      <c r="H5" s="5" t="s">
        <v>17</v>
      </c>
      <c r="I5" s="5" t="s">
        <v>17</v>
      </c>
      <c r="J5" s="5" t="s">
        <v>980</v>
      </c>
    </row>
    <row r="6" spans="1:10" x14ac:dyDescent="0.25">
      <c r="A6" s="5" t="s">
        <v>15</v>
      </c>
      <c r="B6" s="5" t="s">
        <v>56</v>
      </c>
      <c r="C6" s="5" t="s">
        <v>17</v>
      </c>
      <c r="D6" s="5"/>
      <c r="E6" s="5" t="s">
        <v>981</v>
      </c>
      <c r="F6" s="5" t="s">
        <v>21</v>
      </c>
      <c r="G6" s="5" t="s">
        <v>58</v>
      </c>
      <c r="H6" s="5" t="s">
        <v>17</v>
      </c>
      <c r="I6" s="5" t="s">
        <v>17</v>
      </c>
      <c r="J6" s="5" t="s">
        <v>982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271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272</v>
      </c>
    </row>
    <row r="8" spans="1:10" x14ac:dyDescent="0.25">
      <c r="A8" s="5" t="s">
        <v>15</v>
      </c>
      <c r="B8" s="5" t="s">
        <v>175</v>
      </c>
      <c r="C8" s="5" t="s">
        <v>17</v>
      </c>
      <c r="D8" s="5"/>
      <c r="E8" s="5" t="s">
        <v>983</v>
      </c>
      <c r="F8" s="5" t="s">
        <v>21</v>
      </c>
      <c r="G8" s="5" t="s">
        <v>1210</v>
      </c>
      <c r="H8" s="5" t="s">
        <v>17</v>
      </c>
      <c r="I8" s="5" t="s">
        <v>17</v>
      </c>
      <c r="J8" s="5" t="s">
        <v>985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898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901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203</v>
      </c>
    </row>
    <row r="6" spans="1:10" x14ac:dyDescent="0.25">
      <c r="A6" s="5" t="s">
        <v>21</v>
      </c>
      <c r="B6" s="5" t="s">
        <v>466</v>
      </c>
      <c r="C6" s="13" t="s">
        <v>467</v>
      </c>
      <c r="D6" s="5"/>
      <c r="E6" s="14" t="s">
        <v>902</v>
      </c>
      <c r="F6" s="5" t="s">
        <v>21</v>
      </c>
      <c r="G6" s="5" t="s">
        <v>17</v>
      </c>
      <c r="H6" s="5" t="s">
        <v>17</v>
      </c>
      <c r="I6" s="5" t="s">
        <v>17</v>
      </c>
      <c r="J6" s="5" t="s">
        <v>903</v>
      </c>
    </row>
    <row r="7" spans="1:10" x14ac:dyDescent="0.25">
      <c r="A7" s="5" t="s">
        <v>21</v>
      </c>
      <c r="B7" s="6" t="s">
        <v>904</v>
      </c>
      <c r="C7" s="5" t="s">
        <v>17</v>
      </c>
      <c r="D7" s="5"/>
      <c r="E7" s="5" t="s">
        <v>905</v>
      </c>
      <c r="F7" s="5" t="s">
        <v>15</v>
      </c>
      <c r="G7" s="5" t="s">
        <v>17</v>
      </c>
      <c r="H7" s="5" t="s">
        <v>17</v>
      </c>
      <c r="I7" s="5" t="s">
        <v>17</v>
      </c>
      <c r="J7" s="5" t="s">
        <v>222</v>
      </c>
    </row>
    <row r="8" spans="1:10" x14ac:dyDescent="0.25" outlineLevel="1" collapsed="1">
      <c r="A8" s="9" t="s">
        <v>15</v>
      </c>
      <c r="B8" s="9" t="s">
        <v>89</v>
      </c>
      <c r="C8" s="9" t="s">
        <v>17</v>
      </c>
      <c r="D8" s="9"/>
      <c r="E8" s="9" t="s">
        <v>906</v>
      </c>
      <c r="F8" s="9" t="s">
        <v>21</v>
      </c>
      <c r="G8" s="9" t="s">
        <v>91</v>
      </c>
      <c r="H8" s="9" t="s">
        <v>17</v>
      </c>
      <c r="I8" s="9" t="s">
        <v>17</v>
      </c>
      <c r="J8" s="9" t="s">
        <v>907</v>
      </c>
    </row>
    <row r="9" spans="1:10" x14ac:dyDescent="0.25" outlineLevel="1" collapsed="1">
      <c r="A9" s="9" t="s">
        <v>15</v>
      </c>
      <c r="B9" s="9" t="s">
        <v>56</v>
      </c>
      <c r="C9" s="9" t="s">
        <v>17</v>
      </c>
      <c r="D9" s="9"/>
      <c r="E9" s="9" t="s">
        <v>908</v>
      </c>
      <c r="F9" s="9" t="s">
        <v>21</v>
      </c>
      <c r="G9" s="9" t="s">
        <v>58</v>
      </c>
      <c r="H9" s="9" t="s">
        <v>17</v>
      </c>
      <c r="I9" s="9" t="s">
        <v>17</v>
      </c>
      <c r="J9" s="9" t="s">
        <v>909</v>
      </c>
    </row>
    <row r="10" spans="1:10" x14ac:dyDescent="0.25" outlineLevel="1" collapsed="1">
      <c r="A10" s="9" t="s">
        <v>15</v>
      </c>
      <c r="B10" s="9" t="s">
        <v>56</v>
      </c>
      <c r="C10" s="9" t="s">
        <v>17</v>
      </c>
      <c r="D10" s="9"/>
      <c r="E10" s="9" t="s">
        <v>910</v>
      </c>
      <c r="F10" s="9" t="s">
        <v>21</v>
      </c>
      <c r="G10" s="9" t="s">
        <v>58</v>
      </c>
      <c r="H10" s="9" t="s">
        <v>17</v>
      </c>
      <c r="I10" s="9" t="s">
        <v>17</v>
      </c>
      <c r="J10" s="9" t="s">
        <v>911</v>
      </c>
    </row>
    <row r="11" spans="1:10" x14ac:dyDescent="0.25" outlineLevel="1" collapsed="1">
      <c r="A11" s="9" t="s">
        <v>15</v>
      </c>
      <c r="B11" s="9" t="s">
        <v>56</v>
      </c>
      <c r="C11" s="9" t="s">
        <v>17</v>
      </c>
      <c r="D11" s="9"/>
      <c r="E11" s="9" t="s">
        <v>912</v>
      </c>
      <c r="F11" s="9" t="s">
        <v>21</v>
      </c>
      <c r="G11" s="9" t="s">
        <v>58</v>
      </c>
      <c r="H11" s="9" t="s">
        <v>17</v>
      </c>
      <c r="I11" s="9" t="s">
        <v>17</v>
      </c>
      <c r="J11" s="9" t="s">
        <v>913</v>
      </c>
    </row>
    <row r="12" spans="1:10" x14ac:dyDescent="0.25" outlineLevel="1" collapsed="1">
      <c r="A12" s="9" t="s">
        <v>15</v>
      </c>
      <c r="B12" s="9" t="s">
        <v>56</v>
      </c>
      <c r="C12" s="9" t="s">
        <v>17</v>
      </c>
      <c r="D12" s="9"/>
      <c r="E12" s="9" t="s">
        <v>914</v>
      </c>
      <c r="F12" s="9" t="s">
        <v>21</v>
      </c>
      <c r="G12" s="9" t="s">
        <v>58</v>
      </c>
      <c r="H12" s="9" t="s">
        <v>17</v>
      </c>
      <c r="I12" s="9" t="s">
        <v>17</v>
      </c>
      <c r="J12" s="9" t="s">
        <v>915</v>
      </c>
    </row>
    <row r="13" spans="1:10" x14ac:dyDescent="0.25" outlineLevel="1" collapsed="1">
      <c r="A13" s="9" t="s">
        <v>15</v>
      </c>
      <c r="B13" s="9" t="s">
        <v>56</v>
      </c>
      <c r="C13" s="9" t="s">
        <v>17</v>
      </c>
      <c r="D13" s="9"/>
      <c r="E13" s="9" t="s">
        <v>916</v>
      </c>
      <c r="F13" s="9" t="s">
        <v>21</v>
      </c>
      <c r="G13" s="9" t="s">
        <v>58</v>
      </c>
      <c r="H13" s="9" t="s">
        <v>17</v>
      </c>
      <c r="I13" s="9" t="s">
        <v>17</v>
      </c>
      <c r="J13" s="9" t="s">
        <v>917</v>
      </c>
    </row>
    <row r="14" spans="1:10" x14ac:dyDescent="0.25" outlineLevel="1" collapsed="1">
      <c r="A14" s="9" t="s">
        <v>15</v>
      </c>
      <c r="B14" s="9" t="s">
        <v>26</v>
      </c>
      <c r="C14" s="9" t="s">
        <v>918</v>
      </c>
      <c r="D14" s="9"/>
      <c r="E14" s="9" t="s">
        <v>919</v>
      </c>
      <c r="F14" s="9" t="s">
        <v>21</v>
      </c>
      <c r="G14" s="9" t="s">
        <v>1211</v>
      </c>
      <c r="H14" s="9" t="s">
        <v>17</v>
      </c>
      <c r="I14" s="9" t="s">
        <v>17</v>
      </c>
      <c r="J14" s="9" t="s">
        <v>921</v>
      </c>
    </row>
    <row r="15" spans="1:10" x14ac:dyDescent="0.25" outlineLevel="1" collapsed="1">
      <c r="A15" s="9" t="s">
        <v>15</v>
      </c>
      <c r="B15" s="9" t="s">
        <v>386</v>
      </c>
      <c r="C15" s="9" t="s">
        <v>17</v>
      </c>
      <c r="D15" s="9"/>
      <c r="E15" s="9" t="s">
        <v>922</v>
      </c>
      <c r="F15" s="9" t="s">
        <v>21</v>
      </c>
      <c r="G15" s="9">
        <v>1</v>
      </c>
      <c r="H15" s="9" t="s">
        <v>17</v>
      </c>
      <c r="I15" s="9" t="s">
        <v>17</v>
      </c>
      <c r="J15" s="9" t="s">
        <v>923</v>
      </c>
    </row>
    <row r="16" spans="1:10" x14ac:dyDescent="0.25" outlineLevel="1" collapsed="1">
      <c r="A16" s="9" t="s">
        <v>15</v>
      </c>
      <c r="B16" s="9" t="s">
        <v>56</v>
      </c>
      <c r="C16" s="9" t="s">
        <v>17</v>
      </c>
      <c r="D16" s="9"/>
      <c r="E16" s="9" t="s">
        <v>924</v>
      </c>
      <c r="F16" s="9" t="s">
        <v>21</v>
      </c>
      <c r="G16" s="9" t="s">
        <v>58</v>
      </c>
      <c r="H16" s="9" t="s">
        <v>17</v>
      </c>
      <c r="I16" s="9" t="s">
        <v>17</v>
      </c>
      <c r="J16" s="9" t="s">
        <v>925</v>
      </c>
    </row>
    <row r="17" spans="1:10" x14ac:dyDescent="0.25" outlineLevel="1" collapsed="1">
      <c r="A17" s="9" t="s">
        <v>15</v>
      </c>
      <c r="B17" s="9" t="s">
        <v>175</v>
      </c>
      <c r="C17" s="9" t="s">
        <v>17</v>
      </c>
      <c r="D17" s="9"/>
      <c r="E17" s="9" t="s">
        <v>926</v>
      </c>
      <c r="F17" s="9" t="s">
        <v>21</v>
      </c>
      <c r="G17" s="9" t="s">
        <v>1212</v>
      </c>
      <c r="H17" s="9" t="s">
        <v>17</v>
      </c>
      <c r="I17" s="9" t="s">
        <v>17</v>
      </c>
      <c r="J17" s="9" t="s">
        <v>928</v>
      </c>
    </row>
    <row r="18" spans="1:10" x14ac:dyDescent="0.25">
      <c r="A18" s="5" t="s">
        <v>15</v>
      </c>
      <c r="B18" s="5" t="s">
        <v>23</v>
      </c>
      <c r="C18" s="6" t="s">
        <v>929</v>
      </c>
      <c r="D18" s="5"/>
      <c r="E18" s="5" t="s">
        <v>123</v>
      </c>
      <c r="F18" s="5" t="s">
        <v>21</v>
      </c>
      <c r="G18" s="5" t="s">
        <v>124</v>
      </c>
      <c r="H18" s="5" t="s">
        <v>17</v>
      </c>
      <c r="I18" s="5" t="s">
        <v>17</v>
      </c>
      <c r="J18" s="5" t="s">
        <v>125</v>
      </c>
    </row>
    <row r="19" spans="1:10" x14ac:dyDescent="0.25">
      <c r="A19" s="5" t="s">
        <v>21</v>
      </c>
      <c r="B19" s="6" t="s">
        <v>930</v>
      </c>
      <c r="C19" s="5" t="s">
        <v>17</v>
      </c>
      <c r="D19" s="5">
        <f>EXACT(G18,"CWT, CWS")</f>
      </c>
      <c r="E19" s="5" t="s">
        <v>931</v>
      </c>
      <c r="F19" s="5" t="s">
        <v>21</v>
      </c>
      <c r="G19" s="5" t="s">
        <v>17</v>
      </c>
      <c r="H19" s="5" t="s">
        <v>17</v>
      </c>
      <c r="I19" s="5" t="s">
        <v>17</v>
      </c>
      <c r="J19" s="5" t="s">
        <v>932</v>
      </c>
    </row>
    <row r="20" spans="1:10" x14ac:dyDescent="0.25" outlineLevel="1" collapsed="1">
      <c r="A20" s="9" t="s">
        <v>15</v>
      </c>
      <c r="B20" s="9" t="s">
        <v>56</v>
      </c>
      <c r="C20" s="9" t="s">
        <v>17</v>
      </c>
      <c r="D20" s="9"/>
      <c r="E20" s="9" t="s">
        <v>933</v>
      </c>
      <c r="F20" s="9" t="s">
        <v>21</v>
      </c>
      <c r="G20" s="9" t="s">
        <v>58</v>
      </c>
      <c r="H20" s="9" t="s">
        <v>17</v>
      </c>
      <c r="I20" s="9" t="s">
        <v>17</v>
      </c>
      <c r="J20" s="9" t="s">
        <v>934</v>
      </c>
    </row>
    <row r="21" spans="1:10" x14ac:dyDescent="0.25" outlineLevel="1" collapsed="1">
      <c r="A21" s="9" t="s">
        <v>15</v>
      </c>
      <c r="B21" s="9" t="s">
        <v>56</v>
      </c>
      <c r="C21" s="9" t="s">
        <v>17</v>
      </c>
      <c r="D21" s="9"/>
      <c r="E21" s="9" t="s">
        <v>935</v>
      </c>
      <c r="F21" s="9" t="s">
        <v>21</v>
      </c>
      <c r="G21" s="9" t="s">
        <v>58</v>
      </c>
      <c r="H21" s="9" t="s">
        <v>17</v>
      </c>
      <c r="I21" s="9" t="s">
        <v>17</v>
      </c>
      <c r="J21" s="9" t="s">
        <v>936</v>
      </c>
    </row>
    <row r="22" spans="1:10" x14ac:dyDescent="0.25" outlineLevel="1" collapsed="1">
      <c r="A22" s="9" t="s">
        <v>15</v>
      </c>
      <c r="B22" s="9" t="s">
        <v>386</v>
      </c>
      <c r="C22" s="9" t="s">
        <v>17</v>
      </c>
      <c r="D22" s="9"/>
      <c r="E22" s="9" t="s">
        <v>937</v>
      </c>
      <c r="F22" s="9" t="s">
        <v>21</v>
      </c>
      <c r="G22" s="9">
        <v>1</v>
      </c>
      <c r="H22" s="9" t="s">
        <v>17</v>
      </c>
      <c r="I22" s="9" t="s">
        <v>17</v>
      </c>
      <c r="J22" s="9" t="s">
        <v>938</v>
      </c>
    </row>
    <row r="23" spans="1:10" x14ac:dyDescent="0.25" outlineLevel="1" collapsed="1">
      <c r="A23" s="9" t="s">
        <v>15</v>
      </c>
      <c r="B23" s="9" t="s">
        <v>56</v>
      </c>
      <c r="C23" s="9" t="s">
        <v>17</v>
      </c>
      <c r="D23" s="9"/>
      <c r="E23" s="9" t="s">
        <v>939</v>
      </c>
      <c r="F23" s="9" t="s">
        <v>21</v>
      </c>
      <c r="G23" s="9" t="s">
        <v>58</v>
      </c>
      <c r="H23" s="9" t="s">
        <v>17</v>
      </c>
      <c r="I23" s="9" t="s">
        <v>17</v>
      </c>
      <c r="J23" s="9" t="s">
        <v>940</v>
      </c>
    </row>
    <row r="24" spans="1:10" x14ac:dyDescent="0.25" outlineLevel="1" collapsed="1">
      <c r="A24" s="9" t="s">
        <v>15</v>
      </c>
      <c r="B24" s="9" t="s">
        <v>56</v>
      </c>
      <c r="C24" s="9" t="s">
        <v>17</v>
      </c>
      <c r="D24" s="9"/>
      <c r="E24" s="9" t="s">
        <v>941</v>
      </c>
      <c r="F24" s="9" t="s">
        <v>21</v>
      </c>
      <c r="G24" s="9" t="s">
        <v>58</v>
      </c>
      <c r="H24" s="9" t="s">
        <v>17</v>
      </c>
      <c r="I24" s="9" t="s">
        <v>17</v>
      </c>
      <c r="J24" s="9" t="s">
        <v>942</v>
      </c>
    </row>
    <row r="25" spans="1:10" x14ac:dyDescent="0.25" outlineLevel="1" collapsed="1">
      <c r="A25" s="9" t="s">
        <v>15</v>
      </c>
      <c r="B25" s="9" t="s">
        <v>169</v>
      </c>
      <c r="C25" s="9" t="s">
        <v>17</v>
      </c>
      <c r="D25" s="9"/>
      <c r="E25" s="9" t="s">
        <v>943</v>
      </c>
      <c r="F25" s="9" t="s">
        <v>21</v>
      </c>
      <c r="G25" s="9" t="b">
        <v>1</v>
      </c>
      <c r="H25" s="9" t="s">
        <v>17</v>
      </c>
      <c r="I25" s="9" t="s">
        <v>17</v>
      </c>
      <c r="J25" s="9" t="s">
        <v>944</v>
      </c>
    </row>
    <row r="26" spans="1:10" x14ac:dyDescent="0.25" outlineLevel="1" collapsed="1">
      <c r="A26" s="9" t="s">
        <v>15</v>
      </c>
      <c r="B26" s="9" t="s">
        <v>56</v>
      </c>
      <c r="C26" s="9" t="s">
        <v>17</v>
      </c>
      <c r="D26" s="9"/>
      <c r="E26" s="9" t="s">
        <v>945</v>
      </c>
      <c r="F26" s="9" t="s">
        <v>21</v>
      </c>
      <c r="G26" s="9" t="s">
        <v>58</v>
      </c>
      <c r="H26" s="9" t="s">
        <v>17</v>
      </c>
      <c r="I26" s="9" t="s">
        <v>17</v>
      </c>
      <c r="J26" s="9" t="s">
        <v>946</v>
      </c>
    </row>
    <row r="27" spans="1:10" x14ac:dyDescent="0.25" outlineLevel="1" collapsed="1">
      <c r="A27" s="9" t="s">
        <v>15</v>
      </c>
      <c r="B27" s="9" t="s">
        <v>175</v>
      </c>
      <c r="C27" s="9" t="s">
        <v>17</v>
      </c>
      <c r="D27" s="9"/>
      <c r="E27" s="9" t="s">
        <v>947</v>
      </c>
      <c r="F27" s="9" t="s">
        <v>21</v>
      </c>
      <c r="G27" s="9" t="s">
        <v>1213</v>
      </c>
      <c r="H27" s="9" t="s">
        <v>17</v>
      </c>
      <c r="I27" s="9" t="s">
        <v>17</v>
      </c>
      <c r="J27" s="9" t="s">
        <v>949</v>
      </c>
    </row>
    <row r="28" spans="1:10" x14ac:dyDescent="0.25">
      <c r="A28" s="5" t="s">
        <v>21</v>
      </c>
      <c r="B28" s="6" t="s">
        <v>950</v>
      </c>
      <c r="C28" s="5" t="s">
        <v>17</v>
      </c>
      <c r="D28" s="5">
        <f>EXACT(G18,"CWT, CWS")</f>
      </c>
      <c r="E28" s="5" t="s">
        <v>951</v>
      </c>
      <c r="F28" s="5" t="s">
        <v>21</v>
      </c>
      <c r="G28" s="5" t="s">
        <v>17</v>
      </c>
      <c r="H28" s="5" t="s">
        <v>17</v>
      </c>
      <c r="I28" s="5" t="s">
        <v>17</v>
      </c>
      <c r="J28" s="5" t="s">
        <v>952</v>
      </c>
    </row>
    <row r="29" spans="1:10" x14ac:dyDescent="0.25" outlineLevel="1" collapsed="1">
      <c r="A29" s="9" t="s">
        <v>15</v>
      </c>
      <c r="B29" s="9" t="s">
        <v>386</v>
      </c>
      <c r="C29" s="9" t="s">
        <v>17</v>
      </c>
      <c r="D29" s="9"/>
      <c r="E29" s="9" t="s">
        <v>953</v>
      </c>
      <c r="F29" s="9" t="s">
        <v>21</v>
      </c>
      <c r="G29" s="9">
        <v>1</v>
      </c>
      <c r="H29" s="9" t="s">
        <v>17</v>
      </c>
      <c r="I29" s="9" t="s">
        <v>17</v>
      </c>
      <c r="J29" s="9" t="s">
        <v>954</v>
      </c>
    </row>
    <row r="30" spans="1:10" x14ac:dyDescent="0.25" outlineLevel="1" collapsed="1">
      <c r="A30" s="9" t="s">
        <v>15</v>
      </c>
      <c r="B30" s="9" t="s">
        <v>386</v>
      </c>
      <c r="C30" s="9" t="s">
        <v>17</v>
      </c>
      <c r="D30" s="9"/>
      <c r="E30" s="9" t="s">
        <v>955</v>
      </c>
      <c r="F30" s="9" t="s">
        <v>21</v>
      </c>
      <c r="G30" s="9">
        <v>1</v>
      </c>
      <c r="H30" s="9" t="s">
        <v>17</v>
      </c>
      <c r="I30" s="9" t="s">
        <v>17</v>
      </c>
      <c r="J30" s="9" t="s">
        <v>956</v>
      </c>
    </row>
    <row r="31" spans="1:10" x14ac:dyDescent="0.25" outlineLevel="1" collapsed="1">
      <c r="A31" s="9" t="s">
        <v>15</v>
      </c>
      <c r="B31" s="9" t="s">
        <v>386</v>
      </c>
      <c r="C31" s="9" t="s">
        <v>17</v>
      </c>
      <c r="D31" s="9"/>
      <c r="E31" s="9" t="s">
        <v>957</v>
      </c>
      <c r="F31" s="9" t="s">
        <v>21</v>
      </c>
      <c r="G31" s="9">
        <v>1</v>
      </c>
      <c r="H31" s="9" t="s">
        <v>17</v>
      </c>
      <c r="I31" s="9" t="s">
        <v>17</v>
      </c>
      <c r="J31" s="9" t="s">
        <v>958</v>
      </c>
    </row>
    <row r="32" spans="1:10" x14ac:dyDescent="0.25" outlineLevel="1" collapsed="1">
      <c r="A32" s="9" t="s">
        <v>15</v>
      </c>
      <c r="B32" s="9" t="s">
        <v>79</v>
      </c>
      <c r="C32" s="9" t="s">
        <v>17</v>
      </c>
      <c r="D32" s="9"/>
      <c r="E32" s="9" t="s">
        <v>959</v>
      </c>
      <c r="F32" s="9" t="s">
        <v>21</v>
      </c>
      <c r="G32" s="9">
        <v>1</v>
      </c>
      <c r="H32" s="9" t="s">
        <v>17</v>
      </c>
      <c r="I32" s="9" t="s">
        <v>17</v>
      </c>
      <c r="J32" s="9" t="s">
        <v>960</v>
      </c>
    </row>
    <row r="33" spans="1:10" x14ac:dyDescent="0.25" outlineLevel="1" collapsed="1">
      <c r="A33" s="9" t="s">
        <v>15</v>
      </c>
      <c r="B33" s="9" t="s">
        <v>386</v>
      </c>
      <c r="C33" s="9" t="s">
        <v>17</v>
      </c>
      <c r="D33" s="9"/>
      <c r="E33" s="9" t="s">
        <v>961</v>
      </c>
      <c r="F33" s="9" t="s">
        <v>21</v>
      </c>
      <c r="G33" s="9">
        <v>1</v>
      </c>
      <c r="H33" s="9" t="s">
        <v>17</v>
      </c>
      <c r="I33" s="9" t="s">
        <v>17</v>
      </c>
      <c r="J33" s="9" t="s">
        <v>962</v>
      </c>
    </row>
    <row r="34" spans="1:10" x14ac:dyDescent="0.25">
      <c r="A34" s="5" t="s">
        <v>21</v>
      </c>
      <c r="B34" s="6" t="s">
        <v>963</v>
      </c>
      <c r="C34" s="5" t="s">
        <v>17</v>
      </c>
      <c r="D34" s="5">
        <f>EXACT(G18,"HWT, IWT")</f>
      </c>
      <c r="E34" s="5" t="s">
        <v>964</v>
      </c>
      <c r="F34" s="5" t="s">
        <v>21</v>
      </c>
      <c r="G34" s="5" t="s">
        <v>17</v>
      </c>
      <c r="H34" s="5" t="s">
        <v>17</v>
      </c>
      <c r="I34" s="5" t="s">
        <v>17</v>
      </c>
      <c r="J34" s="5" t="s">
        <v>471</v>
      </c>
    </row>
    <row r="35" spans="1:10" x14ac:dyDescent="0.25" outlineLevel="1" collapsed="1">
      <c r="A35" s="9" t="s">
        <v>15</v>
      </c>
      <c r="B35" s="9" t="s">
        <v>169</v>
      </c>
      <c r="C35" s="9" t="s">
        <v>17</v>
      </c>
      <c r="D35" s="9"/>
      <c r="E35" s="9" t="s">
        <v>965</v>
      </c>
      <c r="F35" s="9" t="s">
        <v>21</v>
      </c>
      <c r="G35" s="9" t="b">
        <v>1</v>
      </c>
      <c r="H35" s="9" t="s">
        <v>17</v>
      </c>
      <c r="I35" s="9" t="s">
        <v>17</v>
      </c>
      <c r="J35" s="9" t="s">
        <v>966</v>
      </c>
    </row>
    <row r="36" spans="1:10" x14ac:dyDescent="0.25" outlineLevel="1" collapsed="1">
      <c r="A36" s="9" t="s">
        <v>15</v>
      </c>
      <c r="B36" s="9" t="s">
        <v>56</v>
      </c>
      <c r="C36" s="9" t="s">
        <v>17</v>
      </c>
      <c r="D36" s="9"/>
      <c r="E36" s="9" t="s">
        <v>967</v>
      </c>
      <c r="F36" s="9" t="s">
        <v>21</v>
      </c>
      <c r="G36" s="9" t="s">
        <v>58</v>
      </c>
      <c r="H36" s="9" t="s">
        <v>17</v>
      </c>
      <c r="I36" s="9" t="s">
        <v>17</v>
      </c>
      <c r="J36" s="9" t="s">
        <v>968</v>
      </c>
    </row>
    <row r="37" spans="1:10" x14ac:dyDescent="0.25" outlineLevel="1" collapsed="1">
      <c r="A37" s="9" t="s">
        <v>15</v>
      </c>
      <c r="B37" s="9" t="s">
        <v>26</v>
      </c>
      <c r="C37" s="9" t="s">
        <v>918</v>
      </c>
      <c r="D37" s="9"/>
      <c r="E37" s="9" t="s">
        <v>969</v>
      </c>
      <c r="F37" s="9" t="s">
        <v>21</v>
      </c>
      <c r="G37" s="9" t="s">
        <v>1214</v>
      </c>
      <c r="H37" s="9" t="s">
        <v>17</v>
      </c>
      <c r="I37" s="9" t="s">
        <v>17</v>
      </c>
      <c r="J37" s="9" t="s">
        <v>971</v>
      </c>
    </row>
    <row r="38" spans="1:10" x14ac:dyDescent="0.25" outlineLevel="1" collapsed="1">
      <c r="A38" s="9" t="s">
        <v>15</v>
      </c>
      <c r="B38" s="9" t="s">
        <v>56</v>
      </c>
      <c r="C38" s="9" t="s">
        <v>17</v>
      </c>
      <c r="D38" s="9"/>
      <c r="E38" s="9" t="s">
        <v>972</v>
      </c>
      <c r="F38" s="9" t="s">
        <v>21</v>
      </c>
      <c r="G38" s="9" t="s">
        <v>58</v>
      </c>
      <c r="H38" s="9" t="s">
        <v>17</v>
      </c>
      <c r="I38" s="9" t="s">
        <v>17</v>
      </c>
      <c r="J38" s="9" t="s">
        <v>973</v>
      </c>
    </row>
    <row r="39" spans="1:10" x14ac:dyDescent="0.25" outlineLevel="1" collapsed="1">
      <c r="A39" s="9" t="s">
        <v>15</v>
      </c>
      <c r="B39" s="9" t="s">
        <v>56</v>
      </c>
      <c r="C39" s="9" t="s">
        <v>17</v>
      </c>
      <c r="D39" s="9"/>
      <c r="E39" s="9" t="s">
        <v>974</v>
      </c>
      <c r="F39" s="9" t="s">
        <v>21</v>
      </c>
      <c r="G39" s="9" t="s">
        <v>58</v>
      </c>
      <c r="H39" s="9" t="s">
        <v>17</v>
      </c>
      <c r="I39" s="9" t="s">
        <v>17</v>
      </c>
      <c r="J39" s="9" t="s">
        <v>975</v>
      </c>
    </row>
    <row r="40" spans="1:10" x14ac:dyDescent="0.25">
      <c r="A40" s="5" t="s">
        <v>21</v>
      </c>
      <c r="B40" s="6" t="s">
        <v>976</v>
      </c>
      <c r="C40" s="5" t="s">
        <v>17</v>
      </c>
      <c r="D40" s="5"/>
      <c r="E40" s="5" t="s">
        <v>977</v>
      </c>
      <c r="F40" s="5" t="s">
        <v>15</v>
      </c>
      <c r="G40" s="5" t="s">
        <v>17</v>
      </c>
      <c r="H40" s="5" t="s">
        <v>17</v>
      </c>
      <c r="I40" s="5" t="s">
        <v>17</v>
      </c>
      <c r="J40" s="5" t="s">
        <v>978</v>
      </c>
    </row>
    <row r="41" spans="1:10" x14ac:dyDescent="0.25" outlineLevel="1" collapsed="1">
      <c r="A41" s="9" t="s">
        <v>15</v>
      </c>
      <c r="B41" s="9" t="s">
        <v>89</v>
      </c>
      <c r="C41" s="9" t="s">
        <v>17</v>
      </c>
      <c r="D41" s="9"/>
      <c r="E41" s="9" t="s">
        <v>979</v>
      </c>
      <c r="F41" s="9" t="s">
        <v>21</v>
      </c>
      <c r="G41" s="9" t="s">
        <v>91</v>
      </c>
      <c r="H41" s="9" t="s">
        <v>17</v>
      </c>
      <c r="I41" s="9" t="s">
        <v>17</v>
      </c>
      <c r="J41" s="9" t="s">
        <v>980</v>
      </c>
    </row>
    <row r="42" spans="1:10" x14ac:dyDescent="0.25" outlineLevel="1" collapsed="1">
      <c r="A42" s="9" t="s">
        <v>15</v>
      </c>
      <c r="B42" s="9" t="s">
        <v>56</v>
      </c>
      <c r="C42" s="9" t="s">
        <v>17</v>
      </c>
      <c r="D42" s="9"/>
      <c r="E42" s="9" t="s">
        <v>981</v>
      </c>
      <c r="F42" s="9" t="s">
        <v>21</v>
      </c>
      <c r="G42" s="9" t="s">
        <v>58</v>
      </c>
      <c r="H42" s="9" t="s">
        <v>17</v>
      </c>
      <c r="I42" s="9" t="s">
        <v>17</v>
      </c>
      <c r="J42" s="9" t="s">
        <v>982</v>
      </c>
    </row>
    <row r="43" spans="1:10" x14ac:dyDescent="0.25" outlineLevel="1" collapsed="1">
      <c r="A43" s="9" t="s">
        <v>15</v>
      </c>
      <c r="B43" s="9" t="s">
        <v>56</v>
      </c>
      <c r="C43" s="9" t="s">
        <v>17</v>
      </c>
      <c r="D43" s="9"/>
      <c r="E43" s="9" t="s">
        <v>271</v>
      </c>
      <c r="F43" s="9" t="s">
        <v>21</v>
      </c>
      <c r="G43" s="9" t="s">
        <v>58</v>
      </c>
      <c r="H43" s="9" t="s">
        <v>17</v>
      </c>
      <c r="I43" s="9" t="s">
        <v>17</v>
      </c>
      <c r="J43" s="9" t="s">
        <v>272</v>
      </c>
    </row>
    <row r="44" spans="1:10" x14ac:dyDescent="0.25" outlineLevel="1" collapsed="1">
      <c r="A44" s="9" t="s">
        <v>15</v>
      </c>
      <c r="B44" s="9" t="s">
        <v>175</v>
      </c>
      <c r="C44" s="9" t="s">
        <v>17</v>
      </c>
      <c r="D44" s="9"/>
      <c r="E44" s="9" t="s">
        <v>983</v>
      </c>
      <c r="F44" s="9" t="s">
        <v>21</v>
      </c>
      <c r="G44" s="9" t="s">
        <v>1215</v>
      </c>
      <c r="H44" s="9" t="s">
        <v>17</v>
      </c>
      <c r="I44" s="9" t="s">
        <v>17</v>
      </c>
      <c r="J44" s="9" t="s">
        <v>985</v>
      </c>
    </row>
  </sheetData>
  <mergeCells count="3">
    <mergeCell ref="A1:J1"/>
    <mergeCell ref="B2:J2"/>
    <mergeCell ref="B3:J3"/>
  </mergeCells>
  <dataValidations count="1">
    <dataValidation type="list" allowBlank="1" sqref="G18:I18">
      <formula1>'Treatment Technology 7 (enum)'!A4:A5</formula1>
    </dataValidation>
  </dataValidations>
  <hyperlinks>
    <hyperlink ref="B7" r:id="rId1" location="#'Description of Monitoring Syst'!A1"/>
    <hyperlink ref="C18" r:id="rId2" location="#'Treatment Technology 7 (enum)'!A3"/>
    <hyperlink ref="B19" r:id="rId3" location="#'Description of Monitoring S 2'!A1"/>
    <hyperlink ref="B28" r:id="rId4" location="#'Description of Monitoring S 3'!A1"/>
    <hyperlink ref="B34" r:id="rId5" location="#'Description of Monitoring S 4'!A1"/>
    <hyperlink ref="B40" r:id="rId6" location="#'Description of Monitoring S 5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1093</v>
      </c>
      <c r="D5" s="5"/>
      <c r="E5" s="5" t="s">
        <v>1094</v>
      </c>
      <c r="F5" s="5" t="s">
        <v>15</v>
      </c>
      <c r="G5" s="5" t="s">
        <v>1095</v>
      </c>
      <c r="H5" s="5" t="s">
        <v>17</v>
      </c>
      <c r="I5" s="5" t="s">
        <v>17</v>
      </c>
      <c r="J5" s="5" t="s">
        <v>1096</v>
      </c>
    </row>
    <row r="6" spans="1:10" x14ac:dyDescent="0.25">
      <c r="A6" s="5" t="s">
        <v>15</v>
      </c>
      <c r="B6" s="5" t="s">
        <v>175</v>
      </c>
      <c r="C6" s="5" t="s">
        <v>17</v>
      </c>
      <c r="D6" s="5"/>
      <c r="E6" s="5" t="s">
        <v>1097</v>
      </c>
      <c r="F6" s="5" t="s">
        <v>15</v>
      </c>
      <c r="G6" s="5" t="s">
        <v>1217</v>
      </c>
      <c r="H6" s="5" t="s">
        <v>17</v>
      </c>
      <c r="I6" s="5" t="s">
        <v>17</v>
      </c>
      <c r="J6" s="5" t="s">
        <v>1099</v>
      </c>
    </row>
  </sheetData>
  <mergeCells count="3">
    <mergeCell ref="A1:J1"/>
    <mergeCell ref="B2:J2"/>
    <mergeCell ref="B3:J3"/>
  </mergeCells>
  <hyperlinks>
    <hyperlink ref="C5" r:id="rId1" location="#'SDG Items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990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991</v>
      </c>
    </row>
    <row r="6" spans="1:10" x14ac:dyDescent="0.25">
      <c r="A6" s="5" t="s">
        <v>21</v>
      </c>
      <c r="B6" s="5" t="s">
        <v>175</v>
      </c>
      <c r="C6" s="5" t="s">
        <v>17</v>
      </c>
      <c r="D6" s="5"/>
      <c r="E6" s="5" t="s">
        <v>992</v>
      </c>
      <c r="F6" s="5" t="s">
        <v>15</v>
      </c>
      <c r="G6" s="5" t="s">
        <v>1218</v>
      </c>
      <c r="H6" s="5" t="s">
        <v>17</v>
      </c>
      <c r="I6" s="5" t="s">
        <v>17</v>
      </c>
      <c r="J6" s="5" t="s">
        <v>994</v>
      </c>
    </row>
    <row r="7" spans="1:10" x14ac:dyDescent="0.25">
      <c r="A7" s="5" t="s">
        <v>15</v>
      </c>
      <c r="B7" s="5" t="s">
        <v>56</v>
      </c>
      <c r="C7" s="5" t="s">
        <v>17</v>
      </c>
      <c r="D7" s="5"/>
      <c r="E7" s="5" t="s">
        <v>995</v>
      </c>
      <c r="F7" s="5" t="s">
        <v>21</v>
      </c>
      <c r="G7" s="5" t="s">
        <v>58</v>
      </c>
      <c r="H7" s="5" t="s">
        <v>17</v>
      </c>
      <c r="I7" s="5" t="s">
        <v>17</v>
      </c>
      <c r="J7" s="5" t="s">
        <v>996</v>
      </c>
    </row>
    <row r="8" spans="1:10" x14ac:dyDescent="0.25">
      <c r="A8" s="5" t="s">
        <v>15</v>
      </c>
      <c r="B8" s="5" t="s">
        <v>56</v>
      </c>
      <c r="C8" s="5" t="s">
        <v>17</v>
      </c>
      <c r="D8" s="5"/>
      <c r="E8" s="5" t="s">
        <v>997</v>
      </c>
      <c r="F8" s="5" t="s">
        <v>21</v>
      </c>
      <c r="G8" s="5" t="s">
        <v>58</v>
      </c>
      <c r="H8" s="5" t="s">
        <v>17</v>
      </c>
      <c r="I8" s="5" t="s">
        <v>17</v>
      </c>
      <c r="J8" s="5" t="s">
        <v>998</v>
      </c>
    </row>
    <row r="9" spans="1:10" x14ac:dyDescent="0.25">
      <c r="A9" s="5" t="s">
        <v>15</v>
      </c>
      <c r="B9" s="6" t="s">
        <v>999</v>
      </c>
      <c r="C9" s="5" t="s">
        <v>17</v>
      </c>
      <c r="D9" s="5"/>
      <c r="E9" s="5" t="s">
        <v>999</v>
      </c>
      <c r="F9" s="5" t="s">
        <v>15</v>
      </c>
      <c r="G9" s="5" t="s">
        <v>17</v>
      </c>
      <c r="H9" s="5" t="s">
        <v>17</v>
      </c>
      <c r="I9" s="5" t="s">
        <v>17</v>
      </c>
      <c r="J9" s="5" t="s">
        <v>1000</v>
      </c>
    </row>
    <row r="10" spans="1:10" x14ac:dyDescent="0.25" outlineLevel="1" collapsed="1">
      <c r="A10" s="9" t="s">
        <v>15</v>
      </c>
      <c r="B10" s="9" t="s">
        <v>43</v>
      </c>
      <c r="C10" s="9" t="s">
        <v>17</v>
      </c>
      <c r="D10" s="9"/>
      <c r="E10" s="9" t="s">
        <v>271</v>
      </c>
      <c r="F10" s="9" t="s">
        <v>21</v>
      </c>
      <c r="G10" s="9" t="s">
        <v>17</v>
      </c>
      <c r="H10" s="9" t="s">
        <v>17</v>
      </c>
      <c r="I10" s="9" t="s">
        <v>17</v>
      </c>
      <c r="J10" s="9" t="s">
        <v>272</v>
      </c>
    </row>
    <row r="11" spans="1:10" x14ac:dyDescent="0.25" outlineLevel="1" collapsed="1">
      <c r="A11" s="7" t="s">
        <v>15</v>
      </c>
      <c r="B11" s="8" t="s">
        <v>1001</v>
      </c>
      <c r="C11" s="7" t="s">
        <v>17</v>
      </c>
      <c r="D11" s="7"/>
      <c r="E11" s="7" t="s">
        <v>1002</v>
      </c>
      <c r="F11" s="7" t="s">
        <v>15</v>
      </c>
      <c r="G11" s="7" t="s">
        <v>17</v>
      </c>
      <c r="H11" s="7" t="s">
        <v>17</v>
      </c>
      <c r="I11" s="7" t="s">
        <v>17</v>
      </c>
      <c r="J11" s="7" t="s">
        <v>1003</v>
      </c>
    </row>
    <row r="12" spans="1:10" x14ac:dyDescent="0.25" outlineLevel="2" collapsed="1">
      <c r="A12" s="9" t="s">
        <v>15</v>
      </c>
      <c r="B12" s="9" t="s">
        <v>56</v>
      </c>
      <c r="C12" s="9" t="s">
        <v>17</v>
      </c>
      <c r="D12" s="9"/>
      <c r="E12" s="9" t="s">
        <v>1004</v>
      </c>
      <c r="F12" s="9" t="s">
        <v>21</v>
      </c>
      <c r="G12" s="9" t="s">
        <v>58</v>
      </c>
      <c r="H12" s="9" t="s">
        <v>17</v>
      </c>
      <c r="I12" s="9" t="s">
        <v>17</v>
      </c>
      <c r="J12" s="9" t="s">
        <v>1005</v>
      </c>
    </row>
    <row r="13" spans="1:10" x14ac:dyDescent="0.25" outlineLevel="2" collapsed="1">
      <c r="A13" s="9" t="s">
        <v>15</v>
      </c>
      <c r="B13" s="9" t="s">
        <v>79</v>
      </c>
      <c r="C13" s="9" t="s">
        <v>17</v>
      </c>
      <c r="D13" s="9"/>
      <c r="E13" s="9" t="s">
        <v>1006</v>
      </c>
      <c r="F13" s="9" t="s">
        <v>21</v>
      </c>
      <c r="G13" s="9">
        <v>1</v>
      </c>
      <c r="H13" s="9" t="s">
        <v>17</v>
      </c>
      <c r="I13" s="9" t="s">
        <v>17</v>
      </c>
      <c r="J13" s="9" t="s">
        <v>1007</v>
      </c>
    </row>
    <row r="14" spans="1:10" x14ac:dyDescent="0.25" outlineLevel="2" collapsed="1">
      <c r="A14" s="9" t="s">
        <v>21</v>
      </c>
      <c r="B14" s="9" t="s">
        <v>79</v>
      </c>
      <c r="C14" s="9" t="s">
        <v>17</v>
      </c>
      <c r="D14" s="9" t="s">
        <v>375</v>
      </c>
      <c r="E14" s="9" t="s">
        <v>1008</v>
      </c>
      <c r="F14" s="9" t="s">
        <v>21</v>
      </c>
      <c r="G14" s="9">
        <v>1</v>
      </c>
      <c r="H14" s="9" t="s">
        <v>17</v>
      </c>
      <c r="I14" s="9" t="s">
        <v>17</v>
      </c>
      <c r="J14" s="9" t="s">
        <v>1009</v>
      </c>
    </row>
    <row r="15" spans="1:10" x14ac:dyDescent="0.25" outlineLevel="2" collapsed="1">
      <c r="A15" s="9" t="s">
        <v>15</v>
      </c>
      <c r="B15" s="9" t="s">
        <v>79</v>
      </c>
      <c r="C15" s="9" t="s">
        <v>17</v>
      </c>
      <c r="D15" s="9"/>
      <c r="E15" s="9" t="s">
        <v>1010</v>
      </c>
      <c r="F15" s="9" t="s">
        <v>21</v>
      </c>
      <c r="G15" s="9">
        <v>1</v>
      </c>
      <c r="H15" s="9" t="s">
        <v>17</v>
      </c>
      <c r="I15" s="9" t="s">
        <v>17</v>
      </c>
      <c r="J15" s="9" t="s">
        <v>1011</v>
      </c>
    </row>
    <row r="16" spans="1:10" x14ac:dyDescent="0.25" outlineLevel="2" collapsed="1">
      <c r="A16" s="9" t="s">
        <v>15</v>
      </c>
      <c r="B16" s="9" t="s">
        <v>79</v>
      </c>
      <c r="C16" s="9" t="s">
        <v>17</v>
      </c>
      <c r="D16" s="9"/>
      <c r="E16" s="9" t="s">
        <v>1012</v>
      </c>
      <c r="F16" s="9" t="s">
        <v>21</v>
      </c>
      <c r="G16" s="9">
        <v>1</v>
      </c>
      <c r="H16" s="9" t="s">
        <v>17</v>
      </c>
      <c r="I16" s="9" t="s">
        <v>17</v>
      </c>
      <c r="J16" s="9" t="s">
        <v>1013</v>
      </c>
    </row>
    <row r="17" spans="1:10" x14ac:dyDescent="0.25" outlineLevel="2" collapsed="1">
      <c r="A17" s="9" t="s">
        <v>15</v>
      </c>
      <c r="B17" s="9" t="s">
        <v>79</v>
      </c>
      <c r="C17" s="9" t="s">
        <v>17</v>
      </c>
      <c r="D17" s="9"/>
      <c r="E17" s="9" t="s">
        <v>1014</v>
      </c>
      <c r="F17" s="9" t="s">
        <v>21</v>
      </c>
      <c r="G17" s="9">
        <v>1</v>
      </c>
      <c r="H17" s="9" t="s">
        <v>17</v>
      </c>
      <c r="I17" s="9" t="s">
        <v>17</v>
      </c>
      <c r="J17" s="9" t="s">
        <v>1015</v>
      </c>
    </row>
    <row r="18" spans="1:10" x14ac:dyDescent="0.25" outlineLevel="2" collapsed="1">
      <c r="A18" s="9" t="s">
        <v>21</v>
      </c>
      <c r="B18" s="9" t="s">
        <v>79</v>
      </c>
      <c r="C18" s="9" t="s">
        <v>17</v>
      </c>
      <c r="D18" s="9" t="s">
        <v>375</v>
      </c>
      <c r="E18" s="9" t="s">
        <v>1016</v>
      </c>
      <c r="F18" s="9" t="s">
        <v>21</v>
      </c>
      <c r="G18" s="9">
        <v>1</v>
      </c>
      <c r="H18" s="9" t="s">
        <v>17</v>
      </c>
      <c r="I18" s="9" t="s">
        <v>17</v>
      </c>
      <c r="J18" s="9" t="s">
        <v>1017</v>
      </c>
    </row>
    <row r="19" spans="1:10" x14ac:dyDescent="0.25" outlineLevel="2" collapsed="1">
      <c r="A19" s="9" t="s">
        <v>15</v>
      </c>
      <c r="B19" s="9" t="s">
        <v>79</v>
      </c>
      <c r="C19" s="9" t="s">
        <v>17</v>
      </c>
      <c r="D19" s="9"/>
      <c r="E19" s="9" t="s">
        <v>1018</v>
      </c>
      <c r="F19" s="9" t="s">
        <v>21</v>
      </c>
      <c r="G19" s="9">
        <v>1</v>
      </c>
      <c r="H19" s="9" t="s">
        <v>17</v>
      </c>
      <c r="I19" s="9" t="s">
        <v>17</v>
      </c>
      <c r="J19" s="9" t="s">
        <v>1019</v>
      </c>
    </row>
    <row r="20" spans="1:10" x14ac:dyDescent="0.25" outlineLevel="1" collapsed="1">
      <c r="A20" s="7" t="s">
        <v>15</v>
      </c>
      <c r="B20" s="8" t="s">
        <v>1020</v>
      </c>
      <c r="C20" s="7" t="s">
        <v>17</v>
      </c>
      <c r="D20" s="7"/>
      <c r="E20" s="7" t="s">
        <v>1021</v>
      </c>
      <c r="F20" s="7" t="s">
        <v>21</v>
      </c>
      <c r="G20" s="7" t="s">
        <v>17</v>
      </c>
      <c r="H20" s="7" t="s">
        <v>17</v>
      </c>
      <c r="I20" s="7" t="s">
        <v>17</v>
      </c>
      <c r="J20" s="7" t="s">
        <v>1022</v>
      </c>
    </row>
    <row r="21" spans="1:10" x14ac:dyDescent="0.25" outlineLevel="2" collapsed="1">
      <c r="A21" s="9" t="s">
        <v>15</v>
      </c>
      <c r="B21" s="9" t="s">
        <v>23</v>
      </c>
      <c r="C21" s="10" t="s">
        <v>1023</v>
      </c>
      <c r="D21" s="9"/>
      <c r="E21" s="9" t="s">
        <v>123</v>
      </c>
      <c r="F21" s="9" t="s">
        <v>21</v>
      </c>
      <c r="G21" s="9" t="s">
        <v>124</v>
      </c>
      <c r="H21" s="9" t="s">
        <v>17</v>
      </c>
      <c r="I21" s="9" t="s">
        <v>17</v>
      </c>
      <c r="J21" s="9" t="s">
        <v>1024</v>
      </c>
    </row>
    <row r="22" spans="1:10" x14ac:dyDescent="0.25" outlineLevel="2" collapsed="1">
      <c r="A22" s="7" t="s">
        <v>21</v>
      </c>
      <c r="B22" s="8" t="s">
        <v>1025</v>
      </c>
      <c r="C22" s="7" t="s">
        <v>17</v>
      </c>
      <c r="D22" s="7">
        <f>EXACT(G21,"HWT, IWT")</f>
      </c>
      <c r="E22" s="7" t="s">
        <v>1026</v>
      </c>
      <c r="F22" s="7" t="s">
        <v>15</v>
      </c>
      <c r="G22" s="7" t="s">
        <v>17</v>
      </c>
      <c r="H22" s="7" t="s">
        <v>17</v>
      </c>
      <c r="I22" s="7" t="s">
        <v>17</v>
      </c>
      <c r="J22" s="7" t="s">
        <v>1027</v>
      </c>
    </row>
    <row r="23" spans="1:10" x14ac:dyDescent="0.25" outlineLevel="3" collapsed="1">
      <c r="A23" s="9" t="s">
        <v>15</v>
      </c>
      <c r="B23" s="9" t="s">
        <v>386</v>
      </c>
      <c r="C23" s="9" t="s">
        <v>17</v>
      </c>
      <c r="D23" s="9"/>
      <c r="E23" s="9" t="s">
        <v>1028</v>
      </c>
      <c r="F23" s="9" t="s">
        <v>21</v>
      </c>
      <c r="G23" s="9">
        <v>1</v>
      </c>
      <c r="H23" s="9" t="s">
        <v>17</v>
      </c>
      <c r="I23" s="9" t="s">
        <v>17</v>
      </c>
      <c r="J23" s="9" t="s">
        <v>1029</v>
      </c>
    </row>
    <row r="24" spans="1:10" x14ac:dyDescent="0.25" outlineLevel="3" collapsed="1">
      <c r="A24" s="9" t="s">
        <v>15</v>
      </c>
      <c r="B24" s="9" t="s">
        <v>79</v>
      </c>
      <c r="C24" s="9" t="s">
        <v>17</v>
      </c>
      <c r="D24" s="9"/>
      <c r="E24" s="9" t="s">
        <v>1030</v>
      </c>
      <c r="F24" s="9" t="s">
        <v>21</v>
      </c>
      <c r="G24" s="9">
        <v>1</v>
      </c>
      <c r="H24" s="9" t="s">
        <v>17</v>
      </c>
      <c r="I24" s="9" t="s">
        <v>17</v>
      </c>
      <c r="J24" s="9" t="s">
        <v>1031</v>
      </c>
    </row>
    <row r="25" spans="1:10" x14ac:dyDescent="0.25" outlineLevel="3" collapsed="1">
      <c r="A25" s="9" t="s">
        <v>15</v>
      </c>
      <c r="B25" s="9" t="s">
        <v>386</v>
      </c>
      <c r="C25" s="9" t="s">
        <v>17</v>
      </c>
      <c r="D25" s="9"/>
      <c r="E25" s="9" t="s">
        <v>1032</v>
      </c>
      <c r="F25" s="9" t="s">
        <v>21</v>
      </c>
      <c r="G25" s="9">
        <v>1</v>
      </c>
      <c r="H25" s="9" t="s">
        <v>17</v>
      </c>
      <c r="I25" s="9" t="s">
        <v>17</v>
      </c>
      <c r="J25" s="9" t="s">
        <v>1033</v>
      </c>
    </row>
    <row r="26" spans="1:10" x14ac:dyDescent="0.25" outlineLevel="2" collapsed="1">
      <c r="A26" s="9" t="s">
        <v>21</v>
      </c>
      <c r="B26" s="9" t="s">
        <v>79</v>
      </c>
      <c r="C26" s="9" t="s">
        <v>17</v>
      </c>
      <c r="D26" s="9">
        <f>EXACT(G21,"HWT, IWT")</f>
      </c>
      <c r="E26" s="9" t="s">
        <v>1034</v>
      </c>
      <c r="F26" s="9" t="s">
        <v>21</v>
      </c>
      <c r="G26" s="9">
        <v>1</v>
      </c>
      <c r="H26" s="9" t="s">
        <v>17</v>
      </c>
      <c r="I26" s="9" t="s">
        <v>17</v>
      </c>
      <c r="J26" s="9" t="s">
        <v>1035</v>
      </c>
    </row>
    <row r="27" spans="1:10" x14ac:dyDescent="0.25" outlineLevel="2" collapsed="1">
      <c r="A27" s="9" t="s">
        <v>21</v>
      </c>
      <c r="B27" s="9" t="s">
        <v>79</v>
      </c>
      <c r="C27" s="9" t="s">
        <v>17</v>
      </c>
      <c r="D27" s="9">
        <f>EXACT(G21,"HWT, IWT")</f>
      </c>
      <c r="E27" s="9" t="s">
        <v>1036</v>
      </c>
      <c r="F27" s="9" t="s">
        <v>21</v>
      </c>
      <c r="G27" s="9">
        <v>1</v>
      </c>
      <c r="H27" s="9" t="s">
        <v>17</v>
      </c>
      <c r="I27" s="9" t="s">
        <v>17</v>
      </c>
      <c r="J27" s="9" t="s">
        <v>1037</v>
      </c>
    </row>
    <row r="28" spans="1:10" x14ac:dyDescent="0.25" outlineLevel="2" collapsed="1">
      <c r="A28" s="9" t="s">
        <v>21</v>
      </c>
      <c r="B28" s="9" t="s">
        <v>79</v>
      </c>
      <c r="C28" s="9" t="s">
        <v>17</v>
      </c>
      <c r="D28" s="9">
        <f>EXACT(G21,"HWT, IWT")</f>
      </c>
      <c r="E28" s="9" t="s">
        <v>1038</v>
      </c>
      <c r="F28" s="9" t="s">
        <v>21</v>
      </c>
      <c r="G28" s="9">
        <v>1</v>
      </c>
      <c r="H28" s="9" t="s">
        <v>17</v>
      </c>
      <c r="I28" s="9" t="s">
        <v>17</v>
      </c>
      <c r="J28" s="9" t="s">
        <v>968</v>
      </c>
    </row>
    <row r="29" spans="1:10" x14ac:dyDescent="0.25" outlineLevel="2" collapsed="1">
      <c r="A29" s="9" t="s">
        <v>21</v>
      </c>
      <c r="B29" s="9" t="s">
        <v>79</v>
      </c>
      <c r="C29" s="9" t="s">
        <v>17</v>
      </c>
      <c r="D29" s="9">
        <f>EXACT(G21,"HWT, IWT")</f>
      </c>
      <c r="E29" s="9" t="s">
        <v>1039</v>
      </c>
      <c r="F29" s="9" t="s">
        <v>21</v>
      </c>
      <c r="G29" s="9">
        <v>1</v>
      </c>
      <c r="H29" s="9" t="s">
        <v>17</v>
      </c>
      <c r="I29" s="9" t="s">
        <v>17</v>
      </c>
      <c r="J29" s="9" t="s">
        <v>1040</v>
      </c>
    </row>
    <row r="30" spans="1:10" x14ac:dyDescent="0.25" outlineLevel="2" collapsed="1">
      <c r="A30" s="9" t="s">
        <v>21</v>
      </c>
      <c r="B30" s="9" t="s">
        <v>79</v>
      </c>
      <c r="C30" s="9" t="s">
        <v>17</v>
      </c>
      <c r="D30" s="9">
        <f>EXACT(G21,"HWT, IWT")</f>
      </c>
      <c r="E30" s="9" t="s">
        <v>1041</v>
      </c>
      <c r="F30" s="9" t="s">
        <v>21</v>
      </c>
      <c r="G30" s="9">
        <v>1</v>
      </c>
      <c r="H30" s="9" t="s">
        <v>17</v>
      </c>
      <c r="I30" s="9" t="s">
        <v>17</v>
      </c>
      <c r="J30" s="9" t="s">
        <v>1042</v>
      </c>
    </row>
    <row r="31" spans="1:10" x14ac:dyDescent="0.25" outlineLevel="2" collapsed="1">
      <c r="A31" s="9" t="s">
        <v>21</v>
      </c>
      <c r="B31" s="9" t="s">
        <v>79</v>
      </c>
      <c r="C31" s="9" t="s">
        <v>17</v>
      </c>
      <c r="D31" s="9">
        <f>EXACT(G21,"CWT, CWS")</f>
      </c>
      <c r="E31" s="9" t="s">
        <v>1043</v>
      </c>
      <c r="F31" s="9" t="s">
        <v>21</v>
      </c>
      <c r="G31" s="9">
        <v>1</v>
      </c>
      <c r="H31" s="9" t="s">
        <v>17</v>
      </c>
      <c r="I31" s="9" t="s">
        <v>17</v>
      </c>
      <c r="J31" s="9" t="s">
        <v>1044</v>
      </c>
    </row>
    <row r="32" spans="1:10" x14ac:dyDescent="0.25" outlineLevel="2" collapsed="1">
      <c r="A32" s="7" t="s">
        <v>21</v>
      </c>
      <c r="B32" s="8" t="s">
        <v>1045</v>
      </c>
      <c r="C32" s="7" t="s">
        <v>17</v>
      </c>
      <c r="D32" s="7">
        <f>EXACT(G21,"CWT, CWS")</f>
      </c>
      <c r="E32" s="7" t="s">
        <v>1026</v>
      </c>
      <c r="F32" s="7" t="s">
        <v>15</v>
      </c>
      <c r="G32" s="7" t="s">
        <v>17</v>
      </c>
      <c r="H32" s="7" t="s">
        <v>17</v>
      </c>
      <c r="I32" s="7" t="s">
        <v>17</v>
      </c>
      <c r="J32" s="7" t="s">
        <v>1046</v>
      </c>
    </row>
    <row r="33" spans="1:10" x14ac:dyDescent="0.25" outlineLevel="3" collapsed="1">
      <c r="A33" s="9" t="s">
        <v>15</v>
      </c>
      <c r="B33" s="9" t="s">
        <v>56</v>
      </c>
      <c r="C33" s="9" t="s">
        <v>17</v>
      </c>
      <c r="D33" s="9"/>
      <c r="E33" s="9" t="s">
        <v>1047</v>
      </c>
      <c r="F33" s="9" t="s">
        <v>21</v>
      </c>
      <c r="G33" s="9" t="s">
        <v>58</v>
      </c>
      <c r="H33" s="9" t="s">
        <v>17</v>
      </c>
      <c r="I33" s="9" t="s">
        <v>17</v>
      </c>
      <c r="J33" s="9" t="s">
        <v>1048</v>
      </c>
    </row>
    <row r="34" spans="1:10" x14ac:dyDescent="0.25" outlineLevel="3" collapsed="1">
      <c r="A34" s="9" t="s">
        <v>15</v>
      </c>
      <c r="B34" s="9" t="s">
        <v>386</v>
      </c>
      <c r="C34" s="9" t="s">
        <v>17</v>
      </c>
      <c r="D34" s="9"/>
      <c r="E34" s="9" t="s">
        <v>1049</v>
      </c>
      <c r="F34" s="9" t="s">
        <v>21</v>
      </c>
      <c r="G34" s="9">
        <v>1</v>
      </c>
      <c r="H34" s="9" t="s">
        <v>17</v>
      </c>
      <c r="I34" s="9" t="s">
        <v>17</v>
      </c>
      <c r="J34" s="9" t="s">
        <v>1050</v>
      </c>
    </row>
    <row r="35" spans="1:10" x14ac:dyDescent="0.25" outlineLevel="3" collapsed="1">
      <c r="A35" s="9" t="s">
        <v>15</v>
      </c>
      <c r="B35" s="9" t="s">
        <v>79</v>
      </c>
      <c r="C35" s="9" t="s">
        <v>17</v>
      </c>
      <c r="D35" s="9"/>
      <c r="E35" s="9" t="s">
        <v>1041</v>
      </c>
      <c r="F35" s="9" t="s">
        <v>21</v>
      </c>
      <c r="G35" s="9">
        <v>1</v>
      </c>
      <c r="H35" s="9" t="s">
        <v>17</v>
      </c>
      <c r="I35" s="9" t="s">
        <v>17</v>
      </c>
      <c r="J35" s="9" t="s">
        <v>1051</v>
      </c>
    </row>
    <row r="36" spans="1:10" x14ac:dyDescent="0.25" outlineLevel="3" collapsed="1">
      <c r="A36" s="9" t="s">
        <v>15</v>
      </c>
      <c r="B36" s="9" t="s">
        <v>79</v>
      </c>
      <c r="C36" s="9" t="s">
        <v>17</v>
      </c>
      <c r="D36" s="9"/>
      <c r="E36" s="9" t="s">
        <v>1052</v>
      </c>
      <c r="F36" s="9" t="s">
        <v>21</v>
      </c>
      <c r="G36" s="9">
        <v>1</v>
      </c>
      <c r="H36" s="9" t="s">
        <v>17</v>
      </c>
      <c r="I36" s="9" t="s">
        <v>17</v>
      </c>
      <c r="J36" s="9" t="s">
        <v>1053</v>
      </c>
    </row>
    <row r="37" spans="1:10" x14ac:dyDescent="0.25" outlineLevel="3" collapsed="1">
      <c r="A37" s="9" t="s">
        <v>15</v>
      </c>
      <c r="B37" s="9" t="s">
        <v>386</v>
      </c>
      <c r="C37" s="9" t="s">
        <v>17</v>
      </c>
      <c r="D37" s="9"/>
      <c r="E37" s="9" t="s">
        <v>1032</v>
      </c>
      <c r="F37" s="9" t="s">
        <v>21</v>
      </c>
      <c r="G37" s="9">
        <v>1</v>
      </c>
      <c r="H37" s="9" t="s">
        <v>17</v>
      </c>
      <c r="I37" s="9" t="s">
        <v>17</v>
      </c>
      <c r="J37" s="9" t="s">
        <v>1054</v>
      </c>
    </row>
    <row r="38" spans="1:10" x14ac:dyDescent="0.25" outlineLevel="2" collapsed="1">
      <c r="A38" s="9" t="s">
        <v>21</v>
      </c>
      <c r="B38" s="9" t="s">
        <v>79</v>
      </c>
      <c r="C38" s="9" t="s">
        <v>17</v>
      </c>
      <c r="D38" s="9" t="s">
        <v>375</v>
      </c>
      <c r="E38" s="9" t="s">
        <v>609</v>
      </c>
      <c r="F38" s="9" t="s">
        <v>21</v>
      </c>
      <c r="G38" s="9">
        <v>1</v>
      </c>
      <c r="H38" s="9" t="s">
        <v>17</v>
      </c>
      <c r="I38" s="9" t="s">
        <v>17</v>
      </c>
      <c r="J38" s="9" t="s">
        <v>1055</v>
      </c>
    </row>
    <row r="39" spans="1:10" x14ac:dyDescent="0.25" outlineLevel="1" collapsed="1">
      <c r="A39" s="7" t="s">
        <v>15</v>
      </c>
      <c r="B39" s="8" t="s">
        <v>612</v>
      </c>
      <c r="C39" s="7" t="s">
        <v>17</v>
      </c>
      <c r="D39" s="7"/>
      <c r="E39" s="7" t="s">
        <v>612</v>
      </c>
      <c r="F39" s="7" t="s">
        <v>21</v>
      </c>
      <c r="G39" s="7" t="s">
        <v>17</v>
      </c>
      <c r="H39" s="7" t="s">
        <v>17</v>
      </c>
      <c r="I39" s="7" t="s">
        <v>17</v>
      </c>
      <c r="J39" s="7" t="s">
        <v>613</v>
      </c>
    </row>
    <row r="40" spans="1:10" x14ac:dyDescent="0.25" outlineLevel="2" collapsed="1">
      <c r="A40" s="7" t="s">
        <v>15</v>
      </c>
      <c r="B40" s="8" t="s">
        <v>1056</v>
      </c>
      <c r="C40" s="7" t="s">
        <v>17</v>
      </c>
      <c r="D40" s="7"/>
      <c r="E40" s="7" t="s">
        <v>1056</v>
      </c>
      <c r="F40" s="7" t="s">
        <v>15</v>
      </c>
      <c r="G40" s="7" t="s">
        <v>17</v>
      </c>
      <c r="H40" s="7" t="s">
        <v>17</v>
      </c>
      <c r="I40" s="7" t="s">
        <v>17</v>
      </c>
      <c r="J40" s="7" t="s">
        <v>1057</v>
      </c>
    </row>
    <row r="41" spans="1:10" x14ac:dyDescent="0.25" outlineLevel="3" collapsed="1">
      <c r="A41" s="9" t="s">
        <v>15</v>
      </c>
      <c r="B41" s="9" t="s">
        <v>56</v>
      </c>
      <c r="C41" s="9" t="s">
        <v>17</v>
      </c>
      <c r="D41" s="9"/>
      <c r="E41" s="9" t="s">
        <v>304</v>
      </c>
      <c r="F41" s="9" t="s">
        <v>21</v>
      </c>
      <c r="G41" s="9" t="s">
        <v>58</v>
      </c>
      <c r="H41" s="9" t="s">
        <v>17</v>
      </c>
      <c r="I41" s="9" t="s">
        <v>17</v>
      </c>
      <c r="J41" s="9" t="s">
        <v>305</v>
      </c>
    </row>
    <row r="42" spans="1:10" x14ac:dyDescent="0.25" outlineLevel="3" collapsed="1">
      <c r="A42" s="9" t="s">
        <v>15</v>
      </c>
      <c r="B42" s="9" t="s">
        <v>79</v>
      </c>
      <c r="C42" s="9" t="s">
        <v>17</v>
      </c>
      <c r="D42" s="9"/>
      <c r="E42" s="9" t="s">
        <v>1058</v>
      </c>
      <c r="F42" s="9" t="s">
        <v>21</v>
      </c>
      <c r="G42" s="9">
        <v>1</v>
      </c>
      <c r="H42" s="9" t="s">
        <v>17</v>
      </c>
      <c r="I42" s="9" t="s">
        <v>17</v>
      </c>
      <c r="J42" s="9" t="s">
        <v>1059</v>
      </c>
    </row>
    <row r="43" spans="1:10" x14ac:dyDescent="0.25" outlineLevel="3" collapsed="1">
      <c r="A43" s="9" t="s">
        <v>15</v>
      </c>
      <c r="B43" s="9" t="s">
        <v>79</v>
      </c>
      <c r="C43" s="9" t="s">
        <v>17</v>
      </c>
      <c r="D43" s="9"/>
      <c r="E43" s="9" t="s">
        <v>1060</v>
      </c>
      <c r="F43" s="9" t="s">
        <v>21</v>
      </c>
      <c r="G43" s="9">
        <v>1</v>
      </c>
      <c r="H43" s="9" t="s">
        <v>17</v>
      </c>
      <c r="I43" s="9" t="s">
        <v>17</v>
      </c>
      <c r="J43" s="9" t="s">
        <v>1061</v>
      </c>
    </row>
    <row r="44" spans="1:10" x14ac:dyDescent="0.25" outlineLevel="3" collapsed="1">
      <c r="A44" s="9" t="s">
        <v>15</v>
      </c>
      <c r="B44" s="9" t="s">
        <v>79</v>
      </c>
      <c r="C44" s="9" t="s">
        <v>17</v>
      </c>
      <c r="D44" s="9"/>
      <c r="E44" s="9" t="s">
        <v>1062</v>
      </c>
      <c r="F44" s="9" t="s">
        <v>21</v>
      </c>
      <c r="G44" s="9">
        <v>1</v>
      </c>
      <c r="H44" s="9" t="s">
        <v>17</v>
      </c>
      <c r="I44" s="9" t="s">
        <v>17</v>
      </c>
      <c r="J44" s="9" t="s">
        <v>1063</v>
      </c>
    </row>
    <row r="45" spans="1:10" x14ac:dyDescent="0.25" outlineLevel="2" collapsed="1">
      <c r="A45" s="9" t="s">
        <v>21</v>
      </c>
      <c r="B45" s="9" t="s">
        <v>79</v>
      </c>
      <c r="C45" s="9" t="s">
        <v>17</v>
      </c>
      <c r="D45" s="9" t="s">
        <v>375</v>
      </c>
      <c r="E45" s="9" t="s">
        <v>1056</v>
      </c>
      <c r="F45" s="9" t="s">
        <v>21</v>
      </c>
      <c r="G45" s="9">
        <v>1</v>
      </c>
      <c r="H45" s="9" t="s">
        <v>17</v>
      </c>
      <c r="I45" s="9" t="s">
        <v>17</v>
      </c>
      <c r="J45" s="9" t="s">
        <v>1064</v>
      </c>
    </row>
    <row r="46" spans="1:10" x14ac:dyDescent="0.25" outlineLevel="2" collapsed="1">
      <c r="A46" s="7" t="s">
        <v>15</v>
      </c>
      <c r="B46" s="8" t="s">
        <v>1065</v>
      </c>
      <c r="C46" s="7" t="s">
        <v>17</v>
      </c>
      <c r="D46" s="7"/>
      <c r="E46" s="7" t="s">
        <v>1065</v>
      </c>
      <c r="F46" s="7" t="s">
        <v>21</v>
      </c>
      <c r="G46" s="7" t="s">
        <v>17</v>
      </c>
      <c r="H46" s="7" t="s">
        <v>17</v>
      </c>
      <c r="I46" s="7" t="s">
        <v>17</v>
      </c>
      <c r="J46" s="7" t="s">
        <v>1066</v>
      </c>
    </row>
    <row r="47" spans="1:10" x14ac:dyDescent="0.25" outlineLevel="3" collapsed="1">
      <c r="A47" s="9" t="s">
        <v>15</v>
      </c>
      <c r="B47" s="9" t="s">
        <v>79</v>
      </c>
      <c r="C47" s="9" t="s">
        <v>17</v>
      </c>
      <c r="D47" s="9"/>
      <c r="E47" s="9" t="s">
        <v>1067</v>
      </c>
      <c r="F47" s="9" t="s">
        <v>21</v>
      </c>
      <c r="G47" s="9">
        <v>1</v>
      </c>
      <c r="H47" s="9" t="s">
        <v>17</v>
      </c>
      <c r="I47" s="9" t="s">
        <v>17</v>
      </c>
      <c r="J47" s="9" t="s">
        <v>1068</v>
      </c>
    </row>
    <row r="48" spans="1:10" x14ac:dyDescent="0.25" outlineLevel="3" collapsed="1">
      <c r="A48" s="9" t="s">
        <v>15</v>
      </c>
      <c r="B48" s="9" t="s">
        <v>79</v>
      </c>
      <c r="C48" s="9" t="s">
        <v>17</v>
      </c>
      <c r="D48" s="9"/>
      <c r="E48" s="9" t="s">
        <v>1069</v>
      </c>
      <c r="F48" s="9" t="s">
        <v>21</v>
      </c>
      <c r="G48" s="9">
        <v>1</v>
      </c>
      <c r="H48" s="9" t="s">
        <v>17</v>
      </c>
      <c r="I48" s="9" t="s">
        <v>17</v>
      </c>
      <c r="J48" s="9" t="s">
        <v>1070</v>
      </c>
    </row>
    <row r="49" spans="1:10" x14ac:dyDescent="0.25" outlineLevel="3" collapsed="1">
      <c r="A49" s="9" t="s">
        <v>15</v>
      </c>
      <c r="B49" s="9" t="s">
        <v>79</v>
      </c>
      <c r="C49" s="9" t="s">
        <v>17</v>
      </c>
      <c r="D49" s="9"/>
      <c r="E49" s="9" t="s">
        <v>1071</v>
      </c>
      <c r="F49" s="9" t="s">
        <v>21</v>
      </c>
      <c r="G49" s="9">
        <v>1</v>
      </c>
      <c r="H49" s="9" t="s">
        <v>17</v>
      </c>
      <c r="I49" s="9" t="s">
        <v>17</v>
      </c>
      <c r="J49" s="9" t="s">
        <v>1072</v>
      </c>
    </row>
    <row r="50" spans="1:10" x14ac:dyDescent="0.25" outlineLevel="2" collapsed="1">
      <c r="A50" s="9" t="s">
        <v>21</v>
      </c>
      <c r="B50" s="9" t="s">
        <v>79</v>
      </c>
      <c r="C50" s="9" t="s">
        <v>17</v>
      </c>
      <c r="D50" s="9" t="s">
        <v>375</v>
      </c>
      <c r="E50" s="9" t="s">
        <v>1073</v>
      </c>
      <c r="F50" s="9" t="s">
        <v>21</v>
      </c>
      <c r="G50" s="9">
        <v>1</v>
      </c>
      <c r="H50" s="9" t="s">
        <v>17</v>
      </c>
      <c r="I50" s="9" t="s">
        <v>17</v>
      </c>
      <c r="J50" s="9" t="s">
        <v>1074</v>
      </c>
    </row>
    <row r="51" spans="1:10" x14ac:dyDescent="0.25" outlineLevel="2" collapsed="1">
      <c r="A51" s="9" t="s">
        <v>21</v>
      </c>
      <c r="B51" s="9" t="s">
        <v>79</v>
      </c>
      <c r="C51" s="9" t="s">
        <v>17</v>
      </c>
      <c r="D51" s="9" t="s">
        <v>375</v>
      </c>
      <c r="E51" s="9" t="s">
        <v>1075</v>
      </c>
      <c r="F51" s="9" t="s">
        <v>21</v>
      </c>
      <c r="G51" s="9">
        <v>1</v>
      </c>
      <c r="H51" s="9" t="s">
        <v>17</v>
      </c>
      <c r="I51" s="9" t="s">
        <v>17</v>
      </c>
      <c r="J51" s="9" t="s">
        <v>1076</v>
      </c>
    </row>
    <row r="52" spans="1:10" x14ac:dyDescent="0.25" outlineLevel="1" collapsed="1">
      <c r="A52" s="7" t="s">
        <v>15</v>
      </c>
      <c r="B52" s="8" t="s">
        <v>614</v>
      </c>
      <c r="C52" s="7" t="s">
        <v>17</v>
      </c>
      <c r="D52" s="7"/>
      <c r="E52" s="7" t="s">
        <v>614</v>
      </c>
      <c r="F52" s="7" t="s">
        <v>21</v>
      </c>
      <c r="G52" s="7" t="s">
        <v>17</v>
      </c>
      <c r="H52" s="7" t="s">
        <v>17</v>
      </c>
      <c r="I52" s="7" t="s">
        <v>17</v>
      </c>
      <c r="J52" s="7" t="s">
        <v>615</v>
      </c>
    </row>
    <row r="53" spans="1:10" x14ac:dyDescent="0.25" outlineLevel="2" collapsed="1">
      <c r="A53" s="9" t="s">
        <v>15</v>
      </c>
      <c r="B53" s="9" t="s">
        <v>79</v>
      </c>
      <c r="C53" s="9" t="s">
        <v>17</v>
      </c>
      <c r="D53" s="9"/>
      <c r="E53" s="9" t="s">
        <v>1077</v>
      </c>
      <c r="F53" s="9" t="s">
        <v>21</v>
      </c>
      <c r="G53" s="9">
        <v>1</v>
      </c>
      <c r="H53" s="9" t="s">
        <v>17</v>
      </c>
      <c r="I53" s="9" t="s">
        <v>17</v>
      </c>
      <c r="J53" s="9" t="s">
        <v>615</v>
      </c>
    </row>
    <row r="54" spans="1:10" x14ac:dyDescent="0.25" outlineLevel="2" collapsed="1">
      <c r="A54" s="9" t="s">
        <v>21</v>
      </c>
      <c r="B54" s="9" t="s">
        <v>79</v>
      </c>
      <c r="C54" s="9" t="s">
        <v>17</v>
      </c>
      <c r="D54" s="9"/>
      <c r="E54" s="9" t="s">
        <v>1078</v>
      </c>
      <c r="F54" s="9" t="s">
        <v>21</v>
      </c>
      <c r="G54" s="9">
        <v>1</v>
      </c>
      <c r="H54" s="9" t="s">
        <v>17</v>
      </c>
      <c r="I54" s="9" t="s">
        <v>17</v>
      </c>
      <c r="J54" s="9" t="s">
        <v>1079</v>
      </c>
    </row>
    <row r="55" spans="1:10" x14ac:dyDescent="0.25" outlineLevel="1" collapsed="1">
      <c r="A55" s="9" t="s">
        <v>21</v>
      </c>
      <c r="B55" s="9" t="s">
        <v>79</v>
      </c>
      <c r="C55" s="9" t="s">
        <v>17</v>
      </c>
      <c r="D55" s="9" t="s">
        <v>375</v>
      </c>
      <c r="E55" s="9" t="s">
        <v>1080</v>
      </c>
      <c r="F55" s="9" t="s">
        <v>21</v>
      </c>
      <c r="G55" s="9">
        <v>1</v>
      </c>
      <c r="H55" s="9" t="s">
        <v>17</v>
      </c>
      <c r="I55" s="9" t="s">
        <v>17</v>
      </c>
      <c r="J55" s="9" t="s">
        <v>1081</v>
      </c>
    </row>
    <row r="56" spans="1:10" x14ac:dyDescent="0.25" outlineLevel="1" collapsed="1">
      <c r="A56" s="9" t="s">
        <v>15</v>
      </c>
      <c r="B56" s="9" t="s">
        <v>79</v>
      </c>
      <c r="C56" s="9" t="s">
        <v>17</v>
      </c>
      <c r="D56" s="9"/>
      <c r="E56" s="9" t="s">
        <v>1082</v>
      </c>
      <c r="F56" s="9" t="s">
        <v>21</v>
      </c>
      <c r="G56" s="9">
        <v>1</v>
      </c>
      <c r="H56" s="9" t="s">
        <v>17</v>
      </c>
      <c r="I56" s="9" t="s">
        <v>17</v>
      </c>
      <c r="J56" s="9" t="s">
        <v>1083</v>
      </c>
    </row>
    <row r="57" spans="1:10" x14ac:dyDescent="0.25" outlineLevel="1" collapsed="1">
      <c r="A57" s="9" t="s">
        <v>15</v>
      </c>
      <c r="B57" s="9" t="s">
        <v>79</v>
      </c>
      <c r="C57" s="9" t="s">
        <v>17</v>
      </c>
      <c r="D57" s="9"/>
      <c r="E57" s="9" t="s">
        <v>1084</v>
      </c>
      <c r="F57" s="9" t="s">
        <v>21</v>
      </c>
      <c r="G57" s="9">
        <v>1</v>
      </c>
      <c r="H57" s="9" t="s">
        <v>17</v>
      </c>
      <c r="I57" s="9" t="s">
        <v>17</v>
      </c>
      <c r="J57" s="9" t="s">
        <v>1085</v>
      </c>
    </row>
    <row r="58" spans="1:10" x14ac:dyDescent="0.25" outlineLevel="1" collapsed="1">
      <c r="A58" s="9" t="s">
        <v>15</v>
      </c>
      <c r="B58" s="9" t="s">
        <v>79</v>
      </c>
      <c r="C58" s="9" t="s">
        <v>17</v>
      </c>
      <c r="D58" s="9"/>
      <c r="E58" s="9" t="s">
        <v>1086</v>
      </c>
      <c r="F58" s="9" t="s">
        <v>21</v>
      </c>
      <c r="G58" s="9">
        <v>1</v>
      </c>
      <c r="H58" s="9" t="s">
        <v>17</v>
      </c>
      <c r="I58" s="9" t="s">
        <v>17</v>
      </c>
      <c r="J58" s="9" t="s">
        <v>1087</v>
      </c>
    </row>
    <row r="59" spans="1:10" x14ac:dyDescent="0.25">
      <c r="A59" s="5" t="s">
        <v>21</v>
      </c>
      <c r="B59" s="5" t="s">
        <v>79</v>
      </c>
      <c r="C59" s="5" t="s">
        <v>17</v>
      </c>
      <c r="D59" s="5" t="s">
        <v>375</v>
      </c>
      <c r="E59" s="5" t="s">
        <v>1088</v>
      </c>
      <c r="F59" s="5" t="s">
        <v>21</v>
      </c>
      <c r="G59" s="5">
        <v>1</v>
      </c>
      <c r="H59" s="5" t="s">
        <v>17</v>
      </c>
      <c r="I59" s="5" t="s">
        <v>17</v>
      </c>
      <c r="J59" s="5" t="s">
        <v>1089</v>
      </c>
    </row>
  </sheetData>
  <mergeCells count="3">
    <mergeCell ref="A1:J1"/>
    <mergeCell ref="B2:J2"/>
    <mergeCell ref="B3:J3"/>
  </mergeCells>
  <dataValidations count="1">
    <dataValidation type="list" allowBlank="1" sqref="G21:I21">
      <formula1>'Treatment Technology 8 (enum)'!A4:A5</formula1>
    </dataValidation>
  </dataValidations>
  <hyperlinks>
    <hyperlink ref="B9" r:id="rId1" location="#'Location Based Details'!A1"/>
    <hyperlink ref="B11" r:id="rId2" location="#'Stove Details Unit Schema'!A1"/>
    <hyperlink ref="B20" r:id="rId3" location="#'Quantity of water'!A1"/>
    <hyperlink ref="C21" r:id="rId4" location="#'Treatment Technology 8 (enum)'!A3"/>
    <hyperlink ref="B22" r:id="rId5" location="#'Project Water Supply Premises'!A1"/>
    <hyperlink ref="B32" r:id="rId6" location="#'Premises Water Usage Details -'!A1"/>
    <hyperlink ref="B39" r:id="rId7" location="#'Project Emission'!A1"/>
    <hyperlink ref="B40" r:id="rId8" location="#'Emission by fuel'!A1"/>
    <hyperlink ref="B46" r:id="rId9" location="#'Emission by Electricity'!A1"/>
    <hyperlink ref="B52" r:id="rId10" location="#'Leakage Emiss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386</v>
      </c>
      <c r="C5" s="5" t="s">
        <v>17</v>
      </c>
      <c r="D5" s="5"/>
      <c r="E5" s="5" t="s">
        <v>1028</v>
      </c>
      <c r="F5" s="5" t="s">
        <v>21</v>
      </c>
      <c r="G5" s="5">
        <v>1</v>
      </c>
      <c r="H5" s="5" t="s">
        <v>17</v>
      </c>
      <c r="I5" s="5" t="s">
        <v>17</v>
      </c>
      <c r="J5" s="5" t="s">
        <v>1029</v>
      </c>
    </row>
    <row r="6" spans="1:10" x14ac:dyDescent="0.25">
      <c r="A6" s="5" t="s">
        <v>15</v>
      </c>
      <c r="B6" s="5" t="s">
        <v>79</v>
      </c>
      <c r="C6" s="5" t="s">
        <v>17</v>
      </c>
      <c r="D6" s="5"/>
      <c r="E6" s="5" t="s">
        <v>1030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1031</v>
      </c>
    </row>
    <row r="7" spans="1:10" x14ac:dyDescent="0.25">
      <c r="A7" s="5" t="s">
        <v>15</v>
      </c>
      <c r="B7" s="5" t="s">
        <v>386</v>
      </c>
      <c r="C7" s="5" t="s">
        <v>17</v>
      </c>
      <c r="D7" s="5"/>
      <c r="E7" s="5" t="s">
        <v>1032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1033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1047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1048</v>
      </c>
    </row>
    <row r="6" spans="1:10" x14ac:dyDescent="0.25">
      <c r="A6" s="5" t="s">
        <v>15</v>
      </c>
      <c r="B6" s="5" t="s">
        <v>386</v>
      </c>
      <c r="C6" s="5" t="s">
        <v>17</v>
      </c>
      <c r="D6" s="5"/>
      <c r="E6" s="5" t="s">
        <v>1049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1050</v>
      </c>
    </row>
    <row r="7" spans="1:10" x14ac:dyDescent="0.25">
      <c r="A7" s="5" t="s">
        <v>15</v>
      </c>
      <c r="B7" s="5" t="s">
        <v>79</v>
      </c>
      <c r="C7" s="5" t="s">
        <v>17</v>
      </c>
      <c r="D7" s="5"/>
      <c r="E7" s="5" t="s">
        <v>1041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1051</v>
      </c>
    </row>
    <row r="8" spans="1:10" x14ac:dyDescent="0.25">
      <c r="A8" s="5" t="s">
        <v>15</v>
      </c>
      <c r="B8" s="5" t="s">
        <v>79</v>
      </c>
      <c r="C8" s="5" t="s">
        <v>17</v>
      </c>
      <c r="D8" s="5"/>
      <c r="E8" s="5" t="s">
        <v>1052</v>
      </c>
      <c r="F8" s="5" t="s">
        <v>21</v>
      </c>
      <c r="G8" s="5">
        <v>1</v>
      </c>
      <c r="H8" s="5" t="s">
        <v>17</v>
      </c>
      <c r="I8" s="5" t="s">
        <v>17</v>
      </c>
      <c r="J8" s="5" t="s">
        <v>1053</v>
      </c>
    </row>
    <row r="9" spans="1:10" x14ac:dyDescent="0.25">
      <c r="A9" s="5" t="s">
        <v>15</v>
      </c>
      <c r="B9" s="5" t="s">
        <v>386</v>
      </c>
      <c r="C9" s="5" t="s">
        <v>17</v>
      </c>
      <c r="D9" s="5"/>
      <c r="E9" s="5" t="s">
        <v>1032</v>
      </c>
      <c r="F9" s="5" t="s">
        <v>21</v>
      </c>
      <c r="G9" s="5">
        <v>1</v>
      </c>
      <c r="H9" s="5" t="s">
        <v>17</v>
      </c>
      <c r="I9" s="5" t="s">
        <v>17</v>
      </c>
      <c r="J9" s="5" t="s">
        <v>1054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23</v>
      </c>
      <c r="C5" s="6" t="s">
        <v>1023</v>
      </c>
      <c r="D5" s="5"/>
      <c r="E5" s="5" t="s">
        <v>123</v>
      </c>
      <c r="F5" s="5" t="s">
        <v>21</v>
      </c>
      <c r="G5" s="5" t="s">
        <v>124</v>
      </c>
      <c r="H5" s="5" t="s">
        <v>17</v>
      </c>
      <c r="I5" s="5" t="s">
        <v>17</v>
      </c>
      <c r="J5" s="5" t="s">
        <v>1024</v>
      </c>
    </row>
    <row r="6" spans="1:10" x14ac:dyDescent="0.25">
      <c r="A6" s="5" t="s">
        <v>21</v>
      </c>
      <c r="B6" s="6" t="s">
        <v>1025</v>
      </c>
      <c r="C6" s="5" t="s">
        <v>17</v>
      </c>
      <c r="D6" s="5">
        <f>EXACT(G5,"HWT, IWT")</f>
      </c>
      <c r="E6" s="5" t="s">
        <v>1026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1027</v>
      </c>
    </row>
    <row r="7" spans="1:10" x14ac:dyDescent="0.25" outlineLevel="1" collapsed="1">
      <c r="A7" s="9" t="s">
        <v>15</v>
      </c>
      <c r="B7" s="9" t="s">
        <v>386</v>
      </c>
      <c r="C7" s="9" t="s">
        <v>17</v>
      </c>
      <c r="D7" s="9"/>
      <c r="E7" s="9" t="s">
        <v>1028</v>
      </c>
      <c r="F7" s="9" t="s">
        <v>21</v>
      </c>
      <c r="G7" s="9">
        <v>1</v>
      </c>
      <c r="H7" s="9" t="s">
        <v>17</v>
      </c>
      <c r="I7" s="9" t="s">
        <v>17</v>
      </c>
      <c r="J7" s="9" t="s">
        <v>1029</v>
      </c>
    </row>
    <row r="8" spans="1:10" x14ac:dyDescent="0.25" outlineLevel="1" collapsed="1">
      <c r="A8" s="9" t="s">
        <v>15</v>
      </c>
      <c r="B8" s="9" t="s">
        <v>79</v>
      </c>
      <c r="C8" s="9" t="s">
        <v>17</v>
      </c>
      <c r="D8" s="9"/>
      <c r="E8" s="9" t="s">
        <v>1030</v>
      </c>
      <c r="F8" s="9" t="s">
        <v>21</v>
      </c>
      <c r="G8" s="9">
        <v>1</v>
      </c>
      <c r="H8" s="9" t="s">
        <v>17</v>
      </c>
      <c r="I8" s="9" t="s">
        <v>17</v>
      </c>
      <c r="J8" s="9" t="s">
        <v>1031</v>
      </c>
    </row>
    <row r="9" spans="1:10" x14ac:dyDescent="0.25" outlineLevel="1" collapsed="1">
      <c r="A9" s="9" t="s">
        <v>15</v>
      </c>
      <c r="B9" s="9" t="s">
        <v>386</v>
      </c>
      <c r="C9" s="9" t="s">
        <v>17</v>
      </c>
      <c r="D9" s="9"/>
      <c r="E9" s="9" t="s">
        <v>1032</v>
      </c>
      <c r="F9" s="9" t="s">
        <v>21</v>
      </c>
      <c r="G9" s="9">
        <v>1</v>
      </c>
      <c r="H9" s="9" t="s">
        <v>17</v>
      </c>
      <c r="I9" s="9" t="s">
        <v>17</v>
      </c>
      <c r="J9" s="9" t="s">
        <v>1033</v>
      </c>
    </row>
    <row r="10" spans="1:10" x14ac:dyDescent="0.25">
      <c r="A10" s="5" t="s">
        <v>21</v>
      </c>
      <c r="B10" s="5" t="s">
        <v>79</v>
      </c>
      <c r="C10" s="5" t="s">
        <v>17</v>
      </c>
      <c r="D10" s="5">
        <f>EXACT(G5,"HWT, IWT")</f>
      </c>
      <c r="E10" s="5" t="s">
        <v>1034</v>
      </c>
      <c r="F10" s="5" t="s">
        <v>21</v>
      </c>
      <c r="G10" s="5">
        <v>1</v>
      </c>
      <c r="H10" s="5" t="s">
        <v>17</v>
      </c>
      <c r="I10" s="5" t="s">
        <v>17</v>
      </c>
      <c r="J10" s="5" t="s">
        <v>1035</v>
      </c>
    </row>
    <row r="11" spans="1:10" x14ac:dyDescent="0.25">
      <c r="A11" s="5" t="s">
        <v>21</v>
      </c>
      <c r="B11" s="5" t="s">
        <v>79</v>
      </c>
      <c r="C11" s="5" t="s">
        <v>17</v>
      </c>
      <c r="D11" s="5">
        <f>EXACT(G5,"HWT, IWT")</f>
      </c>
      <c r="E11" s="5" t="s">
        <v>1036</v>
      </c>
      <c r="F11" s="5" t="s">
        <v>21</v>
      </c>
      <c r="G11" s="5">
        <v>1</v>
      </c>
      <c r="H11" s="5" t="s">
        <v>17</v>
      </c>
      <c r="I11" s="5" t="s">
        <v>17</v>
      </c>
      <c r="J11" s="5" t="s">
        <v>1037</v>
      </c>
    </row>
    <row r="12" spans="1:10" x14ac:dyDescent="0.25">
      <c r="A12" s="5" t="s">
        <v>21</v>
      </c>
      <c r="B12" s="5" t="s">
        <v>79</v>
      </c>
      <c r="C12" s="5" t="s">
        <v>17</v>
      </c>
      <c r="D12" s="5">
        <f>EXACT(G5,"HWT, IWT")</f>
      </c>
      <c r="E12" s="5" t="s">
        <v>1038</v>
      </c>
      <c r="F12" s="5" t="s">
        <v>21</v>
      </c>
      <c r="G12" s="5">
        <v>1</v>
      </c>
      <c r="H12" s="5" t="s">
        <v>17</v>
      </c>
      <c r="I12" s="5" t="s">
        <v>17</v>
      </c>
      <c r="J12" s="5" t="s">
        <v>968</v>
      </c>
    </row>
    <row r="13" spans="1:10" x14ac:dyDescent="0.25">
      <c r="A13" s="5" t="s">
        <v>21</v>
      </c>
      <c r="B13" s="5" t="s">
        <v>79</v>
      </c>
      <c r="C13" s="5" t="s">
        <v>17</v>
      </c>
      <c r="D13" s="5">
        <f>EXACT(G5,"HWT, IWT")</f>
      </c>
      <c r="E13" s="5" t="s">
        <v>1039</v>
      </c>
      <c r="F13" s="5" t="s">
        <v>21</v>
      </c>
      <c r="G13" s="5">
        <v>1</v>
      </c>
      <c r="H13" s="5" t="s">
        <v>17</v>
      </c>
      <c r="I13" s="5" t="s">
        <v>17</v>
      </c>
      <c r="J13" s="5" t="s">
        <v>1040</v>
      </c>
    </row>
    <row r="14" spans="1:10" x14ac:dyDescent="0.25">
      <c r="A14" s="5" t="s">
        <v>21</v>
      </c>
      <c r="B14" s="5" t="s">
        <v>79</v>
      </c>
      <c r="C14" s="5" t="s">
        <v>17</v>
      </c>
      <c r="D14" s="5">
        <f>EXACT(G5,"HWT, IWT")</f>
      </c>
      <c r="E14" s="5" t="s">
        <v>1041</v>
      </c>
      <c r="F14" s="5" t="s">
        <v>21</v>
      </c>
      <c r="G14" s="5">
        <v>1</v>
      </c>
      <c r="H14" s="5" t="s">
        <v>17</v>
      </c>
      <c r="I14" s="5" t="s">
        <v>17</v>
      </c>
      <c r="J14" s="5" t="s">
        <v>1042</v>
      </c>
    </row>
    <row r="15" spans="1:10" x14ac:dyDescent="0.25">
      <c r="A15" s="5" t="s">
        <v>21</v>
      </c>
      <c r="B15" s="5" t="s">
        <v>79</v>
      </c>
      <c r="C15" s="5" t="s">
        <v>17</v>
      </c>
      <c r="D15" s="5">
        <f>EXACT(G5,"CWT, CWS")</f>
      </c>
      <c r="E15" s="5" t="s">
        <v>1043</v>
      </c>
      <c r="F15" s="5" t="s">
        <v>21</v>
      </c>
      <c r="G15" s="5">
        <v>1</v>
      </c>
      <c r="H15" s="5" t="s">
        <v>17</v>
      </c>
      <c r="I15" s="5" t="s">
        <v>17</v>
      </c>
      <c r="J15" s="5" t="s">
        <v>1044</v>
      </c>
    </row>
    <row r="16" spans="1:10" x14ac:dyDescent="0.25">
      <c r="A16" s="5" t="s">
        <v>21</v>
      </c>
      <c r="B16" s="6" t="s">
        <v>1045</v>
      </c>
      <c r="C16" s="5" t="s">
        <v>17</v>
      </c>
      <c r="D16" s="5">
        <f>EXACT(G5,"CWT, CWS")</f>
      </c>
      <c r="E16" s="5" t="s">
        <v>1026</v>
      </c>
      <c r="F16" s="5" t="s">
        <v>15</v>
      </c>
      <c r="G16" s="5" t="s">
        <v>17</v>
      </c>
      <c r="H16" s="5" t="s">
        <v>17</v>
      </c>
      <c r="I16" s="5" t="s">
        <v>17</v>
      </c>
      <c r="J16" s="5" t="s">
        <v>1046</v>
      </c>
    </row>
    <row r="17" spans="1:10" x14ac:dyDescent="0.25" outlineLevel="1" collapsed="1">
      <c r="A17" s="9" t="s">
        <v>15</v>
      </c>
      <c r="B17" s="9" t="s">
        <v>56</v>
      </c>
      <c r="C17" s="9" t="s">
        <v>17</v>
      </c>
      <c r="D17" s="9"/>
      <c r="E17" s="9" t="s">
        <v>1047</v>
      </c>
      <c r="F17" s="9" t="s">
        <v>21</v>
      </c>
      <c r="G17" s="9" t="s">
        <v>58</v>
      </c>
      <c r="H17" s="9" t="s">
        <v>17</v>
      </c>
      <c r="I17" s="9" t="s">
        <v>17</v>
      </c>
      <c r="J17" s="9" t="s">
        <v>1048</v>
      </c>
    </row>
    <row r="18" spans="1:10" x14ac:dyDescent="0.25" outlineLevel="1" collapsed="1">
      <c r="A18" s="9" t="s">
        <v>15</v>
      </c>
      <c r="B18" s="9" t="s">
        <v>386</v>
      </c>
      <c r="C18" s="9" t="s">
        <v>17</v>
      </c>
      <c r="D18" s="9"/>
      <c r="E18" s="9" t="s">
        <v>1049</v>
      </c>
      <c r="F18" s="9" t="s">
        <v>21</v>
      </c>
      <c r="G18" s="9">
        <v>1</v>
      </c>
      <c r="H18" s="9" t="s">
        <v>17</v>
      </c>
      <c r="I18" s="9" t="s">
        <v>17</v>
      </c>
      <c r="J18" s="9" t="s">
        <v>1050</v>
      </c>
    </row>
    <row r="19" spans="1:10" x14ac:dyDescent="0.25" outlineLevel="1" collapsed="1">
      <c r="A19" s="9" t="s">
        <v>15</v>
      </c>
      <c r="B19" s="9" t="s">
        <v>79</v>
      </c>
      <c r="C19" s="9" t="s">
        <v>17</v>
      </c>
      <c r="D19" s="9"/>
      <c r="E19" s="9" t="s">
        <v>1041</v>
      </c>
      <c r="F19" s="9" t="s">
        <v>21</v>
      </c>
      <c r="G19" s="9">
        <v>1</v>
      </c>
      <c r="H19" s="9" t="s">
        <v>17</v>
      </c>
      <c r="I19" s="9" t="s">
        <v>17</v>
      </c>
      <c r="J19" s="9" t="s">
        <v>1051</v>
      </c>
    </row>
    <row r="20" spans="1:10" x14ac:dyDescent="0.25" outlineLevel="1" collapsed="1">
      <c r="A20" s="9" t="s">
        <v>15</v>
      </c>
      <c r="B20" s="9" t="s">
        <v>79</v>
      </c>
      <c r="C20" s="9" t="s">
        <v>17</v>
      </c>
      <c r="D20" s="9"/>
      <c r="E20" s="9" t="s">
        <v>1052</v>
      </c>
      <c r="F20" s="9" t="s">
        <v>21</v>
      </c>
      <c r="G20" s="9">
        <v>1</v>
      </c>
      <c r="H20" s="9" t="s">
        <v>17</v>
      </c>
      <c r="I20" s="9" t="s">
        <v>17</v>
      </c>
      <c r="J20" s="9" t="s">
        <v>1053</v>
      </c>
    </row>
    <row r="21" spans="1:10" x14ac:dyDescent="0.25" outlineLevel="1" collapsed="1">
      <c r="A21" s="9" t="s">
        <v>15</v>
      </c>
      <c r="B21" s="9" t="s">
        <v>386</v>
      </c>
      <c r="C21" s="9" t="s">
        <v>17</v>
      </c>
      <c r="D21" s="9"/>
      <c r="E21" s="9" t="s">
        <v>1032</v>
      </c>
      <c r="F21" s="9" t="s">
        <v>21</v>
      </c>
      <c r="G21" s="9">
        <v>1</v>
      </c>
      <c r="H21" s="9" t="s">
        <v>17</v>
      </c>
      <c r="I21" s="9" t="s">
        <v>17</v>
      </c>
      <c r="J21" s="9" t="s">
        <v>1054</v>
      </c>
    </row>
    <row r="22" spans="1:10" x14ac:dyDescent="0.25">
      <c r="A22" s="5" t="s">
        <v>21</v>
      </c>
      <c r="B22" s="5" t="s">
        <v>79</v>
      </c>
      <c r="C22" s="5" t="s">
        <v>17</v>
      </c>
      <c r="D22" s="5" t="s">
        <v>375</v>
      </c>
      <c r="E22" s="5" t="s">
        <v>609</v>
      </c>
      <c r="F22" s="5" t="s">
        <v>21</v>
      </c>
      <c r="G22" s="5">
        <v>1</v>
      </c>
      <c r="H22" s="5" t="s">
        <v>17</v>
      </c>
      <c r="I22" s="5" t="s">
        <v>17</v>
      </c>
      <c r="J22" s="5" t="s">
        <v>1055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8 (enum)'!A4:A5</formula1>
    </dataValidation>
  </dataValidations>
  <hyperlinks>
    <hyperlink ref="C5" r:id="rId1" location="#'Treatment Technology 8 (enum)'!A3"/>
    <hyperlink ref="B6" r:id="rId2" location="#'Project Water Supply Premises'!A1"/>
    <hyperlink ref="B16" r:id="rId3" location="#'Premises Water Usage Details -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304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305</v>
      </c>
    </row>
    <row r="6" spans="1:10" x14ac:dyDescent="0.25">
      <c r="A6" s="5" t="s">
        <v>15</v>
      </c>
      <c r="B6" s="5" t="s">
        <v>79</v>
      </c>
      <c r="C6" s="5" t="s">
        <v>17</v>
      </c>
      <c r="D6" s="5"/>
      <c r="E6" s="5" t="s">
        <v>1058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1059</v>
      </c>
    </row>
    <row r="7" spans="1:10" x14ac:dyDescent="0.25">
      <c r="A7" s="5" t="s">
        <v>15</v>
      </c>
      <c r="B7" s="5" t="s">
        <v>79</v>
      </c>
      <c r="C7" s="5" t="s">
        <v>17</v>
      </c>
      <c r="D7" s="5"/>
      <c r="E7" s="5" t="s">
        <v>1060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1061</v>
      </c>
    </row>
    <row r="8" spans="1:10" x14ac:dyDescent="0.25">
      <c r="A8" s="5" t="s">
        <v>15</v>
      </c>
      <c r="B8" s="5" t="s">
        <v>79</v>
      </c>
      <c r="C8" s="5" t="s">
        <v>17</v>
      </c>
      <c r="D8" s="5"/>
      <c r="E8" s="5" t="s">
        <v>1062</v>
      </c>
      <c r="F8" s="5" t="s">
        <v>21</v>
      </c>
      <c r="G8" s="5">
        <v>1</v>
      </c>
      <c r="H8" s="5" t="s">
        <v>17</v>
      </c>
      <c r="I8" s="5" t="s">
        <v>17</v>
      </c>
      <c r="J8" s="5" t="s">
        <v>1063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1065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79</v>
      </c>
      <c r="C5" s="5" t="s">
        <v>17</v>
      </c>
      <c r="D5" s="5"/>
      <c r="E5" s="5" t="s">
        <v>1067</v>
      </c>
      <c r="F5" s="5" t="s">
        <v>21</v>
      </c>
      <c r="G5" s="5">
        <v>1</v>
      </c>
      <c r="H5" s="5" t="s">
        <v>17</v>
      </c>
      <c r="I5" s="5" t="s">
        <v>17</v>
      </c>
      <c r="J5" s="5" t="s">
        <v>1068</v>
      </c>
    </row>
    <row r="6" spans="1:10" x14ac:dyDescent="0.25">
      <c r="A6" s="5" t="s">
        <v>15</v>
      </c>
      <c r="B6" s="5" t="s">
        <v>79</v>
      </c>
      <c r="C6" s="5" t="s">
        <v>17</v>
      </c>
      <c r="D6" s="5"/>
      <c r="E6" s="5" t="s">
        <v>1069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1070</v>
      </c>
    </row>
    <row r="7" spans="1:10" x14ac:dyDescent="0.25">
      <c r="A7" s="5" t="s">
        <v>15</v>
      </c>
      <c r="B7" s="5" t="s">
        <v>79</v>
      </c>
      <c r="C7" s="5" t="s">
        <v>17</v>
      </c>
      <c r="D7" s="5"/>
      <c r="E7" s="5" t="s">
        <v>1071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1072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1056</v>
      </c>
      <c r="C5" s="5" t="s">
        <v>17</v>
      </c>
      <c r="D5" s="5"/>
      <c r="E5" s="5" t="s">
        <v>1056</v>
      </c>
      <c r="F5" s="5" t="s">
        <v>15</v>
      </c>
      <c r="G5" s="5" t="s">
        <v>17</v>
      </c>
      <c r="H5" s="5" t="s">
        <v>17</v>
      </c>
      <c r="I5" s="5" t="s">
        <v>17</v>
      </c>
      <c r="J5" s="5" t="s">
        <v>1057</v>
      </c>
    </row>
    <row r="6" spans="1:10" x14ac:dyDescent="0.25" outlineLevel="1" collapsed="1">
      <c r="A6" s="9" t="s">
        <v>15</v>
      </c>
      <c r="B6" s="9" t="s">
        <v>56</v>
      </c>
      <c r="C6" s="9" t="s">
        <v>17</v>
      </c>
      <c r="D6" s="9"/>
      <c r="E6" s="9" t="s">
        <v>304</v>
      </c>
      <c r="F6" s="9" t="s">
        <v>21</v>
      </c>
      <c r="G6" s="9" t="s">
        <v>58</v>
      </c>
      <c r="H6" s="9" t="s">
        <v>17</v>
      </c>
      <c r="I6" s="9" t="s">
        <v>17</v>
      </c>
      <c r="J6" s="9" t="s">
        <v>305</v>
      </c>
    </row>
    <row r="7" spans="1:10" x14ac:dyDescent="0.25" outlineLevel="1" collapsed="1">
      <c r="A7" s="9" t="s">
        <v>15</v>
      </c>
      <c r="B7" s="9" t="s">
        <v>79</v>
      </c>
      <c r="C7" s="9" t="s">
        <v>17</v>
      </c>
      <c r="D7" s="9"/>
      <c r="E7" s="9" t="s">
        <v>1058</v>
      </c>
      <c r="F7" s="9" t="s">
        <v>21</v>
      </c>
      <c r="G7" s="9">
        <v>1</v>
      </c>
      <c r="H7" s="9" t="s">
        <v>17</v>
      </c>
      <c r="I7" s="9" t="s">
        <v>17</v>
      </c>
      <c r="J7" s="9" t="s">
        <v>1059</v>
      </c>
    </row>
    <row r="8" spans="1:10" x14ac:dyDescent="0.25" outlineLevel="1" collapsed="1">
      <c r="A8" s="9" t="s">
        <v>15</v>
      </c>
      <c r="B8" s="9" t="s">
        <v>79</v>
      </c>
      <c r="C8" s="9" t="s">
        <v>17</v>
      </c>
      <c r="D8" s="9"/>
      <c r="E8" s="9" t="s">
        <v>1060</v>
      </c>
      <c r="F8" s="9" t="s">
        <v>21</v>
      </c>
      <c r="G8" s="9">
        <v>1</v>
      </c>
      <c r="H8" s="9" t="s">
        <v>17</v>
      </c>
      <c r="I8" s="9" t="s">
        <v>17</v>
      </c>
      <c r="J8" s="9" t="s">
        <v>1061</v>
      </c>
    </row>
    <row r="9" spans="1:10" x14ac:dyDescent="0.25" outlineLevel="1" collapsed="1">
      <c r="A9" s="9" t="s">
        <v>15</v>
      </c>
      <c r="B9" s="9" t="s">
        <v>79</v>
      </c>
      <c r="C9" s="9" t="s">
        <v>17</v>
      </c>
      <c r="D9" s="9"/>
      <c r="E9" s="9" t="s">
        <v>1062</v>
      </c>
      <c r="F9" s="9" t="s">
        <v>21</v>
      </c>
      <c r="G9" s="9">
        <v>1</v>
      </c>
      <c r="H9" s="9" t="s">
        <v>17</v>
      </c>
      <c r="I9" s="9" t="s">
        <v>17</v>
      </c>
      <c r="J9" s="9" t="s">
        <v>1063</v>
      </c>
    </row>
    <row r="10" spans="1:10" x14ac:dyDescent="0.25">
      <c r="A10" s="5" t="s">
        <v>21</v>
      </c>
      <c r="B10" s="5" t="s">
        <v>79</v>
      </c>
      <c r="C10" s="5" t="s">
        <v>17</v>
      </c>
      <c r="D10" s="5" t="s">
        <v>375</v>
      </c>
      <c r="E10" s="5" t="s">
        <v>1056</v>
      </c>
      <c r="F10" s="5" t="s">
        <v>21</v>
      </c>
      <c r="G10" s="5">
        <v>1</v>
      </c>
      <c r="H10" s="5" t="s">
        <v>17</v>
      </c>
      <c r="I10" s="5" t="s">
        <v>17</v>
      </c>
      <c r="J10" s="5" t="s">
        <v>1064</v>
      </c>
    </row>
    <row r="11" spans="1:10" x14ac:dyDescent="0.25">
      <c r="A11" s="5" t="s">
        <v>15</v>
      </c>
      <c r="B11" s="6" t="s">
        <v>1065</v>
      </c>
      <c r="C11" s="5" t="s">
        <v>17</v>
      </c>
      <c r="D11" s="5"/>
      <c r="E11" s="5" t="s">
        <v>1065</v>
      </c>
      <c r="F11" s="5" t="s">
        <v>21</v>
      </c>
      <c r="G11" s="5" t="s">
        <v>17</v>
      </c>
      <c r="H11" s="5" t="s">
        <v>17</v>
      </c>
      <c r="I11" s="5" t="s">
        <v>17</v>
      </c>
      <c r="J11" s="5" t="s">
        <v>1066</v>
      </c>
    </row>
    <row r="12" spans="1:10" x14ac:dyDescent="0.25" outlineLevel="1" collapsed="1">
      <c r="A12" s="9" t="s">
        <v>15</v>
      </c>
      <c r="B12" s="9" t="s">
        <v>79</v>
      </c>
      <c r="C12" s="9" t="s">
        <v>17</v>
      </c>
      <c r="D12" s="9"/>
      <c r="E12" s="9" t="s">
        <v>1067</v>
      </c>
      <c r="F12" s="9" t="s">
        <v>21</v>
      </c>
      <c r="G12" s="9">
        <v>1</v>
      </c>
      <c r="H12" s="9" t="s">
        <v>17</v>
      </c>
      <c r="I12" s="9" t="s">
        <v>17</v>
      </c>
      <c r="J12" s="9" t="s">
        <v>1068</v>
      </c>
    </row>
    <row r="13" spans="1:10" x14ac:dyDescent="0.25" outlineLevel="1" collapsed="1">
      <c r="A13" s="9" t="s">
        <v>15</v>
      </c>
      <c r="B13" s="9" t="s">
        <v>79</v>
      </c>
      <c r="C13" s="9" t="s">
        <v>17</v>
      </c>
      <c r="D13" s="9"/>
      <c r="E13" s="9" t="s">
        <v>1069</v>
      </c>
      <c r="F13" s="9" t="s">
        <v>21</v>
      </c>
      <c r="G13" s="9">
        <v>1</v>
      </c>
      <c r="H13" s="9" t="s">
        <v>17</v>
      </c>
      <c r="I13" s="9" t="s">
        <v>17</v>
      </c>
      <c r="J13" s="9" t="s">
        <v>1070</v>
      </c>
    </row>
    <row r="14" spans="1:10" x14ac:dyDescent="0.25" outlineLevel="1" collapsed="1">
      <c r="A14" s="9" t="s">
        <v>15</v>
      </c>
      <c r="B14" s="9" t="s">
        <v>79</v>
      </c>
      <c r="C14" s="9" t="s">
        <v>17</v>
      </c>
      <c r="D14" s="9"/>
      <c r="E14" s="9" t="s">
        <v>1071</v>
      </c>
      <c r="F14" s="9" t="s">
        <v>21</v>
      </c>
      <c r="G14" s="9">
        <v>1</v>
      </c>
      <c r="H14" s="9" t="s">
        <v>17</v>
      </c>
      <c r="I14" s="9" t="s">
        <v>17</v>
      </c>
      <c r="J14" s="9" t="s">
        <v>1072</v>
      </c>
    </row>
    <row r="15" spans="1:10" x14ac:dyDescent="0.25">
      <c r="A15" s="5" t="s">
        <v>21</v>
      </c>
      <c r="B15" s="5" t="s">
        <v>79</v>
      </c>
      <c r="C15" s="5" t="s">
        <v>17</v>
      </c>
      <c r="D15" s="5" t="s">
        <v>375</v>
      </c>
      <c r="E15" s="5" t="s">
        <v>1073</v>
      </c>
      <c r="F15" s="5" t="s">
        <v>21</v>
      </c>
      <c r="G15" s="5">
        <v>1</v>
      </c>
      <c r="H15" s="5" t="s">
        <v>17</v>
      </c>
      <c r="I15" s="5" t="s">
        <v>17</v>
      </c>
      <c r="J15" s="5" t="s">
        <v>1074</v>
      </c>
    </row>
    <row r="16" spans="1:10" x14ac:dyDescent="0.25">
      <c r="A16" s="5" t="s">
        <v>21</v>
      </c>
      <c r="B16" s="5" t="s">
        <v>79</v>
      </c>
      <c r="C16" s="5" t="s">
        <v>17</v>
      </c>
      <c r="D16" s="5" t="s">
        <v>375</v>
      </c>
      <c r="E16" s="5" t="s">
        <v>1075</v>
      </c>
      <c r="F16" s="5" t="s">
        <v>21</v>
      </c>
      <c r="G16" s="5">
        <v>1</v>
      </c>
      <c r="H16" s="5" t="s">
        <v>17</v>
      </c>
      <c r="I16" s="5" t="s">
        <v>17</v>
      </c>
      <c r="J16" s="5" t="s">
        <v>1076</v>
      </c>
    </row>
  </sheetData>
  <mergeCells count="3">
    <mergeCell ref="A1:J1"/>
    <mergeCell ref="B2:J2"/>
    <mergeCell ref="B3:J3"/>
  </mergeCells>
  <hyperlinks>
    <hyperlink ref="B5" r:id="rId1" location="#'Emission by fuel'!A1"/>
    <hyperlink ref="B11" r:id="rId2" location="#'Emission by Electricit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79</v>
      </c>
      <c r="C5" s="5" t="s">
        <v>17</v>
      </c>
      <c r="D5" s="5"/>
      <c r="E5" s="5" t="s">
        <v>1077</v>
      </c>
      <c r="F5" s="5" t="s">
        <v>21</v>
      </c>
      <c r="G5" s="5">
        <v>1</v>
      </c>
      <c r="H5" s="5" t="s">
        <v>17</v>
      </c>
      <c r="I5" s="5" t="s">
        <v>17</v>
      </c>
      <c r="J5" s="5" t="s">
        <v>615</v>
      </c>
    </row>
    <row r="6" spans="1:10" x14ac:dyDescent="0.25">
      <c r="A6" s="5" t="s">
        <v>21</v>
      </c>
      <c r="B6" s="5" t="s">
        <v>79</v>
      </c>
      <c r="C6" s="5" t="s">
        <v>17</v>
      </c>
      <c r="D6" s="5"/>
      <c r="E6" s="5" t="s">
        <v>1078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1079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43</v>
      </c>
      <c r="C5" s="5" t="s">
        <v>17</v>
      </c>
      <c r="D5" s="5"/>
      <c r="E5" s="5" t="s">
        <v>271</v>
      </c>
      <c r="F5" s="5" t="s">
        <v>21</v>
      </c>
      <c r="G5" s="5" t="s">
        <v>17</v>
      </c>
      <c r="H5" s="5" t="s">
        <v>17</v>
      </c>
      <c r="I5" s="5" t="s">
        <v>17</v>
      </c>
      <c r="J5" s="5" t="s">
        <v>272</v>
      </c>
    </row>
    <row r="6" spans="1:10" x14ac:dyDescent="0.25">
      <c r="A6" s="5" t="s">
        <v>15</v>
      </c>
      <c r="B6" s="6" t="s">
        <v>1001</v>
      </c>
      <c r="C6" s="5" t="s">
        <v>17</v>
      </c>
      <c r="D6" s="5"/>
      <c r="E6" s="5" t="s">
        <v>1002</v>
      </c>
      <c r="F6" s="5" t="s">
        <v>15</v>
      </c>
      <c r="G6" s="5" t="s">
        <v>17</v>
      </c>
      <c r="H6" s="5" t="s">
        <v>17</v>
      </c>
      <c r="I6" s="5" t="s">
        <v>17</v>
      </c>
      <c r="J6" s="5" t="s">
        <v>1003</v>
      </c>
    </row>
    <row r="7" spans="1:10" x14ac:dyDescent="0.25" outlineLevel="1" collapsed="1">
      <c r="A7" s="9" t="s">
        <v>15</v>
      </c>
      <c r="B7" s="9" t="s">
        <v>56</v>
      </c>
      <c r="C7" s="9" t="s">
        <v>17</v>
      </c>
      <c r="D7" s="9"/>
      <c r="E7" s="9" t="s">
        <v>1004</v>
      </c>
      <c r="F7" s="9" t="s">
        <v>21</v>
      </c>
      <c r="G7" s="9" t="s">
        <v>58</v>
      </c>
      <c r="H7" s="9" t="s">
        <v>17</v>
      </c>
      <c r="I7" s="9" t="s">
        <v>17</v>
      </c>
      <c r="J7" s="9" t="s">
        <v>1005</v>
      </c>
    </row>
    <row r="8" spans="1:10" x14ac:dyDescent="0.25" outlineLevel="1" collapsed="1">
      <c r="A8" s="9" t="s">
        <v>15</v>
      </c>
      <c r="B8" s="9" t="s">
        <v>79</v>
      </c>
      <c r="C8" s="9" t="s">
        <v>17</v>
      </c>
      <c r="D8" s="9"/>
      <c r="E8" s="9" t="s">
        <v>1006</v>
      </c>
      <c r="F8" s="9" t="s">
        <v>21</v>
      </c>
      <c r="G8" s="9">
        <v>1</v>
      </c>
      <c r="H8" s="9" t="s">
        <v>17</v>
      </c>
      <c r="I8" s="9" t="s">
        <v>17</v>
      </c>
      <c r="J8" s="9" t="s">
        <v>1007</v>
      </c>
    </row>
    <row r="9" spans="1:10" x14ac:dyDescent="0.25" outlineLevel="1" collapsed="1">
      <c r="A9" s="9" t="s">
        <v>21</v>
      </c>
      <c r="B9" s="9" t="s">
        <v>79</v>
      </c>
      <c r="C9" s="9" t="s">
        <v>17</v>
      </c>
      <c r="D9" s="9" t="s">
        <v>375</v>
      </c>
      <c r="E9" s="9" t="s">
        <v>1008</v>
      </c>
      <c r="F9" s="9" t="s">
        <v>21</v>
      </c>
      <c r="G9" s="9">
        <v>1</v>
      </c>
      <c r="H9" s="9" t="s">
        <v>17</v>
      </c>
      <c r="I9" s="9" t="s">
        <v>17</v>
      </c>
      <c r="J9" s="9" t="s">
        <v>1009</v>
      </c>
    </row>
    <row r="10" spans="1:10" x14ac:dyDescent="0.25" outlineLevel="1" collapsed="1">
      <c r="A10" s="9" t="s">
        <v>15</v>
      </c>
      <c r="B10" s="9" t="s">
        <v>79</v>
      </c>
      <c r="C10" s="9" t="s">
        <v>17</v>
      </c>
      <c r="D10" s="9"/>
      <c r="E10" s="9" t="s">
        <v>1010</v>
      </c>
      <c r="F10" s="9" t="s">
        <v>21</v>
      </c>
      <c r="G10" s="9">
        <v>1</v>
      </c>
      <c r="H10" s="9" t="s">
        <v>17</v>
      </c>
      <c r="I10" s="9" t="s">
        <v>17</v>
      </c>
      <c r="J10" s="9" t="s">
        <v>1011</v>
      </c>
    </row>
    <row r="11" spans="1:10" x14ac:dyDescent="0.25" outlineLevel="1" collapsed="1">
      <c r="A11" s="9" t="s">
        <v>15</v>
      </c>
      <c r="B11" s="9" t="s">
        <v>79</v>
      </c>
      <c r="C11" s="9" t="s">
        <v>17</v>
      </c>
      <c r="D11" s="9"/>
      <c r="E11" s="9" t="s">
        <v>1012</v>
      </c>
      <c r="F11" s="9" t="s">
        <v>21</v>
      </c>
      <c r="G11" s="9">
        <v>1</v>
      </c>
      <c r="H11" s="9" t="s">
        <v>17</v>
      </c>
      <c r="I11" s="9" t="s">
        <v>17</v>
      </c>
      <c r="J11" s="9" t="s">
        <v>1013</v>
      </c>
    </row>
    <row r="12" spans="1:10" x14ac:dyDescent="0.25" outlineLevel="1" collapsed="1">
      <c r="A12" s="9" t="s">
        <v>15</v>
      </c>
      <c r="B12" s="9" t="s">
        <v>79</v>
      </c>
      <c r="C12" s="9" t="s">
        <v>17</v>
      </c>
      <c r="D12" s="9"/>
      <c r="E12" s="9" t="s">
        <v>1014</v>
      </c>
      <c r="F12" s="9" t="s">
        <v>21</v>
      </c>
      <c r="G12" s="9">
        <v>1</v>
      </c>
      <c r="H12" s="9" t="s">
        <v>17</v>
      </c>
      <c r="I12" s="9" t="s">
        <v>17</v>
      </c>
      <c r="J12" s="9" t="s">
        <v>1015</v>
      </c>
    </row>
    <row r="13" spans="1:10" x14ac:dyDescent="0.25" outlineLevel="1" collapsed="1">
      <c r="A13" s="9" t="s">
        <v>21</v>
      </c>
      <c r="B13" s="9" t="s">
        <v>79</v>
      </c>
      <c r="C13" s="9" t="s">
        <v>17</v>
      </c>
      <c r="D13" s="9" t="s">
        <v>375</v>
      </c>
      <c r="E13" s="9" t="s">
        <v>1016</v>
      </c>
      <c r="F13" s="9" t="s">
        <v>21</v>
      </c>
      <c r="G13" s="9">
        <v>1</v>
      </c>
      <c r="H13" s="9" t="s">
        <v>17</v>
      </c>
      <c r="I13" s="9" t="s">
        <v>17</v>
      </c>
      <c r="J13" s="9" t="s">
        <v>1017</v>
      </c>
    </row>
    <row r="14" spans="1:10" x14ac:dyDescent="0.25" outlineLevel="1" collapsed="1">
      <c r="A14" s="9" t="s">
        <v>15</v>
      </c>
      <c r="B14" s="9" t="s">
        <v>79</v>
      </c>
      <c r="C14" s="9" t="s">
        <v>17</v>
      </c>
      <c r="D14" s="9"/>
      <c r="E14" s="9" t="s">
        <v>1018</v>
      </c>
      <c r="F14" s="9" t="s">
        <v>21</v>
      </c>
      <c r="G14" s="9">
        <v>1</v>
      </c>
      <c r="H14" s="9" t="s">
        <v>17</v>
      </c>
      <c r="I14" s="9" t="s">
        <v>17</v>
      </c>
      <c r="J14" s="9" t="s">
        <v>1019</v>
      </c>
    </row>
    <row r="15" spans="1:10" x14ac:dyDescent="0.25">
      <c r="A15" s="5" t="s">
        <v>15</v>
      </c>
      <c r="B15" s="6" t="s">
        <v>1020</v>
      </c>
      <c r="C15" s="5" t="s">
        <v>17</v>
      </c>
      <c r="D15" s="5"/>
      <c r="E15" s="5" t="s">
        <v>1021</v>
      </c>
      <c r="F15" s="5" t="s">
        <v>21</v>
      </c>
      <c r="G15" s="5" t="s">
        <v>17</v>
      </c>
      <c r="H15" s="5" t="s">
        <v>17</v>
      </c>
      <c r="I15" s="5" t="s">
        <v>17</v>
      </c>
      <c r="J15" s="5" t="s">
        <v>1022</v>
      </c>
    </row>
    <row r="16" spans="1:10" x14ac:dyDescent="0.25" outlineLevel="1" collapsed="1">
      <c r="A16" s="9" t="s">
        <v>15</v>
      </c>
      <c r="B16" s="9" t="s">
        <v>23</v>
      </c>
      <c r="C16" s="10" t="s">
        <v>1023</v>
      </c>
      <c r="D16" s="9"/>
      <c r="E16" s="9" t="s">
        <v>123</v>
      </c>
      <c r="F16" s="9" t="s">
        <v>21</v>
      </c>
      <c r="G16" s="9" t="s">
        <v>124</v>
      </c>
      <c r="H16" s="9" t="s">
        <v>17</v>
      </c>
      <c r="I16" s="9" t="s">
        <v>17</v>
      </c>
      <c r="J16" s="9" t="s">
        <v>1024</v>
      </c>
    </row>
    <row r="17" spans="1:10" x14ac:dyDescent="0.25" outlineLevel="1" collapsed="1">
      <c r="A17" s="7" t="s">
        <v>21</v>
      </c>
      <c r="B17" s="8" t="s">
        <v>1025</v>
      </c>
      <c r="C17" s="7" t="s">
        <v>17</v>
      </c>
      <c r="D17" s="7">
        <f>EXACT(G16,"HWT, IWT")</f>
      </c>
      <c r="E17" s="7" t="s">
        <v>1026</v>
      </c>
      <c r="F17" s="7" t="s">
        <v>15</v>
      </c>
      <c r="G17" s="7" t="s">
        <v>17</v>
      </c>
      <c r="H17" s="7" t="s">
        <v>17</v>
      </c>
      <c r="I17" s="7" t="s">
        <v>17</v>
      </c>
      <c r="J17" s="7" t="s">
        <v>1027</v>
      </c>
    </row>
    <row r="18" spans="1:10" x14ac:dyDescent="0.25" outlineLevel="2" collapsed="1">
      <c r="A18" s="9" t="s">
        <v>15</v>
      </c>
      <c r="B18" s="9" t="s">
        <v>386</v>
      </c>
      <c r="C18" s="9" t="s">
        <v>17</v>
      </c>
      <c r="D18" s="9"/>
      <c r="E18" s="9" t="s">
        <v>1028</v>
      </c>
      <c r="F18" s="9" t="s">
        <v>21</v>
      </c>
      <c r="G18" s="9">
        <v>1</v>
      </c>
      <c r="H18" s="9" t="s">
        <v>17</v>
      </c>
      <c r="I18" s="9" t="s">
        <v>17</v>
      </c>
      <c r="J18" s="9" t="s">
        <v>1029</v>
      </c>
    </row>
    <row r="19" spans="1:10" x14ac:dyDescent="0.25" outlineLevel="2" collapsed="1">
      <c r="A19" s="9" t="s">
        <v>15</v>
      </c>
      <c r="B19" s="9" t="s">
        <v>79</v>
      </c>
      <c r="C19" s="9" t="s">
        <v>17</v>
      </c>
      <c r="D19" s="9"/>
      <c r="E19" s="9" t="s">
        <v>1030</v>
      </c>
      <c r="F19" s="9" t="s">
        <v>21</v>
      </c>
      <c r="G19" s="9">
        <v>1</v>
      </c>
      <c r="H19" s="9" t="s">
        <v>17</v>
      </c>
      <c r="I19" s="9" t="s">
        <v>17</v>
      </c>
      <c r="J19" s="9" t="s">
        <v>1031</v>
      </c>
    </row>
    <row r="20" spans="1:10" x14ac:dyDescent="0.25" outlineLevel="2" collapsed="1">
      <c r="A20" s="9" t="s">
        <v>15</v>
      </c>
      <c r="B20" s="9" t="s">
        <v>386</v>
      </c>
      <c r="C20" s="9" t="s">
        <v>17</v>
      </c>
      <c r="D20" s="9"/>
      <c r="E20" s="9" t="s">
        <v>1032</v>
      </c>
      <c r="F20" s="9" t="s">
        <v>21</v>
      </c>
      <c r="G20" s="9">
        <v>1</v>
      </c>
      <c r="H20" s="9" t="s">
        <v>17</v>
      </c>
      <c r="I20" s="9" t="s">
        <v>17</v>
      </c>
      <c r="J20" s="9" t="s">
        <v>1033</v>
      </c>
    </row>
    <row r="21" spans="1:10" x14ac:dyDescent="0.25" outlineLevel="1" collapsed="1">
      <c r="A21" s="9" t="s">
        <v>21</v>
      </c>
      <c r="B21" s="9" t="s">
        <v>79</v>
      </c>
      <c r="C21" s="9" t="s">
        <v>17</v>
      </c>
      <c r="D21" s="9">
        <f>EXACT(G16,"HWT, IWT")</f>
      </c>
      <c r="E21" s="9" t="s">
        <v>1034</v>
      </c>
      <c r="F21" s="9" t="s">
        <v>21</v>
      </c>
      <c r="G21" s="9">
        <v>1</v>
      </c>
      <c r="H21" s="9" t="s">
        <v>17</v>
      </c>
      <c r="I21" s="9" t="s">
        <v>17</v>
      </c>
      <c r="J21" s="9" t="s">
        <v>1035</v>
      </c>
    </row>
    <row r="22" spans="1:10" x14ac:dyDescent="0.25" outlineLevel="1" collapsed="1">
      <c r="A22" s="9" t="s">
        <v>21</v>
      </c>
      <c r="B22" s="9" t="s">
        <v>79</v>
      </c>
      <c r="C22" s="9" t="s">
        <v>17</v>
      </c>
      <c r="D22" s="9">
        <f>EXACT(G16,"HWT, IWT")</f>
      </c>
      <c r="E22" s="9" t="s">
        <v>1036</v>
      </c>
      <c r="F22" s="9" t="s">
        <v>21</v>
      </c>
      <c r="G22" s="9">
        <v>1</v>
      </c>
      <c r="H22" s="9" t="s">
        <v>17</v>
      </c>
      <c r="I22" s="9" t="s">
        <v>17</v>
      </c>
      <c r="J22" s="9" t="s">
        <v>1037</v>
      </c>
    </row>
    <row r="23" spans="1:10" x14ac:dyDescent="0.25" outlineLevel="1" collapsed="1">
      <c r="A23" s="9" t="s">
        <v>21</v>
      </c>
      <c r="B23" s="9" t="s">
        <v>79</v>
      </c>
      <c r="C23" s="9" t="s">
        <v>17</v>
      </c>
      <c r="D23" s="9">
        <f>EXACT(G16,"HWT, IWT")</f>
      </c>
      <c r="E23" s="9" t="s">
        <v>1038</v>
      </c>
      <c r="F23" s="9" t="s">
        <v>21</v>
      </c>
      <c r="G23" s="9">
        <v>1</v>
      </c>
      <c r="H23" s="9" t="s">
        <v>17</v>
      </c>
      <c r="I23" s="9" t="s">
        <v>17</v>
      </c>
      <c r="J23" s="9" t="s">
        <v>968</v>
      </c>
    </row>
    <row r="24" spans="1:10" x14ac:dyDescent="0.25" outlineLevel="1" collapsed="1">
      <c r="A24" s="9" t="s">
        <v>21</v>
      </c>
      <c r="B24" s="9" t="s">
        <v>79</v>
      </c>
      <c r="C24" s="9" t="s">
        <v>17</v>
      </c>
      <c r="D24" s="9">
        <f>EXACT(G16,"HWT, IWT")</f>
      </c>
      <c r="E24" s="9" t="s">
        <v>1039</v>
      </c>
      <c r="F24" s="9" t="s">
        <v>21</v>
      </c>
      <c r="G24" s="9">
        <v>1</v>
      </c>
      <c r="H24" s="9" t="s">
        <v>17</v>
      </c>
      <c r="I24" s="9" t="s">
        <v>17</v>
      </c>
      <c r="J24" s="9" t="s">
        <v>1040</v>
      </c>
    </row>
    <row r="25" spans="1:10" x14ac:dyDescent="0.25" outlineLevel="1" collapsed="1">
      <c r="A25" s="9" t="s">
        <v>21</v>
      </c>
      <c r="B25" s="9" t="s">
        <v>79</v>
      </c>
      <c r="C25" s="9" t="s">
        <v>17</v>
      </c>
      <c r="D25" s="9">
        <f>EXACT(G16,"HWT, IWT")</f>
      </c>
      <c r="E25" s="9" t="s">
        <v>1041</v>
      </c>
      <c r="F25" s="9" t="s">
        <v>21</v>
      </c>
      <c r="G25" s="9">
        <v>1</v>
      </c>
      <c r="H25" s="9" t="s">
        <v>17</v>
      </c>
      <c r="I25" s="9" t="s">
        <v>17</v>
      </c>
      <c r="J25" s="9" t="s">
        <v>1042</v>
      </c>
    </row>
    <row r="26" spans="1:10" x14ac:dyDescent="0.25" outlineLevel="1" collapsed="1">
      <c r="A26" s="9" t="s">
        <v>21</v>
      </c>
      <c r="B26" s="9" t="s">
        <v>79</v>
      </c>
      <c r="C26" s="9" t="s">
        <v>17</v>
      </c>
      <c r="D26" s="9">
        <f>EXACT(G16,"CWT, CWS")</f>
      </c>
      <c r="E26" s="9" t="s">
        <v>1043</v>
      </c>
      <c r="F26" s="9" t="s">
        <v>21</v>
      </c>
      <c r="G26" s="9">
        <v>1</v>
      </c>
      <c r="H26" s="9" t="s">
        <v>17</v>
      </c>
      <c r="I26" s="9" t="s">
        <v>17</v>
      </c>
      <c r="J26" s="9" t="s">
        <v>1044</v>
      </c>
    </row>
    <row r="27" spans="1:10" x14ac:dyDescent="0.25" outlineLevel="1" collapsed="1">
      <c r="A27" s="7" t="s">
        <v>21</v>
      </c>
      <c r="B27" s="8" t="s">
        <v>1045</v>
      </c>
      <c r="C27" s="7" t="s">
        <v>17</v>
      </c>
      <c r="D27" s="7">
        <f>EXACT(G16,"CWT, CWS")</f>
      </c>
      <c r="E27" s="7" t="s">
        <v>1026</v>
      </c>
      <c r="F27" s="7" t="s">
        <v>15</v>
      </c>
      <c r="G27" s="7" t="s">
        <v>17</v>
      </c>
      <c r="H27" s="7" t="s">
        <v>17</v>
      </c>
      <c r="I27" s="7" t="s">
        <v>17</v>
      </c>
      <c r="J27" s="7" t="s">
        <v>1046</v>
      </c>
    </row>
    <row r="28" spans="1:10" x14ac:dyDescent="0.25" outlineLevel="2" collapsed="1">
      <c r="A28" s="9" t="s">
        <v>15</v>
      </c>
      <c r="B28" s="9" t="s">
        <v>56</v>
      </c>
      <c r="C28" s="9" t="s">
        <v>17</v>
      </c>
      <c r="D28" s="9"/>
      <c r="E28" s="9" t="s">
        <v>1047</v>
      </c>
      <c r="F28" s="9" t="s">
        <v>21</v>
      </c>
      <c r="G28" s="9" t="s">
        <v>58</v>
      </c>
      <c r="H28" s="9" t="s">
        <v>17</v>
      </c>
      <c r="I28" s="9" t="s">
        <v>17</v>
      </c>
      <c r="J28" s="9" t="s">
        <v>1048</v>
      </c>
    </row>
    <row r="29" spans="1:10" x14ac:dyDescent="0.25" outlineLevel="2" collapsed="1">
      <c r="A29" s="9" t="s">
        <v>15</v>
      </c>
      <c r="B29" s="9" t="s">
        <v>386</v>
      </c>
      <c r="C29" s="9" t="s">
        <v>17</v>
      </c>
      <c r="D29" s="9"/>
      <c r="E29" s="9" t="s">
        <v>1049</v>
      </c>
      <c r="F29" s="9" t="s">
        <v>21</v>
      </c>
      <c r="G29" s="9">
        <v>1</v>
      </c>
      <c r="H29" s="9" t="s">
        <v>17</v>
      </c>
      <c r="I29" s="9" t="s">
        <v>17</v>
      </c>
      <c r="J29" s="9" t="s">
        <v>1050</v>
      </c>
    </row>
    <row r="30" spans="1:10" x14ac:dyDescent="0.25" outlineLevel="2" collapsed="1">
      <c r="A30" s="9" t="s">
        <v>15</v>
      </c>
      <c r="B30" s="9" t="s">
        <v>79</v>
      </c>
      <c r="C30" s="9" t="s">
        <v>17</v>
      </c>
      <c r="D30" s="9"/>
      <c r="E30" s="9" t="s">
        <v>1041</v>
      </c>
      <c r="F30" s="9" t="s">
        <v>21</v>
      </c>
      <c r="G30" s="9">
        <v>1</v>
      </c>
      <c r="H30" s="9" t="s">
        <v>17</v>
      </c>
      <c r="I30" s="9" t="s">
        <v>17</v>
      </c>
      <c r="J30" s="9" t="s">
        <v>1051</v>
      </c>
    </row>
    <row r="31" spans="1:10" x14ac:dyDescent="0.25" outlineLevel="2" collapsed="1">
      <c r="A31" s="9" t="s">
        <v>15</v>
      </c>
      <c r="B31" s="9" t="s">
        <v>79</v>
      </c>
      <c r="C31" s="9" t="s">
        <v>17</v>
      </c>
      <c r="D31" s="9"/>
      <c r="E31" s="9" t="s">
        <v>1052</v>
      </c>
      <c r="F31" s="9" t="s">
        <v>21</v>
      </c>
      <c r="G31" s="9">
        <v>1</v>
      </c>
      <c r="H31" s="9" t="s">
        <v>17</v>
      </c>
      <c r="I31" s="9" t="s">
        <v>17</v>
      </c>
      <c r="J31" s="9" t="s">
        <v>1053</v>
      </c>
    </row>
    <row r="32" spans="1:10" x14ac:dyDescent="0.25" outlineLevel="2" collapsed="1">
      <c r="A32" s="9" t="s">
        <v>15</v>
      </c>
      <c r="B32" s="9" t="s">
        <v>386</v>
      </c>
      <c r="C32" s="9" t="s">
        <v>17</v>
      </c>
      <c r="D32" s="9"/>
      <c r="E32" s="9" t="s">
        <v>1032</v>
      </c>
      <c r="F32" s="9" t="s">
        <v>21</v>
      </c>
      <c r="G32" s="9">
        <v>1</v>
      </c>
      <c r="H32" s="9" t="s">
        <v>17</v>
      </c>
      <c r="I32" s="9" t="s">
        <v>17</v>
      </c>
      <c r="J32" s="9" t="s">
        <v>1054</v>
      </c>
    </row>
    <row r="33" spans="1:10" x14ac:dyDescent="0.25" outlineLevel="1" collapsed="1">
      <c r="A33" s="9" t="s">
        <v>21</v>
      </c>
      <c r="B33" s="9" t="s">
        <v>79</v>
      </c>
      <c r="C33" s="9" t="s">
        <v>17</v>
      </c>
      <c r="D33" s="9" t="s">
        <v>375</v>
      </c>
      <c r="E33" s="9" t="s">
        <v>609</v>
      </c>
      <c r="F33" s="9" t="s">
        <v>21</v>
      </c>
      <c r="G33" s="9">
        <v>1</v>
      </c>
      <c r="H33" s="9" t="s">
        <v>17</v>
      </c>
      <c r="I33" s="9" t="s">
        <v>17</v>
      </c>
      <c r="J33" s="9" t="s">
        <v>1055</v>
      </c>
    </row>
    <row r="34" spans="1:10" x14ac:dyDescent="0.25">
      <c r="A34" s="5" t="s">
        <v>15</v>
      </c>
      <c r="B34" s="6" t="s">
        <v>612</v>
      </c>
      <c r="C34" s="5" t="s">
        <v>17</v>
      </c>
      <c r="D34" s="5"/>
      <c r="E34" s="5" t="s">
        <v>612</v>
      </c>
      <c r="F34" s="5" t="s">
        <v>21</v>
      </c>
      <c r="G34" s="5" t="s">
        <v>17</v>
      </c>
      <c r="H34" s="5" t="s">
        <v>17</v>
      </c>
      <c r="I34" s="5" t="s">
        <v>17</v>
      </c>
      <c r="J34" s="5" t="s">
        <v>613</v>
      </c>
    </row>
    <row r="35" spans="1:10" x14ac:dyDescent="0.25" outlineLevel="1" collapsed="1">
      <c r="A35" s="7" t="s">
        <v>15</v>
      </c>
      <c r="B35" s="8" t="s">
        <v>1056</v>
      </c>
      <c r="C35" s="7" t="s">
        <v>17</v>
      </c>
      <c r="D35" s="7"/>
      <c r="E35" s="7" t="s">
        <v>1056</v>
      </c>
      <c r="F35" s="7" t="s">
        <v>15</v>
      </c>
      <c r="G35" s="7" t="s">
        <v>17</v>
      </c>
      <c r="H35" s="7" t="s">
        <v>17</v>
      </c>
      <c r="I35" s="7" t="s">
        <v>17</v>
      </c>
      <c r="J35" s="7" t="s">
        <v>1057</v>
      </c>
    </row>
    <row r="36" spans="1:10" x14ac:dyDescent="0.25" outlineLevel="2" collapsed="1">
      <c r="A36" s="9" t="s">
        <v>15</v>
      </c>
      <c r="B36" s="9" t="s">
        <v>56</v>
      </c>
      <c r="C36" s="9" t="s">
        <v>17</v>
      </c>
      <c r="D36" s="9"/>
      <c r="E36" s="9" t="s">
        <v>304</v>
      </c>
      <c r="F36" s="9" t="s">
        <v>21</v>
      </c>
      <c r="G36" s="9" t="s">
        <v>58</v>
      </c>
      <c r="H36" s="9" t="s">
        <v>17</v>
      </c>
      <c r="I36" s="9" t="s">
        <v>17</v>
      </c>
      <c r="J36" s="9" t="s">
        <v>305</v>
      </c>
    </row>
    <row r="37" spans="1:10" x14ac:dyDescent="0.25" outlineLevel="2" collapsed="1">
      <c r="A37" s="9" t="s">
        <v>15</v>
      </c>
      <c r="B37" s="9" t="s">
        <v>79</v>
      </c>
      <c r="C37" s="9" t="s">
        <v>17</v>
      </c>
      <c r="D37" s="9"/>
      <c r="E37" s="9" t="s">
        <v>1058</v>
      </c>
      <c r="F37" s="9" t="s">
        <v>21</v>
      </c>
      <c r="G37" s="9">
        <v>1</v>
      </c>
      <c r="H37" s="9" t="s">
        <v>17</v>
      </c>
      <c r="I37" s="9" t="s">
        <v>17</v>
      </c>
      <c r="J37" s="9" t="s">
        <v>1059</v>
      </c>
    </row>
    <row r="38" spans="1:10" x14ac:dyDescent="0.25" outlineLevel="2" collapsed="1">
      <c r="A38" s="9" t="s">
        <v>15</v>
      </c>
      <c r="B38" s="9" t="s">
        <v>79</v>
      </c>
      <c r="C38" s="9" t="s">
        <v>17</v>
      </c>
      <c r="D38" s="9"/>
      <c r="E38" s="9" t="s">
        <v>1060</v>
      </c>
      <c r="F38" s="9" t="s">
        <v>21</v>
      </c>
      <c r="G38" s="9">
        <v>1</v>
      </c>
      <c r="H38" s="9" t="s">
        <v>17</v>
      </c>
      <c r="I38" s="9" t="s">
        <v>17</v>
      </c>
      <c r="J38" s="9" t="s">
        <v>1061</v>
      </c>
    </row>
    <row r="39" spans="1:10" x14ac:dyDescent="0.25" outlineLevel="2" collapsed="1">
      <c r="A39" s="9" t="s">
        <v>15</v>
      </c>
      <c r="B39" s="9" t="s">
        <v>79</v>
      </c>
      <c r="C39" s="9" t="s">
        <v>17</v>
      </c>
      <c r="D39" s="9"/>
      <c r="E39" s="9" t="s">
        <v>1062</v>
      </c>
      <c r="F39" s="9" t="s">
        <v>21</v>
      </c>
      <c r="G39" s="9">
        <v>1</v>
      </c>
      <c r="H39" s="9" t="s">
        <v>17</v>
      </c>
      <c r="I39" s="9" t="s">
        <v>17</v>
      </c>
      <c r="J39" s="9" t="s">
        <v>1063</v>
      </c>
    </row>
    <row r="40" spans="1:10" x14ac:dyDescent="0.25" outlineLevel="1" collapsed="1">
      <c r="A40" s="9" t="s">
        <v>21</v>
      </c>
      <c r="B40" s="9" t="s">
        <v>79</v>
      </c>
      <c r="C40" s="9" t="s">
        <v>17</v>
      </c>
      <c r="D40" s="9" t="s">
        <v>375</v>
      </c>
      <c r="E40" s="9" t="s">
        <v>1056</v>
      </c>
      <c r="F40" s="9" t="s">
        <v>21</v>
      </c>
      <c r="G40" s="9">
        <v>1</v>
      </c>
      <c r="H40" s="9" t="s">
        <v>17</v>
      </c>
      <c r="I40" s="9" t="s">
        <v>17</v>
      </c>
      <c r="J40" s="9" t="s">
        <v>1064</v>
      </c>
    </row>
    <row r="41" spans="1:10" x14ac:dyDescent="0.25" outlineLevel="1" collapsed="1">
      <c r="A41" s="7" t="s">
        <v>15</v>
      </c>
      <c r="B41" s="8" t="s">
        <v>1065</v>
      </c>
      <c r="C41" s="7" t="s">
        <v>17</v>
      </c>
      <c r="D41" s="7"/>
      <c r="E41" s="7" t="s">
        <v>1065</v>
      </c>
      <c r="F41" s="7" t="s">
        <v>21</v>
      </c>
      <c r="G41" s="7" t="s">
        <v>17</v>
      </c>
      <c r="H41" s="7" t="s">
        <v>17</v>
      </c>
      <c r="I41" s="7" t="s">
        <v>17</v>
      </c>
      <c r="J41" s="7" t="s">
        <v>1066</v>
      </c>
    </row>
    <row r="42" spans="1:10" x14ac:dyDescent="0.25" outlineLevel="2" collapsed="1">
      <c r="A42" s="9" t="s">
        <v>15</v>
      </c>
      <c r="B42" s="9" t="s">
        <v>79</v>
      </c>
      <c r="C42" s="9" t="s">
        <v>17</v>
      </c>
      <c r="D42" s="9"/>
      <c r="E42" s="9" t="s">
        <v>1067</v>
      </c>
      <c r="F42" s="9" t="s">
        <v>21</v>
      </c>
      <c r="G42" s="9">
        <v>1</v>
      </c>
      <c r="H42" s="9" t="s">
        <v>17</v>
      </c>
      <c r="I42" s="9" t="s">
        <v>17</v>
      </c>
      <c r="J42" s="9" t="s">
        <v>1068</v>
      </c>
    </row>
    <row r="43" spans="1:10" x14ac:dyDescent="0.25" outlineLevel="2" collapsed="1">
      <c r="A43" s="9" t="s">
        <v>15</v>
      </c>
      <c r="B43" s="9" t="s">
        <v>79</v>
      </c>
      <c r="C43" s="9" t="s">
        <v>17</v>
      </c>
      <c r="D43" s="9"/>
      <c r="E43" s="9" t="s">
        <v>1069</v>
      </c>
      <c r="F43" s="9" t="s">
        <v>21</v>
      </c>
      <c r="G43" s="9">
        <v>1</v>
      </c>
      <c r="H43" s="9" t="s">
        <v>17</v>
      </c>
      <c r="I43" s="9" t="s">
        <v>17</v>
      </c>
      <c r="J43" s="9" t="s">
        <v>1070</v>
      </c>
    </row>
    <row r="44" spans="1:10" x14ac:dyDescent="0.25" outlineLevel="2" collapsed="1">
      <c r="A44" s="9" t="s">
        <v>15</v>
      </c>
      <c r="B44" s="9" t="s">
        <v>79</v>
      </c>
      <c r="C44" s="9" t="s">
        <v>17</v>
      </c>
      <c r="D44" s="9"/>
      <c r="E44" s="9" t="s">
        <v>1071</v>
      </c>
      <c r="F44" s="9" t="s">
        <v>21</v>
      </c>
      <c r="G44" s="9">
        <v>1</v>
      </c>
      <c r="H44" s="9" t="s">
        <v>17</v>
      </c>
      <c r="I44" s="9" t="s">
        <v>17</v>
      </c>
      <c r="J44" s="9" t="s">
        <v>1072</v>
      </c>
    </row>
    <row r="45" spans="1:10" x14ac:dyDescent="0.25" outlineLevel="1" collapsed="1">
      <c r="A45" s="9" t="s">
        <v>21</v>
      </c>
      <c r="B45" s="9" t="s">
        <v>79</v>
      </c>
      <c r="C45" s="9" t="s">
        <v>17</v>
      </c>
      <c r="D45" s="9" t="s">
        <v>375</v>
      </c>
      <c r="E45" s="9" t="s">
        <v>1073</v>
      </c>
      <c r="F45" s="9" t="s">
        <v>21</v>
      </c>
      <c r="G45" s="9">
        <v>1</v>
      </c>
      <c r="H45" s="9" t="s">
        <v>17</v>
      </c>
      <c r="I45" s="9" t="s">
        <v>17</v>
      </c>
      <c r="J45" s="9" t="s">
        <v>1074</v>
      </c>
    </row>
    <row r="46" spans="1:10" x14ac:dyDescent="0.25" outlineLevel="1" collapsed="1">
      <c r="A46" s="9" t="s">
        <v>21</v>
      </c>
      <c r="B46" s="9" t="s">
        <v>79</v>
      </c>
      <c r="C46" s="9" t="s">
        <v>17</v>
      </c>
      <c r="D46" s="9" t="s">
        <v>375</v>
      </c>
      <c r="E46" s="9" t="s">
        <v>1075</v>
      </c>
      <c r="F46" s="9" t="s">
        <v>21</v>
      </c>
      <c r="G46" s="9">
        <v>1</v>
      </c>
      <c r="H46" s="9" t="s">
        <v>17</v>
      </c>
      <c r="I46" s="9" t="s">
        <v>17</v>
      </c>
      <c r="J46" s="9" t="s">
        <v>1076</v>
      </c>
    </row>
    <row r="47" spans="1:10" x14ac:dyDescent="0.25">
      <c r="A47" s="5" t="s">
        <v>15</v>
      </c>
      <c r="B47" s="6" t="s">
        <v>614</v>
      </c>
      <c r="C47" s="5" t="s">
        <v>17</v>
      </c>
      <c r="D47" s="5"/>
      <c r="E47" s="5" t="s">
        <v>614</v>
      </c>
      <c r="F47" s="5" t="s">
        <v>21</v>
      </c>
      <c r="G47" s="5" t="s">
        <v>17</v>
      </c>
      <c r="H47" s="5" t="s">
        <v>17</v>
      </c>
      <c r="I47" s="5" t="s">
        <v>17</v>
      </c>
      <c r="J47" s="5" t="s">
        <v>615</v>
      </c>
    </row>
    <row r="48" spans="1:10" x14ac:dyDescent="0.25" outlineLevel="1" collapsed="1">
      <c r="A48" s="9" t="s">
        <v>15</v>
      </c>
      <c r="B48" s="9" t="s">
        <v>79</v>
      </c>
      <c r="C48" s="9" t="s">
        <v>17</v>
      </c>
      <c r="D48" s="9"/>
      <c r="E48" s="9" t="s">
        <v>1077</v>
      </c>
      <c r="F48" s="9" t="s">
        <v>21</v>
      </c>
      <c r="G48" s="9">
        <v>1</v>
      </c>
      <c r="H48" s="9" t="s">
        <v>17</v>
      </c>
      <c r="I48" s="9" t="s">
        <v>17</v>
      </c>
      <c r="J48" s="9" t="s">
        <v>615</v>
      </c>
    </row>
    <row r="49" spans="1:10" x14ac:dyDescent="0.25" outlineLevel="1" collapsed="1">
      <c r="A49" s="9" t="s">
        <v>21</v>
      </c>
      <c r="B49" s="9" t="s">
        <v>79</v>
      </c>
      <c r="C49" s="9" t="s">
        <v>17</v>
      </c>
      <c r="D49" s="9"/>
      <c r="E49" s="9" t="s">
        <v>1078</v>
      </c>
      <c r="F49" s="9" t="s">
        <v>21</v>
      </c>
      <c r="G49" s="9">
        <v>1</v>
      </c>
      <c r="H49" s="9" t="s">
        <v>17</v>
      </c>
      <c r="I49" s="9" t="s">
        <v>17</v>
      </c>
      <c r="J49" s="9" t="s">
        <v>1079</v>
      </c>
    </row>
    <row r="50" spans="1:10" x14ac:dyDescent="0.25">
      <c r="A50" s="5" t="s">
        <v>21</v>
      </c>
      <c r="B50" s="5" t="s">
        <v>79</v>
      </c>
      <c r="C50" s="5" t="s">
        <v>17</v>
      </c>
      <c r="D50" s="5" t="s">
        <v>375</v>
      </c>
      <c r="E50" s="5" t="s">
        <v>1080</v>
      </c>
      <c r="F50" s="5" t="s">
        <v>21</v>
      </c>
      <c r="G50" s="5">
        <v>1</v>
      </c>
      <c r="H50" s="5" t="s">
        <v>17</v>
      </c>
      <c r="I50" s="5" t="s">
        <v>17</v>
      </c>
      <c r="J50" s="5" t="s">
        <v>1081</v>
      </c>
    </row>
    <row r="51" spans="1:10" x14ac:dyDescent="0.25">
      <c r="A51" s="5" t="s">
        <v>15</v>
      </c>
      <c r="B51" s="5" t="s">
        <v>79</v>
      </c>
      <c r="C51" s="5" t="s">
        <v>17</v>
      </c>
      <c r="D51" s="5"/>
      <c r="E51" s="5" t="s">
        <v>1082</v>
      </c>
      <c r="F51" s="5" t="s">
        <v>21</v>
      </c>
      <c r="G51" s="5">
        <v>1</v>
      </c>
      <c r="H51" s="5" t="s">
        <v>17</v>
      </c>
      <c r="I51" s="5" t="s">
        <v>17</v>
      </c>
      <c r="J51" s="5" t="s">
        <v>1083</v>
      </c>
    </row>
    <row r="52" spans="1:10" x14ac:dyDescent="0.25">
      <c r="A52" s="5" t="s">
        <v>15</v>
      </c>
      <c r="B52" s="5" t="s">
        <v>79</v>
      </c>
      <c r="C52" s="5" t="s">
        <v>17</v>
      </c>
      <c r="D52" s="5"/>
      <c r="E52" s="5" t="s">
        <v>1084</v>
      </c>
      <c r="F52" s="5" t="s">
        <v>21</v>
      </c>
      <c r="G52" s="5">
        <v>1</v>
      </c>
      <c r="H52" s="5" t="s">
        <v>17</v>
      </c>
      <c r="I52" s="5" t="s">
        <v>17</v>
      </c>
      <c r="J52" s="5" t="s">
        <v>1085</v>
      </c>
    </row>
    <row r="53" spans="1:10" x14ac:dyDescent="0.25">
      <c r="A53" s="5" t="s">
        <v>15</v>
      </c>
      <c r="B53" s="5" t="s">
        <v>79</v>
      </c>
      <c r="C53" s="5" t="s">
        <v>17</v>
      </c>
      <c r="D53" s="5"/>
      <c r="E53" s="5" t="s">
        <v>1086</v>
      </c>
      <c r="F53" s="5" t="s">
        <v>21</v>
      </c>
      <c r="G53" s="5">
        <v>1</v>
      </c>
      <c r="H53" s="5" t="s">
        <v>17</v>
      </c>
      <c r="I53" s="5" t="s">
        <v>17</v>
      </c>
      <c r="J53" s="5" t="s">
        <v>1087</v>
      </c>
    </row>
  </sheetData>
  <mergeCells count="3">
    <mergeCell ref="A1:J1"/>
    <mergeCell ref="B2:J2"/>
    <mergeCell ref="B3:J3"/>
  </mergeCells>
  <dataValidations count="1">
    <dataValidation type="list" allowBlank="1" sqref="G16:I16">
      <formula1>'Treatment Technology 8 (enum)'!A4:A5</formula1>
    </dataValidation>
  </dataValidations>
  <hyperlinks>
    <hyperlink ref="B6" r:id="rId1" location="#'Stove Details Unit Schema'!A1"/>
    <hyperlink ref="B15" r:id="rId2" location="#'Quantity of water'!A1"/>
    <hyperlink ref="C16" r:id="rId3" location="#'Treatment Technology 8 (enum)'!A3"/>
    <hyperlink ref="B17" r:id="rId4" location="#'Project Water Supply Premises'!A1"/>
    <hyperlink ref="B27" r:id="rId5" location="#'Premises Water Usage Details -'!A1"/>
    <hyperlink ref="B34" r:id="rId6" location="#'Project Emission'!A1"/>
    <hyperlink ref="B35" r:id="rId7" location="#'Emission by fuel'!A1"/>
    <hyperlink ref="B41" r:id="rId8" location="#'Emission by Electricity'!A1"/>
    <hyperlink ref="B47" r:id="rId9" location="#'Leakage Emiss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1100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17</v>
      </c>
      <c r="D5" s="5"/>
      <c r="E5" s="5" t="s">
        <v>1004</v>
      </c>
      <c r="F5" s="5" t="s">
        <v>21</v>
      </c>
      <c r="G5" s="5" t="s">
        <v>58</v>
      </c>
      <c r="H5" s="5" t="s">
        <v>17</v>
      </c>
      <c r="I5" s="5" t="s">
        <v>17</v>
      </c>
      <c r="J5" s="5" t="s">
        <v>1005</v>
      </c>
    </row>
    <row r="6" spans="1:10" x14ac:dyDescent="0.25">
      <c r="A6" s="5" t="s">
        <v>15</v>
      </c>
      <c r="B6" s="5" t="s">
        <v>79</v>
      </c>
      <c r="C6" s="5" t="s">
        <v>17</v>
      </c>
      <c r="D6" s="5"/>
      <c r="E6" s="5" t="s">
        <v>1006</v>
      </c>
      <c r="F6" s="5" t="s">
        <v>21</v>
      </c>
      <c r="G6" s="5">
        <v>1</v>
      </c>
      <c r="H6" s="5" t="s">
        <v>17</v>
      </c>
      <c r="I6" s="5" t="s">
        <v>17</v>
      </c>
      <c r="J6" s="5" t="s">
        <v>1007</v>
      </c>
    </row>
    <row r="7" spans="1:10" x14ac:dyDescent="0.25">
      <c r="A7" s="5" t="s">
        <v>21</v>
      </c>
      <c r="B7" s="5" t="s">
        <v>79</v>
      </c>
      <c r="C7" s="5" t="s">
        <v>17</v>
      </c>
      <c r="D7" s="5" t="s">
        <v>375</v>
      </c>
      <c r="E7" s="5" t="s">
        <v>1008</v>
      </c>
      <c r="F7" s="5" t="s">
        <v>21</v>
      </c>
      <c r="G7" s="5">
        <v>1</v>
      </c>
      <c r="H7" s="5" t="s">
        <v>17</v>
      </c>
      <c r="I7" s="5" t="s">
        <v>17</v>
      </c>
      <c r="J7" s="5" t="s">
        <v>1009</v>
      </c>
    </row>
    <row r="8" spans="1:10" x14ac:dyDescent="0.25">
      <c r="A8" s="5" t="s">
        <v>15</v>
      </c>
      <c r="B8" s="5" t="s">
        <v>79</v>
      </c>
      <c r="C8" s="5" t="s">
        <v>17</v>
      </c>
      <c r="D8" s="5"/>
      <c r="E8" s="5" t="s">
        <v>1010</v>
      </c>
      <c r="F8" s="5" t="s">
        <v>21</v>
      </c>
      <c r="G8" s="5">
        <v>1</v>
      </c>
      <c r="H8" s="5" t="s">
        <v>17</v>
      </c>
      <c r="I8" s="5" t="s">
        <v>17</v>
      </c>
      <c r="J8" s="5" t="s">
        <v>1011</v>
      </c>
    </row>
    <row r="9" spans="1:10" x14ac:dyDescent="0.25">
      <c r="A9" s="5" t="s">
        <v>15</v>
      </c>
      <c r="B9" s="5" t="s">
        <v>79</v>
      </c>
      <c r="C9" s="5" t="s">
        <v>17</v>
      </c>
      <c r="D9" s="5"/>
      <c r="E9" s="5" t="s">
        <v>1012</v>
      </c>
      <c r="F9" s="5" t="s">
        <v>21</v>
      </c>
      <c r="G9" s="5">
        <v>1</v>
      </c>
      <c r="H9" s="5" t="s">
        <v>17</v>
      </c>
      <c r="I9" s="5" t="s">
        <v>17</v>
      </c>
      <c r="J9" s="5" t="s">
        <v>1013</v>
      </c>
    </row>
    <row r="10" spans="1:10" x14ac:dyDescent="0.25">
      <c r="A10" s="5" t="s">
        <v>15</v>
      </c>
      <c r="B10" s="5" t="s">
        <v>79</v>
      </c>
      <c r="C10" s="5" t="s">
        <v>17</v>
      </c>
      <c r="D10" s="5"/>
      <c r="E10" s="5" t="s">
        <v>1014</v>
      </c>
      <c r="F10" s="5" t="s">
        <v>21</v>
      </c>
      <c r="G10" s="5">
        <v>1</v>
      </c>
      <c r="H10" s="5" t="s">
        <v>17</v>
      </c>
      <c r="I10" s="5" t="s">
        <v>17</v>
      </c>
      <c r="J10" s="5" t="s">
        <v>1015</v>
      </c>
    </row>
    <row r="11" spans="1:10" x14ac:dyDescent="0.25">
      <c r="A11" s="5" t="s">
        <v>21</v>
      </c>
      <c r="B11" s="5" t="s">
        <v>79</v>
      </c>
      <c r="C11" s="5" t="s">
        <v>17</v>
      </c>
      <c r="D11" s="5" t="s">
        <v>375</v>
      </c>
      <c r="E11" s="5" t="s">
        <v>1016</v>
      </c>
      <c r="F11" s="5" t="s">
        <v>21</v>
      </c>
      <c r="G11" s="5">
        <v>1</v>
      </c>
      <c r="H11" s="5" t="s">
        <v>17</v>
      </c>
      <c r="I11" s="5" t="s">
        <v>17</v>
      </c>
      <c r="J11" s="5" t="s">
        <v>1017</v>
      </c>
    </row>
    <row r="12" spans="1:10" x14ac:dyDescent="0.25">
      <c r="A12" s="5" t="s">
        <v>15</v>
      </c>
      <c r="B12" s="5" t="s">
        <v>79</v>
      </c>
      <c r="C12" s="5" t="s">
        <v>17</v>
      </c>
      <c r="D12" s="5"/>
      <c r="E12" s="5" t="s">
        <v>1018</v>
      </c>
      <c r="F12" s="5" t="s">
        <v>21</v>
      </c>
      <c r="G12" s="5">
        <v>1</v>
      </c>
      <c r="H12" s="5" t="s">
        <v>17</v>
      </c>
      <c r="I12" s="5" t="s">
        <v>17</v>
      </c>
      <c r="J12" s="5" t="s">
        <v>1019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485</v>
      </c>
    </row>
    <row r="2" spans="1:2" x14ac:dyDescent="0.25">
      <c r="A2" s="15" t="s">
        <v>1222</v>
      </c>
      <c r="B2" s="16" t="s">
        <v>494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495</v>
      </c>
      <c r="B4" s="17"/>
    </row>
    <row r="5" spans="1:2" x14ac:dyDescent="0.25">
      <c r="A5" s="17" t="s">
        <v>1224</v>
      </c>
      <c r="B5" s="17"/>
    </row>
    <row r="6" spans="1:2" x14ac:dyDescent="0.25">
      <c r="A6" s="17" t="s">
        <v>1225</v>
      </c>
      <c r="B6" s="17"/>
    </row>
    <row r="7" spans="1:2" x14ac:dyDescent="0.25">
      <c r="A7" s="17" t="s">
        <v>1226</v>
      </c>
      <c r="B7" s="17"/>
    </row>
    <row r="8" spans="1:2" x14ac:dyDescent="0.25">
      <c r="A8" s="17" t="s">
        <v>1227</v>
      </c>
      <c r="B8" s="17"/>
    </row>
    <row r="9" spans="1:2" x14ac:dyDescent="0.25">
      <c r="A9" s="17" t="s">
        <v>1228</v>
      </c>
      <c r="B9" s="17"/>
    </row>
    <row r="10" spans="1:2" x14ac:dyDescent="0.25">
      <c r="A10" s="17" t="s">
        <v>1229</v>
      </c>
      <c r="B10" s="17"/>
    </row>
  </sheetData>
  <mergeCells count="7"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485</v>
      </c>
    </row>
    <row r="2" spans="1:2" x14ac:dyDescent="0.25">
      <c r="A2" s="15" t="s">
        <v>1222</v>
      </c>
      <c r="B2" s="16" t="s">
        <v>498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499</v>
      </c>
      <c r="B4" s="17"/>
    </row>
    <row r="5" spans="1:2" x14ac:dyDescent="0.25">
      <c r="A5" s="17" t="s">
        <v>1230</v>
      </c>
      <c r="B5" s="17"/>
    </row>
    <row r="6" spans="1:2" x14ac:dyDescent="0.25">
      <c r="A6" s="17" t="s">
        <v>1231</v>
      </c>
      <c r="B6" s="17"/>
    </row>
    <row r="7" spans="1:2" x14ac:dyDescent="0.25">
      <c r="A7" s="17" t="s">
        <v>1232</v>
      </c>
      <c r="B7" s="17"/>
    </row>
    <row r="8" spans="1:2" x14ac:dyDescent="0.25">
      <c r="A8" s="17" t="s">
        <v>1233</v>
      </c>
      <c r="B8" s="17"/>
    </row>
    <row r="9" spans="1:2" x14ac:dyDescent="0.25">
      <c r="A9" s="17" t="s">
        <v>1234</v>
      </c>
      <c r="B9" s="17"/>
    </row>
    <row r="10" spans="1:2" x14ac:dyDescent="0.25">
      <c r="A10" s="17" t="s">
        <v>1225</v>
      </c>
      <c r="B10" s="17"/>
    </row>
    <row r="11" spans="1:2" x14ac:dyDescent="0.25">
      <c r="A11" s="17" t="s">
        <v>1235</v>
      </c>
      <c r="B11" s="17"/>
    </row>
    <row r="12" spans="1:2" x14ac:dyDescent="0.25">
      <c r="A12" s="17" t="s">
        <v>1236</v>
      </c>
      <c r="B12" s="17"/>
    </row>
    <row r="13" spans="1:2" x14ac:dyDescent="0.25">
      <c r="A13" s="17" t="s">
        <v>1237</v>
      </c>
      <c r="B13" s="17"/>
    </row>
    <row r="14" spans="1:2" x14ac:dyDescent="0.25">
      <c r="A14" s="17" t="s">
        <v>1238</v>
      </c>
      <c r="B14" s="17"/>
    </row>
    <row r="15" spans="1:2" x14ac:dyDescent="0.25">
      <c r="A15" s="17" t="s">
        <v>1239</v>
      </c>
      <c r="B15" s="17"/>
    </row>
    <row r="16" spans="1:2" x14ac:dyDescent="0.25">
      <c r="A16" s="17" t="s">
        <v>1240</v>
      </c>
      <c r="B16" s="17"/>
    </row>
    <row r="17" spans="1:2" x14ac:dyDescent="0.25">
      <c r="A17" s="17" t="s">
        <v>1241</v>
      </c>
      <c r="B17" s="17"/>
    </row>
    <row r="18" spans="1:2" x14ac:dyDescent="0.25">
      <c r="A18" s="17" t="s">
        <v>1242</v>
      </c>
      <c r="B18" s="17"/>
    </row>
    <row r="19" spans="1:2" x14ac:dyDescent="0.25">
      <c r="A19" s="17" t="s">
        <v>1243</v>
      </c>
      <c r="B19" s="17"/>
    </row>
  </sheetData>
  <mergeCells count="16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629</v>
      </c>
    </row>
    <row r="2" spans="1:2" x14ac:dyDescent="0.25">
      <c r="A2" s="15" t="s">
        <v>1222</v>
      </c>
      <c r="B2" s="16" t="s">
        <v>636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380</v>
      </c>
      <c r="B4" s="17"/>
    </row>
    <row r="5" spans="1:2" x14ac:dyDescent="0.25">
      <c r="A5" s="17" t="s">
        <v>1244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1101</v>
      </c>
    </row>
    <row r="2" spans="1:2" x14ac:dyDescent="0.25">
      <c r="A2" s="15" t="s">
        <v>1222</v>
      </c>
      <c r="B2" s="16" t="s">
        <v>126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129</v>
      </c>
      <c r="B4" s="17"/>
    </row>
    <row r="5" spans="1:2" x14ac:dyDescent="0.25">
      <c r="A5" s="17" t="s">
        <v>1245</v>
      </c>
      <c r="B5" s="17"/>
    </row>
    <row r="6" spans="1:2" x14ac:dyDescent="0.25">
      <c r="A6" s="17" t="s">
        <v>1246</v>
      </c>
      <c r="B6" s="17"/>
    </row>
    <row r="7" spans="1:2" x14ac:dyDescent="0.25">
      <c r="A7" s="17" t="s">
        <v>1247</v>
      </c>
      <c r="B7" s="17"/>
    </row>
    <row r="8" spans="1:2" x14ac:dyDescent="0.25">
      <c r="A8" s="17" t="s">
        <v>1248</v>
      </c>
      <c r="B8" s="17"/>
    </row>
    <row r="9" spans="1:2" x14ac:dyDescent="0.25">
      <c r="A9" s="17" t="s">
        <v>1249</v>
      </c>
      <c r="B9" s="17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82</v>
      </c>
    </row>
    <row r="2" spans="1:2" x14ac:dyDescent="0.25">
      <c r="A2" s="15" t="s">
        <v>1222</v>
      </c>
      <c r="B2" s="16" t="s">
        <v>96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97</v>
      </c>
      <c r="B4" s="17"/>
    </row>
    <row r="5" spans="1:2" x14ac:dyDescent="0.25">
      <c r="A5" s="17" t="s">
        <v>1250</v>
      </c>
      <c r="B5" s="17"/>
    </row>
    <row r="6" spans="1:2" x14ac:dyDescent="0.25">
      <c r="A6" s="17" t="s">
        <v>1251</v>
      </c>
      <c r="B6" s="17"/>
    </row>
    <row r="7" spans="1:2" x14ac:dyDescent="0.25">
      <c r="A7" s="17" t="s">
        <v>1252</v>
      </c>
      <c r="B7" s="17"/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82</v>
      </c>
    </row>
    <row r="2" spans="1:2" x14ac:dyDescent="0.25">
      <c r="A2" s="15" t="s">
        <v>1222</v>
      </c>
      <c r="B2" s="16" t="s">
        <v>104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105</v>
      </c>
      <c r="B4" s="17"/>
    </row>
    <row r="5" spans="1:2" x14ac:dyDescent="0.25">
      <c r="A5" s="17" t="s">
        <v>1253</v>
      </c>
      <c r="B5" s="17"/>
    </row>
    <row r="6" spans="1:2" x14ac:dyDescent="0.25">
      <c r="A6" s="17" t="s">
        <v>1254</v>
      </c>
      <c r="B6" s="17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20</v>
      </c>
    </row>
    <row r="2" spans="1:2" x14ac:dyDescent="0.25">
      <c r="A2" s="15" t="s">
        <v>1222</v>
      </c>
      <c r="B2" s="16" t="s">
        <v>20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1255</v>
      </c>
      <c r="B4" s="17"/>
    </row>
    <row r="5" spans="1:2" x14ac:dyDescent="0.25">
      <c r="A5" s="17" t="s">
        <v>1256</v>
      </c>
      <c r="B5" s="17"/>
    </row>
    <row r="6" spans="1:2" x14ac:dyDescent="0.25">
      <c r="A6" s="17" t="s">
        <v>1257</v>
      </c>
      <c r="B6" s="17"/>
    </row>
    <row r="7" spans="1:2" x14ac:dyDescent="0.25">
      <c r="A7" s="17" t="s">
        <v>1258</v>
      </c>
      <c r="B7" s="17"/>
    </row>
    <row r="8" spans="1:2" x14ac:dyDescent="0.25">
      <c r="A8" s="17" t="s">
        <v>1259</v>
      </c>
      <c r="B8" s="17"/>
    </row>
    <row r="9" spans="1:2" x14ac:dyDescent="0.25">
      <c r="A9" s="17" t="s">
        <v>1260</v>
      </c>
      <c r="B9" s="17"/>
    </row>
    <row r="10" spans="1:2" x14ac:dyDescent="0.25">
      <c r="A10" s="17" t="s">
        <v>1261</v>
      </c>
      <c r="B10" s="17"/>
    </row>
    <row r="11" spans="1:2" x14ac:dyDescent="0.25">
      <c r="A11" s="17" t="s">
        <v>1262</v>
      </c>
      <c r="B11" s="17"/>
    </row>
    <row r="12" spans="1:2" x14ac:dyDescent="0.25">
      <c r="A12" s="17" t="s">
        <v>1263</v>
      </c>
      <c r="B12" s="17"/>
    </row>
    <row r="13" spans="1:2" x14ac:dyDescent="0.25">
      <c r="A13" s="17" t="s">
        <v>1264</v>
      </c>
      <c r="B13" s="17"/>
    </row>
    <row r="14" spans="1:2" x14ac:dyDescent="0.25">
      <c r="A14" s="17" t="s">
        <v>1265</v>
      </c>
      <c r="B14" s="17"/>
    </row>
    <row r="15" spans="1:2" x14ac:dyDescent="0.25">
      <c r="A15" s="17" t="s">
        <v>1266</v>
      </c>
      <c r="B15" s="17"/>
    </row>
    <row r="16" spans="1:2" x14ac:dyDescent="0.25">
      <c r="A16" s="17" t="s">
        <v>1267</v>
      </c>
      <c r="B16" s="17"/>
    </row>
    <row r="17" spans="1:2" x14ac:dyDescent="0.25">
      <c r="A17" s="17" t="s">
        <v>1268</v>
      </c>
      <c r="B17" s="17"/>
    </row>
    <row r="18" spans="1:2" x14ac:dyDescent="0.25">
      <c r="A18" s="17" t="s">
        <v>1269</v>
      </c>
      <c r="B18" s="17"/>
    </row>
    <row r="19" spans="1:2" x14ac:dyDescent="0.25">
      <c r="A19" s="17" t="s">
        <v>1270</v>
      </c>
      <c r="B19" s="17"/>
    </row>
    <row r="20" spans="1:2" x14ac:dyDescent="0.25">
      <c r="A20" s="17" t="s">
        <v>1271</v>
      </c>
      <c r="B20" s="17"/>
    </row>
    <row r="21" spans="1:2" x14ac:dyDescent="0.25">
      <c r="A21" s="17" t="s">
        <v>1272</v>
      </c>
      <c r="B21" s="17"/>
    </row>
    <row r="22" spans="1:2" x14ac:dyDescent="0.25">
      <c r="A22" s="17" t="s">
        <v>1273</v>
      </c>
      <c r="B22" s="17"/>
    </row>
    <row r="23" spans="1:2" x14ac:dyDescent="0.25">
      <c r="A23" s="17" t="s">
        <v>1274</v>
      </c>
      <c r="B23" s="17"/>
    </row>
    <row r="24" spans="1:2" x14ac:dyDescent="0.25">
      <c r="A24" s="17" t="s">
        <v>1275</v>
      </c>
      <c r="B24" s="17"/>
    </row>
    <row r="25" spans="1:2" x14ac:dyDescent="0.25">
      <c r="A25" s="17" t="s">
        <v>1276</v>
      </c>
      <c r="B25" s="17"/>
    </row>
    <row r="26" spans="1:2" x14ac:dyDescent="0.25">
      <c r="A26" s="17" t="s">
        <v>1277</v>
      </c>
      <c r="B26" s="17"/>
    </row>
    <row r="27" spans="1:2" x14ac:dyDescent="0.25">
      <c r="A27" s="17" t="s">
        <v>1278</v>
      </c>
      <c r="B27" s="17"/>
    </row>
    <row r="28" spans="1:2" x14ac:dyDescent="0.25">
      <c r="A28" s="17" t="s">
        <v>1279</v>
      </c>
      <c r="B28" s="17"/>
    </row>
    <row r="29" spans="1:2" x14ac:dyDescent="0.25">
      <c r="A29" s="17" t="s">
        <v>1280</v>
      </c>
      <c r="B29" s="17"/>
    </row>
    <row r="30" spans="1:2" x14ac:dyDescent="0.25">
      <c r="A30" s="17" t="s">
        <v>1281</v>
      </c>
      <c r="B30" s="17"/>
    </row>
    <row r="31" spans="1:2" x14ac:dyDescent="0.25">
      <c r="A31" s="17" t="s">
        <v>1282</v>
      </c>
      <c r="B31" s="17"/>
    </row>
    <row r="32" spans="1:2" x14ac:dyDescent="0.25">
      <c r="A32" s="17" t="s">
        <v>1283</v>
      </c>
      <c r="B32" s="17"/>
    </row>
    <row r="33" spans="1:2" x14ac:dyDescent="0.25">
      <c r="A33" s="17" t="s">
        <v>1284</v>
      </c>
      <c r="B33" s="17"/>
    </row>
    <row r="34" spans="1:2" x14ac:dyDescent="0.25">
      <c r="A34" s="17" t="s">
        <v>1285</v>
      </c>
      <c r="B34" s="17"/>
    </row>
    <row r="35" spans="1:2" x14ac:dyDescent="0.25">
      <c r="A35" s="17" t="s">
        <v>1286</v>
      </c>
      <c r="B35" s="17"/>
    </row>
    <row r="36" spans="1:2" x14ac:dyDescent="0.25">
      <c r="A36" s="17" t="s">
        <v>1287</v>
      </c>
      <c r="B36" s="17"/>
    </row>
    <row r="37" spans="1:2" x14ac:dyDescent="0.25">
      <c r="A37" s="17" t="s">
        <v>1288</v>
      </c>
      <c r="B37" s="17"/>
    </row>
    <row r="38" spans="1:2" x14ac:dyDescent="0.25">
      <c r="A38" s="17" t="s">
        <v>1289</v>
      </c>
      <c r="B38" s="17"/>
    </row>
    <row r="39" spans="1:2" x14ac:dyDescent="0.25">
      <c r="A39" s="17" t="s">
        <v>1290</v>
      </c>
      <c r="B39" s="17"/>
    </row>
    <row r="40" spans="1:2" x14ac:dyDescent="0.25">
      <c r="A40" s="17" t="s">
        <v>1291</v>
      </c>
      <c r="B40" s="17"/>
    </row>
    <row r="41" spans="1:2" x14ac:dyDescent="0.25">
      <c r="A41" s="17" t="s">
        <v>1292</v>
      </c>
      <c r="B41" s="17"/>
    </row>
    <row r="42" spans="1:2" x14ac:dyDescent="0.25">
      <c r="A42" s="17" t="s">
        <v>1293</v>
      </c>
      <c r="B42" s="17"/>
    </row>
    <row r="43" spans="1:2" x14ac:dyDescent="0.25">
      <c r="A43" s="17" t="s">
        <v>1294</v>
      </c>
      <c r="B43" s="17"/>
    </row>
    <row r="44" spans="1:2" x14ac:dyDescent="0.25">
      <c r="A44" s="17" t="s">
        <v>1295</v>
      </c>
      <c r="B44" s="17"/>
    </row>
    <row r="45" spans="1:2" x14ac:dyDescent="0.25">
      <c r="A45" s="17" t="s">
        <v>1296</v>
      </c>
      <c r="B45" s="17"/>
    </row>
    <row r="46" spans="1:2" x14ac:dyDescent="0.25">
      <c r="A46" s="17" t="s">
        <v>1297</v>
      </c>
      <c r="B46" s="17"/>
    </row>
    <row r="47" spans="1:2" x14ac:dyDescent="0.25">
      <c r="A47" s="17" t="s">
        <v>1298</v>
      </c>
      <c r="B47" s="17"/>
    </row>
    <row r="48" spans="1:2" x14ac:dyDescent="0.25">
      <c r="A48" s="17" t="s">
        <v>1299</v>
      </c>
      <c r="B48" s="17"/>
    </row>
    <row r="49" spans="1:2" x14ac:dyDescent="0.25">
      <c r="A49" s="17" t="s">
        <v>1300</v>
      </c>
      <c r="B49" s="17"/>
    </row>
    <row r="50" spans="1:2" x14ac:dyDescent="0.25">
      <c r="A50" s="17" t="s">
        <v>1301</v>
      </c>
      <c r="B50" s="17"/>
    </row>
    <row r="51" spans="1:2" x14ac:dyDescent="0.25">
      <c r="A51" s="17" t="s">
        <v>1302</v>
      </c>
      <c r="B51" s="17"/>
    </row>
    <row r="52" spans="1:2" x14ac:dyDescent="0.25">
      <c r="A52" s="17" t="s">
        <v>1303</v>
      </c>
      <c r="B52" s="17"/>
    </row>
    <row r="53" spans="1:2" x14ac:dyDescent="0.25">
      <c r="A53" s="17" t="s">
        <v>1304</v>
      </c>
      <c r="B53" s="17"/>
    </row>
    <row r="54" spans="1:2" x14ac:dyDescent="0.25">
      <c r="A54" s="17" t="s">
        <v>1305</v>
      </c>
      <c r="B54" s="17"/>
    </row>
    <row r="55" spans="1:2" x14ac:dyDescent="0.25">
      <c r="A55" s="17" t="s">
        <v>1306</v>
      </c>
      <c r="B55" s="17"/>
    </row>
    <row r="56" spans="1:2" x14ac:dyDescent="0.25">
      <c r="A56" s="17" t="s">
        <v>1307</v>
      </c>
      <c r="B56" s="17"/>
    </row>
    <row r="57" spans="1:2" x14ac:dyDescent="0.25">
      <c r="A57" s="17" t="s">
        <v>1308</v>
      </c>
      <c r="B57" s="17"/>
    </row>
    <row r="58" spans="1:2" x14ac:dyDescent="0.25">
      <c r="A58" s="17" t="s">
        <v>1309</v>
      </c>
      <c r="B58" s="17"/>
    </row>
    <row r="59" spans="1:2" x14ac:dyDescent="0.25">
      <c r="A59" s="17" t="s">
        <v>1310</v>
      </c>
      <c r="B59" s="17"/>
    </row>
    <row r="60" spans="1:2" x14ac:dyDescent="0.25">
      <c r="A60" s="17" t="s">
        <v>1311</v>
      </c>
      <c r="B60" s="17"/>
    </row>
    <row r="61" spans="1:2" x14ac:dyDescent="0.25">
      <c r="A61" s="17" t="s">
        <v>1312</v>
      </c>
      <c r="B61" s="17"/>
    </row>
    <row r="62" spans="1:2" x14ac:dyDescent="0.25">
      <c r="A62" s="17" t="s">
        <v>1313</v>
      </c>
      <c r="B62" s="17"/>
    </row>
    <row r="63" spans="1:2" x14ac:dyDescent="0.25">
      <c r="A63" s="17" t="s">
        <v>1314</v>
      </c>
      <c r="B63" s="17"/>
    </row>
    <row r="64" spans="1:2" x14ac:dyDescent="0.25">
      <c r="A64" s="17" t="s">
        <v>1315</v>
      </c>
      <c r="B64" s="17"/>
    </row>
    <row r="65" spans="1:2" x14ac:dyDescent="0.25">
      <c r="A65" s="17" t="s">
        <v>1316</v>
      </c>
      <c r="B65" s="17"/>
    </row>
    <row r="66" spans="1:2" x14ac:dyDescent="0.25">
      <c r="A66" s="17" t="s">
        <v>1317</v>
      </c>
      <c r="B66" s="17"/>
    </row>
    <row r="67" spans="1:2" x14ac:dyDescent="0.25">
      <c r="A67" s="17" t="s">
        <v>1318</v>
      </c>
      <c r="B67" s="17"/>
    </row>
    <row r="68" spans="1:2" x14ac:dyDescent="0.25">
      <c r="A68" s="17" t="s">
        <v>1319</v>
      </c>
      <c r="B68" s="17"/>
    </row>
    <row r="69" spans="1:2" x14ac:dyDescent="0.25">
      <c r="A69" s="17" t="s">
        <v>1320</v>
      </c>
      <c r="B69" s="17"/>
    </row>
    <row r="70" spans="1:2" x14ac:dyDescent="0.25">
      <c r="A70" s="17" t="s">
        <v>1321</v>
      </c>
      <c r="B70" s="17"/>
    </row>
    <row r="71" spans="1:2" x14ac:dyDescent="0.25">
      <c r="A71" s="17" t="s">
        <v>1322</v>
      </c>
      <c r="B71" s="17"/>
    </row>
    <row r="72" spans="1:2" x14ac:dyDescent="0.25">
      <c r="A72" s="17" t="s">
        <v>1323</v>
      </c>
      <c r="B72" s="17"/>
    </row>
    <row r="73" spans="1:2" x14ac:dyDescent="0.25">
      <c r="A73" s="17" t="s">
        <v>1324</v>
      </c>
      <c r="B73" s="17"/>
    </row>
    <row r="74" spans="1:2" x14ac:dyDescent="0.25">
      <c r="A74" s="17" t="s">
        <v>1325</v>
      </c>
      <c r="B74" s="17"/>
    </row>
    <row r="75" spans="1:2" x14ac:dyDescent="0.25">
      <c r="A75" s="17" t="s">
        <v>1326</v>
      </c>
      <c r="B75" s="17"/>
    </row>
    <row r="76" spans="1:2" x14ac:dyDescent="0.25">
      <c r="A76" s="17" t="s">
        <v>1327</v>
      </c>
      <c r="B76" s="17"/>
    </row>
    <row r="77" spans="1:2" x14ac:dyDescent="0.25">
      <c r="A77" s="17" t="s">
        <v>1328</v>
      </c>
      <c r="B77" s="17"/>
    </row>
    <row r="78" spans="1:2" x14ac:dyDescent="0.25">
      <c r="A78" s="17" t="s">
        <v>1329</v>
      </c>
      <c r="B78" s="17"/>
    </row>
    <row r="79" spans="1:2" x14ac:dyDescent="0.25">
      <c r="A79" s="17" t="s">
        <v>1330</v>
      </c>
      <c r="B79" s="17"/>
    </row>
    <row r="80" spans="1:2" x14ac:dyDescent="0.25">
      <c r="A80" s="17" t="s">
        <v>1331</v>
      </c>
      <c r="B80" s="17"/>
    </row>
    <row r="81" spans="1:2" x14ac:dyDescent="0.25">
      <c r="A81" s="17" t="s">
        <v>1332</v>
      </c>
      <c r="B81" s="17"/>
    </row>
    <row r="82" spans="1:2" x14ac:dyDescent="0.25">
      <c r="A82" s="17" t="s">
        <v>1333</v>
      </c>
      <c r="B82" s="17"/>
    </row>
    <row r="83" spans="1:2" x14ac:dyDescent="0.25">
      <c r="A83" s="17" t="s">
        <v>1334</v>
      </c>
      <c r="B83" s="17"/>
    </row>
    <row r="84" spans="1:2" x14ac:dyDescent="0.25">
      <c r="A84" s="17" t="s">
        <v>1335</v>
      </c>
      <c r="B84" s="17"/>
    </row>
    <row r="85" spans="1:2" x14ac:dyDescent="0.25">
      <c r="A85" s="17" t="s">
        <v>1336</v>
      </c>
      <c r="B85" s="17"/>
    </row>
    <row r="86" spans="1:2" x14ac:dyDescent="0.25">
      <c r="A86" s="17" t="s">
        <v>1337</v>
      </c>
      <c r="B86" s="17"/>
    </row>
    <row r="87" spans="1:2" x14ac:dyDescent="0.25">
      <c r="A87" s="17" t="s">
        <v>1338</v>
      </c>
      <c r="B87" s="17"/>
    </row>
    <row r="88" spans="1:2" x14ac:dyDescent="0.25">
      <c r="A88" s="17" t="s">
        <v>1339</v>
      </c>
      <c r="B88" s="17"/>
    </row>
    <row r="89" spans="1:2" x14ac:dyDescent="0.25">
      <c r="A89" s="17" t="s">
        <v>1340</v>
      </c>
      <c r="B89" s="17"/>
    </row>
    <row r="90" spans="1:2" x14ac:dyDescent="0.25">
      <c r="A90" s="17" t="s">
        <v>1341</v>
      </c>
      <c r="B90" s="17"/>
    </row>
    <row r="91" spans="1:2" x14ac:dyDescent="0.25">
      <c r="A91" s="17" t="s">
        <v>1342</v>
      </c>
      <c r="B91" s="17"/>
    </row>
    <row r="92" spans="1:2" x14ac:dyDescent="0.25">
      <c r="A92" s="17" t="s">
        <v>1343</v>
      </c>
      <c r="B92" s="17"/>
    </row>
    <row r="93" spans="1:2" x14ac:dyDescent="0.25">
      <c r="A93" s="17" t="s">
        <v>1344</v>
      </c>
      <c r="B93" s="17"/>
    </row>
    <row r="94" spans="1:2" x14ac:dyDescent="0.25">
      <c r="A94" s="17" t="s">
        <v>1345</v>
      </c>
      <c r="B94" s="17"/>
    </row>
    <row r="95" spans="1:2" x14ac:dyDescent="0.25">
      <c r="A95" s="17" t="s">
        <v>1346</v>
      </c>
      <c r="B95" s="17"/>
    </row>
    <row r="96" spans="1:2" x14ac:dyDescent="0.25">
      <c r="A96" s="17" t="s">
        <v>1347</v>
      </c>
      <c r="B96" s="17"/>
    </row>
    <row r="97" spans="1:2" x14ac:dyDescent="0.25">
      <c r="A97" s="17" t="s">
        <v>1348</v>
      </c>
      <c r="B97" s="17"/>
    </row>
    <row r="98" spans="1:2" x14ac:dyDescent="0.25">
      <c r="A98" s="17" t="s">
        <v>1349</v>
      </c>
      <c r="B98" s="17"/>
    </row>
    <row r="99" spans="1:2" x14ac:dyDescent="0.25">
      <c r="A99" s="17" t="s">
        <v>1350</v>
      </c>
      <c r="B99" s="17"/>
    </row>
    <row r="100" spans="1:2" x14ac:dyDescent="0.25">
      <c r="A100" s="17" t="s">
        <v>1351</v>
      </c>
      <c r="B100" s="17"/>
    </row>
    <row r="101" spans="1:2" x14ac:dyDescent="0.25">
      <c r="A101" s="17" t="s">
        <v>1352</v>
      </c>
      <c r="B101" s="17"/>
    </row>
    <row r="102" spans="1:2" x14ac:dyDescent="0.25">
      <c r="A102" s="17" t="s">
        <v>1353</v>
      </c>
      <c r="B102" s="17"/>
    </row>
    <row r="103" spans="1:2" x14ac:dyDescent="0.25">
      <c r="A103" s="17" t="s">
        <v>1354</v>
      </c>
      <c r="B103" s="17"/>
    </row>
    <row r="104" spans="1:2" x14ac:dyDescent="0.25">
      <c r="A104" s="17" t="s">
        <v>1355</v>
      </c>
      <c r="B104" s="17"/>
    </row>
    <row r="105" spans="1:2" x14ac:dyDescent="0.25">
      <c r="A105" s="17" t="s">
        <v>1356</v>
      </c>
      <c r="B105" s="17"/>
    </row>
    <row r="106" spans="1:2" x14ac:dyDescent="0.25">
      <c r="A106" s="17" t="s">
        <v>1357</v>
      </c>
      <c r="B106" s="17"/>
    </row>
    <row r="107" spans="1:2" x14ac:dyDescent="0.25">
      <c r="A107" s="17" t="s">
        <v>1358</v>
      </c>
      <c r="B107" s="17"/>
    </row>
    <row r="108" spans="1:2" x14ac:dyDescent="0.25">
      <c r="A108" s="17" t="s">
        <v>1359</v>
      </c>
      <c r="B108" s="17"/>
    </row>
    <row r="109" spans="1:2" x14ac:dyDescent="0.25">
      <c r="A109" s="17" t="s">
        <v>1360</v>
      </c>
      <c r="B109" s="17"/>
    </row>
    <row r="110" spans="1:2" x14ac:dyDescent="0.25">
      <c r="A110" s="17" t="s">
        <v>1361</v>
      </c>
      <c r="B110" s="17"/>
    </row>
    <row r="111" spans="1:2" x14ac:dyDescent="0.25">
      <c r="A111" s="17" t="s">
        <v>1362</v>
      </c>
      <c r="B111" s="17"/>
    </row>
    <row r="112" spans="1:2" x14ac:dyDescent="0.25">
      <c r="A112" s="17" t="s">
        <v>1363</v>
      </c>
      <c r="B112" s="17"/>
    </row>
    <row r="113" spans="1:2" x14ac:dyDescent="0.25">
      <c r="A113" s="17" t="s">
        <v>1364</v>
      </c>
      <c r="B113" s="17"/>
    </row>
    <row r="114" spans="1:2" x14ac:dyDescent="0.25">
      <c r="A114" s="17" t="s">
        <v>1365</v>
      </c>
      <c r="B114" s="17"/>
    </row>
    <row r="115" spans="1:2" x14ac:dyDescent="0.25">
      <c r="A115" s="17" t="s">
        <v>1366</v>
      </c>
      <c r="B115" s="17"/>
    </row>
    <row r="116" spans="1:2" x14ac:dyDescent="0.25">
      <c r="A116" s="17" t="s">
        <v>1367</v>
      </c>
      <c r="B116" s="17"/>
    </row>
    <row r="117" spans="1:2" x14ac:dyDescent="0.25">
      <c r="A117" s="17" t="s">
        <v>1368</v>
      </c>
      <c r="B117" s="17"/>
    </row>
    <row r="118" spans="1:2" x14ac:dyDescent="0.25">
      <c r="A118" s="17" t="s">
        <v>1369</v>
      </c>
      <c r="B118" s="17"/>
    </row>
    <row r="119" spans="1:2" x14ac:dyDescent="0.25">
      <c r="A119" s="17" t="s">
        <v>1370</v>
      </c>
      <c r="B119" s="17"/>
    </row>
    <row r="120" spans="1:2" x14ac:dyDescent="0.25">
      <c r="A120" s="17" t="s">
        <v>1371</v>
      </c>
      <c r="B120" s="17"/>
    </row>
    <row r="121" spans="1:2" x14ac:dyDescent="0.25">
      <c r="A121" s="17" t="s">
        <v>1372</v>
      </c>
      <c r="B121" s="17"/>
    </row>
    <row r="122" spans="1:2" x14ac:dyDescent="0.25">
      <c r="A122" s="17" t="s">
        <v>1373</v>
      </c>
      <c r="B122" s="17"/>
    </row>
    <row r="123" spans="1:2" x14ac:dyDescent="0.25">
      <c r="A123" s="17" t="s">
        <v>1374</v>
      </c>
      <c r="B123" s="17"/>
    </row>
    <row r="124" spans="1:2" x14ac:dyDescent="0.25">
      <c r="A124" s="17" t="s">
        <v>1375</v>
      </c>
      <c r="B124" s="17"/>
    </row>
    <row r="125" spans="1:2" x14ac:dyDescent="0.25">
      <c r="A125" s="17" t="s">
        <v>1376</v>
      </c>
      <c r="B125" s="17"/>
    </row>
    <row r="126" spans="1:2" x14ac:dyDescent="0.25">
      <c r="A126" s="17" t="s">
        <v>1377</v>
      </c>
      <c r="B126" s="17"/>
    </row>
    <row r="127" spans="1:2" x14ac:dyDescent="0.25">
      <c r="A127" s="17" t="s">
        <v>1378</v>
      </c>
      <c r="B127" s="17"/>
    </row>
    <row r="128" spans="1:2" x14ac:dyDescent="0.25">
      <c r="A128" s="17" t="s">
        <v>1379</v>
      </c>
      <c r="B128" s="17"/>
    </row>
    <row r="129" spans="1:2" x14ac:dyDescent="0.25">
      <c r="A129" s="17" t="s">
        <v>1380</v>
      </c>
      <c r="B129" s="17"/>
    </row>
    <row r="130" spans="1:2" x14ac:dyDescent="0.25">
      <c r="A130" s="17" t="s">
        <v>1381</v>
      </c>
      <c r="B130" s="17"/>
    </row>
    <row r="131" spans="1:2" x14ac:dyDescent="0.25">
      <c r="A131" s="17" t="s">
        <v>1382</v>
      </c>
      <c r="B131" s="17"/>
    </row>
    <row r="132" spans="1:2" x14ac:dyDescent="0.25">
      <c r="A132" s="17" t="s">
        <v>1383</v>
      </c>
      <c r="B132" s="17"/>
    </row>
    <row r="133" spans="1:2" x14ac:dyDescent="0.25">
      <c r="A133" s="17" t="s">
        <v>1384</v>
      </c>
      <c r="B133" s="17"/>
    </row>
    <row r="134" spans="1:2" x14ac:dyDescent="0.25">
      <c r="A134" s="17" t="s">
        <v>1385</v>
      </c>
      <c r="B134" s="17"/>
    </row>
    <row r="135" spans="1:2" x14ac:dyDescent="0.25">
      <c r="A135" s="17" t="s">
        <v>1386</v>
      </c>
      <c r="B135" s="17"/>
    </row>
    <row r="136" spans="1:2" x14ac:dyDescent="0.25">
      <c r="A136" s="17" t="s">
        <v>1387</v>
      </c>
      <c r="B136" s="17"/>
    </row>
    <row r="137" spans="1:2" x14ac:dyDescent="0.25">
      <c r="A137" s="17" t="s">
        <v>1388</v>
      </c>
      <c r="B137" s="17"/>
    </row>
    <row r="138" spans="1:2" x14ac:dyDescent="0.25">
      <c r="A138" s="17" t="s">
        <v>1389</v>
      </c>
      <c r="B138" s="17"/>
    </row>
    <row r="139" spans="1:2" x14ac:dyDescent="0.25">
      <c r="A139" s="17" t="s">
        <v>1390</v>
      </c>
      <c r="B139" s="17"/>
    </row>
    <row r="140" spans="1:2" x14ac:dyDescent="0.25">
      <c r="A140" s="17" t="s">
        <v>1391</v>
      </c>
      <c r="B140" s="17"/>
    </row>
    <row r="141" spans="1:2" x14ac:dyDescent="0.25">
      <c r="A141" s="17" t="s">
        <v>1392</v>
      </c>
      <c r="B141" s="17"/>
    </row>
    <row r="142" spans="1:2" x14ac:dyDescent="0.25">
      <c r="A142" s="17" t="s">
        <v>1393</v>
      </c>
      <c r="B142" s="17"/>
    </row>
    <row r="143" spans="1:2" x14ac:dyDescent="0.25">
      <c r="A143" s="17" t="s">
        <v>1394</v>
      </c>
      <c r="B143" s="17"/>
    </row>
    <row r="144" spans="1:2" x14ac:dyDescent="0.25">
      <c r="A144" s="17" t="s">
        <v>1395</v>
      </c>
      <c r="B144" s="17"/>
    </row>
    <row r="145" spans="1:2" x14ac:dyDescent="0.25">
      <c r="A145" s="17" t="s">
        <v>1396</v>
      </c>
      <c r="B145" s="17"/>
    </row>
    <row r="146" spans="1:2" x14ac:dyDescent="0.25">
      <c r="A146" s="17" t="s">
        <v>1397</v>
      </c>
      <c r="B146" s="17"/>
    </row>
    <row r="147" spans="1:2" x14ac:dyDescent="0.25">
      <c r="A147" s="17" t="s">
        <v>1398</v>
      </c>
      <c r="B147" s="17"/>
    </row>
    <row r="148" spans="1:2" x14ac:dyDescent="0.25">
      <c r="A148" s="17" t="s">
        <v>1399</v>
      </c>
      <c r="B148" s="17"/>
    </row>
    <row r="149" spans="1:2" x14ac:dyDescent="0.25">
      <c r="A149" s="17" t="s">
        <v>1400</v>
      </c>
      <c r="B149" s="17"/>
    </row>
    <row r="150" spans="1:2" x14ac:dyDescent="0.25">
      <c r="A150" s="17" t="s">
        <v>1401</v>
      </c>
      <c r="B150" s="17"/>
    </row>
    <row r="151" spans="1:2" x14ac:dyDescent="0.25">
      <c r="A151" s="17" t="s">
        <v>1402</v>
      </c>
      <c r="B151" s="17"/>
    </row>
    <row r="152" spans="1:2" x14ac:dyDescent="0.25">
      <c r="A152" s="17" t="s">
        <v>1403</v>
      </c>
      <c r="B152" s="17"/>
    </row>
    <row r="153" spans="1:2" x14ac:dyDescent="0.25">
      <c r="A153" s="17" t="s">
        <v>1404</v>
      </c>
      <c r="B153" s="17"/>
    </row>
    <row r="154" spans="1:2" x14ac:dyDescent="0.25">
      <c r="A154" s="17" t="s">
        <v>1405</v>
      </c>
      <c r="B154" s="17"/>
    </row>
    <row r="155" spans="1:2" x14ac:dyDescent="0.25">
      <c r="A155" s="17" t="s">
        <v>1406</v>
      </c>
      <c r="B155" s="17"/>
    </row>
    <row r="156" spans="1:2" x14ac:dyDescent="0.25">
      <c r="A156" s="17" t="s">
        <v>1407</v>
      </c>
      <c r="B156" s="17"/>
    </row>
    <row r="157" spans="1:2" x14ac:dyDescent="0.25">
      <c r="A157" s="17" t="s">
        <v>1408</v>
      </c>
      <c r="B157" s="17"/>
    </row>
    <row r="158" spans="1:2" x14ac:dyDescent="0.25">
      <c r="A158" s="17" t="s">
        <v>1409</v>
      </c>
      <c r="B158" s="17"/>
    </row>
    <row r="159" spans="1:2" x14ac:dyDescent="0.25">
      <c r="A159" s="17" t="s">
        <v>1410</v>
      </c>
      <c r="B159" s="17"/>
    </row>
    <row r="160" spans="1:2" x14ac:dyDescent="0.25">
      <c r="A160" s="17" t="s">
        <v>1411</v>
      </c>
      <c r="B160" s="17"/>
    </row>
    <row r="161" spans="1:2" x14ac:dyDescent="0.25">
      <c r="A161" s="17" t="s">
        <v>1412</v>
      </c>
      <c r="B161" s="17"/>
    </row>
    <row r="162" spans="1:2" x14ac:dyDescent="0.25">
      <c r="A162" s="17" t="s">
        <v>1413</v>
      </c>
      <c r="B162" s="17"/>
    </row>
    <row r="163" spans="1:2" x14ac:dyDescent="0.25">
      <c r="A163" s="17" t="s">
        <v>1414</v>
      </c>
      <c r="B163" s="17"/>
    </row>
    <row r="164" spans="1:2" x14ac:dyDescent="0.25">
      <c r="A164" s="17" t="s">
        <v>1415</v>
      </c>
      <c r="B164" s="17"/>
    </row>
    <row r="165" spans="1:2" x14ac:dyDescent="0.25">
      <c r="A165" s="17" t="s">
        <v>1416</v>
      </c>
      <c r="B165" s="17"/>
    </row>
    <row r="166" spans="1:2" x14ac:dyDescent="0.25">
      <c r="A166" s="17" t="s">
        <v>1417</v>
      </c>
      <c r="B166" s="17"/>
    </row>
    <row r="167" spans="1:2" x14ac:dyDescent="0.25">
      <c r="A167" s="17" t="s">
        <v>1418</v>
      </c>
      <c r="B167" s="17"/>
    </row>
    <row r="168" spans="1:2" x14ac:dyDescent="0.25">
      <c r="A168" s="17" t="s">
        <v>1419</v>
      </c>
      <c r="B168" s="17"/>
    </row>
    <row r="169" spans="1:2" x14ac:dyDescent="0.25">
      <c r="A169" s="17" t="s">
        <v>1420</v>
      </c>
      <c r="B169" s="17"/>
    </row>
    <row r="170" spans="1:2" x14ac:dyDescent="0.25">
      <c r="A170" s="17" t="s">
        <v>1421</v>
      </c>
      <c r="B170" s="17"/>
    </row>
    <row r="171" spans="1:2" x14ac:dyDescent="0.25">
      <c r="A171" s="17" t="s">
        <v>1422</v>
      </c>
      <c r="B171" s="17"/>
    </row>
    <row r="172" spans="1:2" x14ac:dyDescent="0.25">
      <c r="A172" s="17" t="s">
        <v>1423</v>
      </c>
      <c r="B172" s="17"/>
    </row>
    <row r="173" spans="1:2" x14ac:dyDescent="0.25">
      <c r="A173" s="17" t="s">
        <v>1424</v>
      </c>
      <c r="B173" s="17"/>
    </row>
    <row r="174" spans="1:2" x14ac:dyDescent="0.25">
      <c r="A174" s="17" t="s">
        <v>1425</v>
      </c>
      <c r="B174" s="17"/>
    </row>
    <row r="175" spans="1:2" x14ac:dyDescent="0.25">
      <c r="A175" s="17" t="s">
        <v>1426</v>
      </c>
      <c r="B175" s="17"/>
    </row>
    <row r="176" spans="1:2" x14ac:dyDescent="0.25">
      <c r="A176" s="17" t="s">
        <v>1427</v>
      </c>
      <c r="B176" s="17"/>
    </row>
    <row r="177" spans="1:2" x14ac:dyDescent="0.25">
      <c r="A177" s="17" t="s">
        <v>1428</v>
      </c>
      <c r="B177" s="17"/>
    </row>
    <row r="178" spans="1:2" x14ac:dyDescent="0.25">
      <c r="A178" s="17" t="s">
        <v>1429</v>
      </c>
      <c r="B178" s="17"/>
    </row>
    <row r="179" spans="1:2" x14ac:dyDescent="0.25">
      <c r="A179" s="17" t="s">
        <v>1430</v>
      </c>
      <c r="B179" s="17"/>
    </row>
    <row r="180" spans="1:2" x14ac:dyDescent="0.25">
      <c r="A180" s="17" t="s">
        <v>1431</v>
      </c>
      <c r="B180" s="17"/>
    </row>
    <row r="181" spans="1:2" x14ac:dyDescent="0.25">
      <c r="A181" s="17" t="s">
        <v>1432</v>
      </c>
      <c r="B181" s="17"/>
    </row>
    <row r="182" spans="1:2" x14ac:dyDescent="0.25">
      <c r="A182" s="17" t="s">
        <v>1433</v>
      </c>
      <c r="B182" s="17"/>
    </row>
    <row r="183" spans="1:2" x14ac:dyDescent="0.25">
      <c r="A183" s="17" t="s">
        <v>1434</v>
      </c>
      <c r="B183" s="17"/>
    </row>
    <row r="184" spans="1:2" x14ac:dyDescent="0.25">
      <c r="A184" s="17" t="s">
        <v>1435</v>
      </c>
      <c r="B184" s="17"/>
    </row>
    <row r="185" spans="1:2" x14ac:dyDescent="0.25">
      <c r="A185" s="17" t="s">
        <v>1436</v>
      </c>
      <c r="B185" s="17"/>
    </row>
    <row r="186" spans="1:2" x14ac:dyDescent="0.25">
      <c r="A186" s="17" t="s">
        <v>1437</v>
      </c>
      <c r="B186" s="17"/>
    </row>
    <row r="187" spans="1:2" x14ac:dyDescent="0.25">
      <c r="A187" s="17" t="s">
        <v>1438</v>
      </c>
      <c r="B187" s="17"/>
    </row>
    <row r="188" spans="1:2" x14ac:dyDescent="0.25">
      <c r="A188" s="17" t="s">
        <v>1439</v>
      </c>
      <c r="B188" s="17"/>
    </row>
    <row r="189" spans="1:2" x14ac:dyDescent="0.25">
      <c r="A189" s="17" t="s">
        <v>1440</v>
      </c>
      <c r="B189" s="17"/>
    </row>
    <row r="190" spans="1:2" x14ac:dyDescent="0.25">
      <c r="A190" s="17" t="s">
        <v>1441</v>
      </c>
      <c r="B190" s="17"/>
    </row>
    <row r="191" spans="1:2" x14ac:dyDescent="0.25">
      <c r="A191" s="17" t="s">
        <v>1442</v>
      </c>
      <c r="B191" s="17"/>
    </row>
    <row r="192" spans="1:2" x14ac:dyDescent="0.25">
      <c r="A192" s="17" t="s">
        <v>1443</v>
      </c>
      <c r="B192" s="17"/>
    </row>
    <row r="193" spans="1:2" x14ac:dyDescent="0.25">
      <c r="A193" s="17" t="s">
        <v>1444</v>
      </c>
      <c r="B193" s="17"/>
    </row>
    <row r="194" spans="1:2" x14ac:dyDescent="0.25">
      <c r="A194" s="17" t="s">
        <v>1445</v>
      </c>
      <c r="B194" s="17"/>
    </row>
    <row r="195" spans="1:2" x14ac:dyDescent="0.25">
      <c r="A195" s="17" t="s">
        <v>1446</v>
      </c>
      <c r="B195" s="17"/>
    </row>
    <row r="196" spans="1:2" x14ac:dyDescent="0.25">
      <c r="A196" s="17" t="s">
        <v>1447</v>
      </c>
      <c r="B196" s="17"/>
    </row>
    <row r="197" spans="1:2" x14ac:dyDescent="0.25">
      <c r="A197" s="17" t="s">
        <v>1448</v>
      </c>
      <c r="B197" s="17"/>
    </row>
    <row r="198" spans="1:2" x14ac:dyDescent="0.25">
      <c r="A198" s="17" t="s">
        <v>1449</v>
      </c>
      <c r="B198" s="17"/>
    </row>
    <row r="199" spans="1:2" x14ac:dyDescent="0.25">
      <c r="A199" s="17" t="s">
        <v>1450</v>
      </c>
      <c r="B199" s="17"/>
    </row>
    <row r="200" spans="1:2" x14ac:dyDescent="0.25">
      <c r="A200" s="17" t="s">
        <v>1451</v>
      </c>
      <c r="B200" s="17"/>
    </row>
    <row r="201" spans="1:2" x14ac:dyDescent="0.25">
      <c r="A201" s="17" t="s">
        <v>1452</v>
      </c>
      <c r="B201" s="17"/>
    </row>
    <row r="202" spans="1:2" x14ac:dyDescent="0.25">
      <c r="A202" s="17" t="s">
        <v>1453</v>
      </c>
      <c r="B202" s="17"/>
    </row>
    <row r="203" spans="1:2" x14ac:dyDescent="0.25">
      <c r="A203" s="17" t="s">
        <v>1454</v>
      </c>
      <c r="B203" s="17"/>
    </row>
    <row r="204" spans="1:2" x14ac:dyDescent="0.25">
      <c r="A204" s="17" t="s">
        <v>1455</v>
      </c>
      <c r="B204" s="17"/>
    </row>
    <row r="205" spans="1:2" x14ac:dyDescent="0.25">
      <c r="A205" s="17" t="s">
        <v>1456</v>
      </c>
      <c r="B205" s="17"/>
    </row>
    <row r="206" spans="1:2" x14ac:dyDescent="0.25">
      <c r="A206" s="17" t="s">
        <v>1457</v>
      </c>
      <c r="B206" s="17"/>
    </row>
    <row r="207" spans="1:2" x14ac:dyDescent="0.25">
      <c r="A207" s="17" t="s">
        <v>1458</v>
      </c>
      <c r="B207" s="17"/>
    </row>
    <row r="208" spans="1:2" x14ac:dyDescent="0.25">
      <c r="A208" s="17" t="s">
        <v>1459</v>
      </c>
      <c r="B208" s="17"/>
    </row>
    <row r="209" spans="1:2" x14ac:dyDescent="0.25">
      <c r="A209" s="17" t="s">
        <v>1460</v>
      </c>
      <c r="B209" s="17"/>
    </row>
    <row r="210" spans="1:2" x14ac:dyDescent="0.25">
      <c r="A210" s="17" t="s">
        <v>1461</v>
      </c>
      <c r="B210" s="17"/>
    </row>
    <row r="211" spans="1:2" x14ac:dyDescent="0.25">
      <c r="A211" s="17" t="s">
        <v>1462</v>
      </c>
      <c r="B211" s="17"/>
    </row>
    <row r="212" spans="1:2" x14ac:dyDescent="0.25">
      <c r="A212" s="17" t="s">
        <v>1463</v>
      </c>
      <c r="B212" s="17"/>
    </row>
    <row r="213" spans="1:2" x14ac:dyDescent="0.25">
      <c r="A213" s="17" t="s">
        <v>1464</v>
      </c>
      <c r="B213" s="17"/>
    </row>
    <row r="214" spans="1:2" x14ac:dyDescent="0.25">
      <c r="A214" s="17" t="s">
        <v>1465</v>
      </c>
      <c r="B214" s="17"/>
    </row>
    <row r="215" spans="1:2" x14ac:dyDescent="0.25">
      <c r="A215" s="17" t="s">
        <v>25</v>
      </c>
      <c r="B215" s="17"/>
    </row>
    <row r="216" spans="1:2" x14ac:dyDescent="0.25">
      <c r="A216" s="17" t="s">
        <v>1466</v>
      </c>
      <c r="B216" s="17"/>
    </row>
    <row r="217" spans="1:2" x14ac:dyDescent="0.25">
      <c r="A217" s="17" t="s">
        <v>1467</v>
      </c>
      <c r="B217" s="17"/>
    </row>
    <row r="218" spans="1:2" x14ac:dyDescent="0.25">
      <c r="A218" s="17" t="s">
        <v>1468</v>
      </c>
      <c r="B218" s="17"/>
    </row>
    <row r="219" spans="1:2" x14ac:dyDescent="0.25">
      <c r="A219" s="17" t="s">
        <v>1469</v>
      </c>
      <c r="B219" s="17"/>
    </row>
    <row r="220" spans="1:2" x14ac:dyDescent="0.25">
      <c r="A220" s="17" t="s">
        <v>1470</v>
      </c>
      <c r="B220" s="17"/>
    </row>
    <row r="221" spans="1:2" x14ac:dyDescent="0.25">
      <c r="A221" s="17" t="s">
        <v>1471</v>
      </c>
      <c r="B221" s="17"/>
    </row>
    <row r="222" spans="1:2" x14ac:dyDescent="0.25">
      <c r="A222" s="17" t="s">
        <v>1472</v>
      </c>
      <c r="B222" s="17"/>
    </row>
    <row r="223" spans="1:2" x14ac:dyDescent="0.25">
      <c r="A223" s="17" t="s">
        <v>1473</v>
      </c>
      <c r="B223" s="17"/>
    </row>
    <row r="224" spans="1:2" x14ac:dyDescent="0.25">
      <c r="A224" s="17" t="s">
        <v>1474</v>
      </c>
      <c r="B224" s="17"/>
    </row>
    <row r="225" spans="1:2" x14ac:dyDescent="0.25">
      <c r="A225" s="17" t="s">
        <v>1475</v>
      </c>
      <c r="B225" s="17"/>
    </row>
    <row r="226" spans="1:2" x14ac:dyDescent="0.25">
      <c r="A226" s="17" t="s">
        <v>1476</v>
      </c>
      <c r="B226" s="17"/>
    </row>
    <row r="227" spans="1:2" x14ac:dyDescent="0.25">
      <c r="A227" s="17" t="s">
        <v>1477</v>
      </c>
      <c r="B227" s="17"/>
    </row>
    <row r="228" spans="1:2" x14ac:dyDescent="0.25">
      <c r="A228" s="17" t="s">
        <v>1478</v>
      </c>
      <c r="B228" s="17"/>
    </row>
    <row r="229" spans="1:2" x14ac:dyDescent="0.25">
      <c r="A229" s="17" t="s">
        <v>1479</v>
      </c>
      <c r="B229" s="17"/>
    </row>
    <row r="230" spans="1:2" x14ac:dyDescent="0.25">
      <c r="A230" s="17" t="s">
        <v>1480</v>
      </c>
      <c r="B230" s="17"/>
    </row>
    <row r="231" spans="1:2" x14ac:dyDescent="0.25">
      <c r="A231" s="17" t="s">
        <v>1481</v>
      </c>
      <c r="B231" s="17"/>
    </row>
    <row r="232" spans="1:2" x14ac:dyDescent="0.25">
      <c r="A232" s="17" t="s">
        <v>1482</v>
      </c>
      <c r="B232" s="17"/>
    </row>
    <row r="233" spans="1:2" x14ac:dyDescent="0.25">
      <c r="A233" s="17" t="s">
        <v>1483</v>
      </c>
      <c r="B233" s="17"/>
    </row>
    <row r="234" spans="1:2" x14ac:dyDescent="0.25">
      <c r="A234" s="17" t="s">
        <v>1484</v>
      </c>
      <c r="B234" s="17"/>
    </row>
    <row r="235" spans="1:2" x14ac:dyDescent="0.25">
      <c r="A235" s="17" t="s">
        <v>1485</v>
      </c>
      <c r="B235" s="17"/>
    </row>
    <row r="236" spans="1:2" x14ac:dyDescent="0.25">
      <c r="A236" s="17" t="s">
        <v>1486</v>
      </c>
      <c r="B236" s="17"/>
    </row>
    <row r="237" spans="1:2" x14ac:dyDescent="0.25">
      <c r="A237" s="17" t="s">
        <v>1487</v>
      </c>
      <c r="B237" s="17"/>
    </row>
    <row r="238" spans="1:2" x14ac:dyDescent="0.25">
      <c r="A238" s="17" t="s">
        <v>1488</v>
      </c>
      <c r="B238" s="17"/>
    </row>
    <row r="239" spans="1:2" x14ac:dyDescent="0.25">
      <c r="A239" s="17" t="s">
        <v>1489</v>
      </c>
      <c r="B239" s="17"/>
    </row>
    <row r="240" spans="1:2" x14ac:dyDescent="0.25">
      <c r="A240" s="17" t="s">
        <v>1490</v>
      </c>
      <c r="B240" s="17"/>
    </row>
    <row r="241" spans="1:2" x14ac:dyDescent="0.25">
      <c r="A241" s="17" t="s">
        <v>1491</v>
      </c>
      <c r="B241" s="17"/>
    </row>
    <row r="242" spans="1:2" x14ac:dyDescent="0.25">
      <c r="A242" s="17" t="s">
        <v>1492</v>
      </c>
      <c r="B242" s="17"/>
    </row>
    <row r="243" spans="1:2" x14ac:dyDescent="0.25">
      <c r="A243" s="17" t="s">
        <v>1493</v>
      </c>
      <c r="B243" s="17"/>
    </row>
    <row r="244" spans="1:2" x14ac:dyDescent="0.25">
      <c r="A244" s="17" t="s">
        <v>1494</v>
      </c>
      <c r="B244" s="17"/>
    </row>
    <row r="245" spans="1:2" x14ac:dyDescent="0.25">
      <c r="A245" s="17" t="s">
        <v>1495</v>
      </c>
      <c r="B245" s="17"/>
    </row>
    <row r="246" spans="1:2" x14ac:dyDescent="0.25">
      <c r="A246" s="17" t="s">
        <v>1496</v>
      </c>
      <c r="B246" s="17"/>
    </row>
    <row r="247" spans="1:2" x14ac:dyDescent="0.25">
      <c r="A247" s="17" t="s">
        <v>1497</v>
      </c>
      <c r="B247" s="17"/>
    </row>
    <row r="248" spans="1:2" x14ac:dyDescent="0.25">
      <c r="A248" s="17" t="s">
        <v>1498</v>
      </c>
      <c r="B248" s="17"/>
    </row>
    <row r="249" spans="1:2" x14ac:dyDescent="0.25">
      <c r="A249" s="17" t="s">
        <v>1499</v>
      </c>
      <c r="B249" s="17"/>
    </row>
    <row r="250" spans="1:2" x14ac:dyDescent="0.25">
      <c r="A250" s="17" t="s">
        <v>1500</v>
      </c>
      <c r="B250" s="17"/>
    </row>
    <row r="251" spans="1:2" x14ac:dyDescent="0.25">
      <c r="A251" s="17" t="s">
        <v>1501</v>
      </c>
      <c r="B251" s="17"/>
    </row>
    <row r="252" spans="1:2" x14ac:dyDescent="0.25">
      <c r="A252" s="17" t="s">
        <v>1502</v>
      </c>
      <c r="B252" s="17"/>
    </row>
    <row r="253" spans="1:2" x14ac:dyDescent="0.25">
      <c r="A253" s="17" t="s">
        <v>1503</v>
      </c>
      <c r="B253" s="17"/>
    </row>
    <row r="254" spans="1:2" x14ac:dyDescent="0.25">
      <c r="A254" s="17" t="s">
        <v>1504</v>
      </c>
      <c r="B254" s="17"/>
    </row>
    <row r="255" spans="1:2" x14ac:dyDescent="0.25">
      <c r="A255" s="17" t="s">
        <v>1505</v>
      </c>
      <c r="B255" s="17"/>
    </row>
    <row r="256" spans="1:2" x14ac:dyDescent="0.25">
      <c r="A256" s="17" t="s">
        <v>1506</v>
      </c>
      <c r="B256" s="17"/>
    </row>
  </sheetData>
  <mergeCells count="253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571</v>
      </c>
    </row>
    <row r="2" spans="1:2" x14ac:dyDescent="0.25">
      <c r="A2" s="15" t="s">
        <v>1222</v>
      </c>
      <c r="B2" s="16" t="s">
        <v>575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15</v>
      </c>
      <c r="B4" s="17"/>
    </row>
    <row r="5" spans="1:2" x14ac:dyDescent="0.25">
      <c r="A5" s="17" t="s">
        <v>21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356</v>
      </c>
    </row>
    <row r="2" spans="1:2" x14ac:dyDescent="0.25">
      <c r="A2" s="15" t="s">
        <v>1222</v>
      </c>
      <c r="B2" s="16" t="s">
        <v>359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114</v>
      </c>
      <c r="B4" s="17"/>
    </row>
    <row r="5" spans="1:2" x14ac:dyDescent="0.25">
      <c r="A5" s="17" t="s">
        <v>1507</v>
      </c>
      <c r="B5" s="17"/>
    </row>
    <row r="6" spans="1:2" x14ac:dyDescent="0.25">
      <c r="A6" s="17" t="s">
        <v>1508</v>
      </c>
      <c r="B6" s="17"/>
    </row>
    <row r="7" spans="1:2" x14ac:dyDescent="0.25">
      <c r="A7" s="17" t="s">
        <v>1509</v>
      </c>
      <c r="B7" s="17"/>
    </row>
    <row r="8" spans="1:2" x14ac:dyDescent="0.25">
      <c r="A8" s="17" t="s">
        <v>1510</v>
      </c>
      <c r="B8" s="17"/>
    </row>
    <row r="9" spans="1:2" x14ac:dyDescent="0.25">
      <c r="A9" s="17" t="s">
        <v>1511</v>
      </c>
      <c r="B9" s="17"/>
    </row>
    <row r="10" spans="1:2" x14ac:dyDescent="0.25">
      <c r="A10" s="17" t="s">
        <v>1512</v>
      </c>
      <c r="B10" s="17"/>
    </row>
    <row r="11" spans="1:2" x14ac:dyDescent="0.25">
      <c r="A11" s="17" t="s">
        <v>1513</v>
      </c>
      <c r="B11" s="17"/>
    </row>
    <row r="12" spans="1:2" x14ac:dyDescent="0.25">
      <c r="A12" s="17" t="s">
        <v>1514</v>
      </c>
      <c r="B12" s="17"/>
    </row>
    <row r="13" spans="1:2" x14ac:dyDescent="0.25">
      <c r="A13" s="17" t="s">
        <v>1515</v>
      </c>
      <c r="B13" s="17"/>
    </row>
    <row r="14" spans="1:2" x14ac:dyDescent="0.25">
      <c r="A14" s="17" t="s">
        <v>1516</v>
      </c>
      <c r="B14" s="17"/>
    </row>
    <row r="15" spans="1:2" x14ac:dyDescent="0.25">
      <c r="A15" s="17" t="s">
        <v>1517</v>
      </c>
      <c r="B15" s="17"/>
    </row>
    <row r="16" spans="1:2" x14ac:dyDescent="0.25">
      <c r="A16" s="17" t="s">
        <v>1518</v>
      </c>
      <c r="B16" s="17"/>
    </row>
    <row r="17" spans="1:2" x14ac:dyDescent="0.25">
      <c r="A17" s="17" t="s">
        <v>1519</v>
      </c>
      <c r="B17" s="17"/>
    </row>
    <row r="18" spans="1:2" x14ac:dyDescent="0.25">
      <c r="A18" s="17" t="s">
        <v>1520</v>
      </c>
      <c r="B18" s="17"/>
    </row>
    <row r="19" spans="1:2" x14ac:dyDescent="0.25">
      <c r="A19" s="17" t="s">
        <v>1521</v>
      </c>
      <c r="B19" s="17"/>
    </row>
  </sheetData>
  <mergeCells count="16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120</v>
      </c>
    </row>
    <row r="2" spans="1:2" x14ac:dyDescent="0.25">
      <c r="A2" s="15" t="s">
        <v>1222</v>
      </c>
      <c r="B2" s="16" t="s">
        <v>123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124</v>
      </c>
      <c r="B4" s="17"/>
    </row>
    <row r="5" spans="1:2" x14ac:dyDescent="0.25">
      <c r="A5" s="17" t="s">
        <v>1522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1145</v>
      </c>
    </row>
    <row r="2" spans="1:2" x14ac:dyDescent="0.25">
      <c r="A2" s="15" t="s">
        <v>1222</v>
      </c>
      <c r="B2" s="16" t="s">
        <v>445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114</v>
      </c>
      <c r="B4" s="17"/>
    </row>
    <row r="5" spans="1:2" x14ac:dyDescent="0.25">
      <c r="A5" s="17" t="s">
        <v>1507</v>
      </c>
      <c r="B5" s="17"/>
    </row>
    <row r="6" spans="1:2" x14ac:dyDescent="0.25">
      <c r="A6" s="17" t="s">
        <v>1508</v>
      </c>
      <c r="B6" s="17"/>
    </row>
    <row r="7" spans="1:2" x14ac:dyDescent="0.25">
      <c r="A7" s="17" t="s">
        <v>1509</v>
      </c>
      <c r="B7" s="17"/>
    </row>
    <row r="8" spans="1:2" x14ac:dyDescent="0.25">
      <c r="A8" s="17" t="s">
        <v>1510</v>
      </c>
      <c r="B8" s="17"/>
    </row>
    <row r="9" spans="1:2" x14ac:dyDescent="0.25">
      <c r="A9" s="17" t="s">
        <v>1511</v>
      </c>
      <c r="B9" s="17"/>
    </row>
    <row r="10" spans="1:2" x14ac:dyDescent="0.25">
      <c r="A10" s="17" t="s">
        <v>1512</v>
      </c>
      <c r="B10" s="17"/>
    </row>
    <row r="11" spans="1:2" x14ac:dyDescent="0.25">
      <c r="A11" s="17" t="s">
        <v>1513</v>
      </c>
      <c r="B11" s="17"/>
    </row>
    <row r="12" spans="1:2" x14ac:dyDescent="0.25">
      <c r="A12" s="17" t="s">
        <v>1514</v>
      </c>
      <c r="B12" s="17"/>
    </row>
    <row r="13" spans="1:2" x14ac:dyDescent="0.25">
      <c r="A13" s="17" t="s">
        <v>1515</v>
      </c>
      <c r="B13" s="17"/>
    </row>
    <row r="14" spans="1:2" x14ac:dyDescent="0.25">
      <c r="A14" s="17" t="s">
        <v>1516</v>
      </c>
      <c r="B14" s="17"/>
    </row>
    <row r="15" spans="1:2" x14ac:dyDescent="0.25">
      <c r="A15" s="17" t="s">
        <v>1517</v>
      </c>
      <c r="B15" s="17"/>
    </row>
    <row r="16" spans="1:2" x14ac:dyDescent="0.25">
      <c r="A16" s="17" t="s">
        <v>1523</v>
      </c>
      <c r="B16" s="17"/>
    </row>
    <row r="17" spans="1:2" x14ac:dyDescent="0.25">
      <c r="A17" s="17" t="s">
        <v>1518</v>
      </c>
      <c r="B17" s="17"/>
    </row>
    <row r="18" spans="1:2" x14ac:dyDescent="0.25">
      <c r="A18" s="17" t="s">
        <v>1519</v>
      </c>
      <c r="B18" s="17"/>
    </row>
    <row r="19" spans="1:2" x14ac:dyDescent="0.25">
      <c r="A19" s="17" t="s">
        <v>1520</v>
      </c>
      <c r="B19" s="17"/>
    </row>
    <row r="20" spans="1:2" x14ac:dyDescent="0.25">
      <c r="A20" s="17" t="s">
        <v>1521</v>
      </c>
      <c r="B20" s="17"/>
    </row>
  </sheetData>
  <mergeCells count="17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1150</v>
      </c>
    </row>
    <row r="2" spans="1:2" x14ac:dyDescent="0.25">
      <c r="A2" s="15" t="s">
        <v>1222</v>
      </c>
      <c r="B2" s="16" t="s">
        <v>126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154</v>
      </c>
      <c r="B4" s="17"/>
    </row>
    <row r="5" spans="1:2" x14ac:dyDescent="0.25">
      <c r="A5" s="17" t="s">
        <v>1524</v>
      </c>
      <c r="B5" s="17"/>
    </row>
    <row r="6" spans="1:2" x14ac:dyDescent="0.25">
      <c r="A6" s="17" t="s">
        <v>1525</v>
      </c>
      <c r="B6" s="17"/>
    </row>
    <row r="7" spans="1:2" x14ac:dyDescent="0.25">
      <c r="A7" s="17" t="s">
        <v>1526</v>
      </c>
      <c r="B7" s="17"/>
    </row>
    <row r="8" spans="1:2" x14ac:dyDescent="0.25">
      <c r="A8" s="17" t="s">
        <v>1527</v>
      </c>
      <c r="B8" s="17"/>
    </row>
    <row r="9" spans="1:2" x14ac:dyDescent="0.25">
      <c r="A9" s="17" t="s">
        <v>1249</v>
      </c>
      <c r="B9" s="17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761</v>
      </c>
    </row>
    <row r="2" spans="1:2" x14ac:dyDescent="0.25">
      <c r="A2" s="15" t="s">
        <v>1222</v>
      </c>
      <c r="B2" s="16" t="s">
        <v>761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1528</v>
      </c>
      <c r="B4" s="17"/>
    </row>
    <row r="5" spans="1:2" x14ac:dyDescent="0.25">
      <c r="A5" s="17" t="s">
        <v>1529</v>
      </c>
      <c r="B5" s="17"/>
    </row>
    <row r="6" spans="1:2" x14ac:dyDescent="0.25">
      <c r="A6" s="17" t="s">
        <v>1530</v>
      </c>
      <c r="B6" s="17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110</v>
      </c>
    </row>
    <row r="2" spans="1:2" x14ac:dyDescent="0.25">
      <c r="A2" s="15" t="s">
        <v>1222</v>
      </c>
      <c r="B2" s="16" t="s">
        <v>113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114</v>
      </c>
      <c r="B4" s="17"/>
    </row>
    <row r="5" spans="1:2" x14ac:dyDescent="0.25">
      <c r="A5" s="17" t="s">
        <v>1507</v>
      </c>
      <c r="B5" s="17"/>
    </row>
    <row r="6" spans="1:2" x14ac:dyDescent="0.25">
      <c r="A6" s="17" t="s">
        <v>1508</v>
      </c>
      <c r="B6" s="17"/>
    </row>
    <row r="7" spans="1:2" x14ac:dyDescent="0.25">
      <c r="A7" s="17" t="s">
        <v>1509</v>
      </c>
      <c r="B7" s="17"/>
    </row>
    <row r="8" spans="1:2" x14ac:dyDescent="0.25">
      <c r="A8" s="17" t="s">
        <v>1510</v>
      </c>
      <c r="B8" s="17"/>
    </row>
    <row r="9" spans="1:2" x14ac:dyDescent="0.25">
      <c r="A9" s="17" t="s">
        <v>1511</v>
      </c>
      <c r="B9" s="17"/>
    </row>
    <row r="10" spans="1:2" x14ac:dyDescent="0.25">
      <c r="A10" s="17" t="s">
        <v>1512</v>
      </c>
      <c r="B10" s="17"/>
    </row>
    <row r="11" spans="1:2" x14ac:dyDescent="0.25">
      <c r="A11" s="17" t="s">
        <v>1513</v>
      </c>
      <c r="B11" s="17"/>
    </row>
    <row r="12" spans="1:2" x14ac:dyDescent="0.25">
      <c r="A12" s="17" t="s">
        <v>1514</v>
      </c>
      <c r="B12" s="17"/>
    </row>
    <row r="13" spans="1:2" x14ac:dyDescent="0.25">
      <c r="A13" s="17" t="s">
        <v>1515</v>
      </c>
      <c r="B13" s="17"/>
    </row>
    <row r="14" spans="1:2" x14ac:dyDescent="0.25">
      <c r="A14" s="17" t="s">
        <v>1516</v>
      </c>
      <c r="B14" s="17"/>
    </row>
    <row r="15" spans="1:2" x14ac:dyDescent="0.25">
      <c r="A15" s="17" t="s">
        <v>1517</v>
      </c>
      <c r="B15" s="17"/>
    </row>
    <row r="16" spans="1:2" x14ac:dyDescent="0.25">
      <c r="A16" s="17" t="s">
        <v>1523</v>
      </c>
      <c r="B16" s="17"/>
    </row>
    <row r="17" spans="1:2" x14ac:dyDescent="0.25">
      <c r="A17" s="17" t="s">
        <v>1518</v>
      </c>
      <c r="B17" s="17"/>
    </row>
    <row r="18" spans="1:2" x14ac:dyDescent="0.25">
      <c r="A18" s="17" t="s">
        <v>1519</v>
      </c>
      <c r="B18" s="17"/>
    </row>
    <row r="19" spans="1:2" x14ac:dyDescent="0.25">
      <c r="A19" s="17" t="s">
        <v>1520</v>
      </c>
      <c r="B19" s="17"/>
    </row>
    <row r="20" spans="1:2" x14ac:dyDescent="0.25">
      <c r="A20" s="17" t="s">
        <v>1521</v>
      </c>
      <c r="B20" s="17"/>
    </row>
  </sheetData>
  <mergeCells count="17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364</v>
      </c>
    </row>
    <row r="2" spans="1:2" x14ac:dyDescent="0.25">
      <c r="A2" s="15" t="s">
        <v>1222</v>
      </c>
      <c r="B2" s="16" t="s">
        <v>379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380</v>
      </c>
      <c r="B4" s="17"/>
    </row>
    <row r="5" spans="1:2" x14ac:dyDescent="0.25">
      <c r="A5" s="17" t="s">
        <v>1244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711</v>
      </c>
    </row>
    <row r="2" spans="1:2" x14ac:dyDescent="0.25">
      <c r="A2" s="15" t="s">
        <v>1222</v>
      </c>
      <c r="B2" s="16" t="s">
        <v>716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717</v>
      </c>
      <c r="B4" s="17"/>
    </row>
    <row r="5" spans="1:2" x14ac:dyDescent="0.25">
      <c r="A5" s="17" t="s">
        <v>1531</v>
      </c>
      <c r="B5" s="17"/>
    </row>
    <row r="6" spans="1:2" x14ac:dyDescent="0.25">
      <c r="A6" s="17" t="s">
        <v>1532</v>
      </c>
      <c r="B6" s="17"/>
    </row>
    <row r="7" spans="1:2" x14ac:dyDescent="0.25">
      <c r="A7" s="17" t="s">
        <v>1533</v>
      </c>
      <c r="B7" s="17"/>
    </row>
    <row r="8" spans="1:2" x14ac:dyDescent="0.25">
      <c r="A8" s="17" t="s">
        <v>1534</v>
      </c>
      <c r="B8" s="17"/>
    </row>
  </sheetData>
  <mergeCells count="5">
    <mergeCell ref="A4:B4"/>
    <mergeCell ref="A5:B5"/>
    <mergeCell ref="A6:B6"/>
    <mergeCell ref="A7:B7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462</v>
      </c>
    </row>
    <row r="2" spans="1:2" x14ac:dyDescent="0.25">
      <c r="A2" s="15" t="s">
        <v>1222</v>
      </c>
      <c r="B2" s="16" t="s">
        <v>123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124</v>
      </c>
      <c r="B4" s="17"/>
    </row>
    <row r="5" spans="1:2" x14ac:dyDescent="0.25">
      <c r="A5" s="17" t="s">
        <v>1522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16</v>
      </c>
    </row>
    <row r="2" spans="1:2" x14ac:dyDescent="0.25">
      <c r="A2" s="15" t="s">
        <v>1222</v>
      </c>
      <c r="B2" s="16" t="s">
        <v>40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41</v>
      </c>
      <c r="B4" s="17"/>
    </row>
    <row r="5" spans="1:2" x14ac:dyDescent="0.25">
      <c r="A5" s="17" t="s">
        <v>1535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1101</v>
      </c>
    </row>
    <row r="2" spans="1:2" x14ac:dyDescent="0.25">
      <c r="A2" s="15" t="s">
        <v>1222</v>
      </c>
      <c r="B2" s="16" t="s">
        <v>126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129</v>
      </c>
      <c r="B4" s="17"/>
    </row>
    <row r="5" spans="1:2" x14ac:dyDescent="0.25">
      <c r="A5" s="17" t="s">
        <v>1245</v>
      </c>
      <c r="B5" s="17"/>
    </row>
    <row r="6" spans="1:2" x14ac:dyDescent="0.25">
      <c r="A6" s="17" t="s">
        <v>1246</v>
      </c>
      <c r="B6" s="17"/>
    </row>
    <row r="7" spans="1:2" x14ac:dyDescent="0.25">
      <c r="A7" s="17" t="s">
        <v>1247</v>
      </c>
      <c r="B7" s="17"/>
    </row>
    <row r="8" spans="1:2" x14ac:dyDescent="0.25">
      <c r="A8" s="17" t="s">
        <v>1248</v>
      </c>
      <c r="B8" s="17"/>
    </row>
    <row r="9" spans="1:2" x14ac:dyDescent="0.25">
      <c r="A9" s="17" t="s">
        <v>1249</v>
      </c>
      <c r="B9" s="17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1150</v>
      </c>
    </row>
    <row r="2" spans="1:2" x14ac:dyDescent="0.25">
      <c r="A2" s="15" t="s">
        <v>1222</v>
      </c>
      <c r="B2" s="16" t="s">
        <v>126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154</v>
      </c>
      <c r="B4" s="17"/>
    </row>
    <row r="5" spans="1:2" x14ac:dyDescent="0.25">
      <c r="A5" s="17" t="s">
        <v>1524</v>
      </c>
      <c r="B5" s="17"/>
    </row>
    <row r="6" spans="1:2" x14ac:dyDescent="0.25">
      <c r="A6" s="17" t="s">
        <v>1525</v>
      </c>
      <c r="B6" s="17"/>
    </row>
    <row r="7" spans="1:2" x14ac:dyDescent="0.25">
      <c r="A7" s="17" t="s">
        <v>1526</v>
      </c>
      <c r="B7" s="17"/>
    </row>
    <row r="8" spans="1:2" x14ac:dyDescent="0.25">
      <c r="A8" s="17" t="s">
        <v>1527</v>
      </c>
      <c r="B8" s="17"/>
    </row>
    <row r="9" spans="1:2" x14ac:dyDescent="0.25">
      <c r="A9" s="17" t="s">
        <v>1249</v>
      </c>
      <c r="B9" s="17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120</v>
      </c>
    </row>
    <row r="2" spans="1:2" x14ac:dyDescent="0.25">
      <c r="A2" s="15" t="s">
        <v>1222</v>
      </c>
      <c r="B2" s="16" t="s">
        <v>123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124</v>
      </c>
      <c r="B4" s="17"/>
    </row>
    <row r="5" spans="1:2" x14ac:dyDescent="0.25">
      <c r="A5" s="17" t="s">
        <v>1522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20</v>
      </c>
    </row>
    <row r="2" spans="1:2" x14ac:dyDescent="0.25">
      <c r="A2" s="15" t="s">
        <v>1222</v>
      </c>
      <c r="B2" s="16" t="s">
        <v>20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1255</v>
      </c>
      <c r="B4" s="17"/>
    </row>
    <row r="5" spans="1:2" x14ac:dyDescent="0.25">
      <c r="A5" s="17" t="s">
        <v>1256</v>
      </c>
      <c r="B5" s="17"/>
    </row>
    <row r="6" spans="1:2" x14ac:dyDescent="0.25">
      <c r="A6" s="17" t="s">
        <v>1257</v>
      </c>
      <c r="B6" s="17"/>
    </row>
    <row r="7" spans="1:2" x14ac:dyDescent="0.25">
      <c r="A7" s="17" t="s">
        <v>1258</v>
      </c>
      <c r="B7" s="17"/>
    </row>
    <row r="8" spans="1:2" x14ac:dyDescent="0.25">
      <c r="A8" s="17" t="s">
        <v>1259</v>
      </c>
      <c r="B8" s="17"/>
    </row>
    <row r="9" spans="1:2" x14ac:dyDescent="0.25">
      <c r="A9" s="17" t="s">
        <v>1260</v>
      </c>
      <c r="B9" s="17"/>
    </row>
    <row r="10" spans="1:2" x14ac:dyDescent="0.25">
      <c r="A10" s="17" t="s">
        <v>1261</v>
      </c>
      <c r="B10" s="17"/>
    </row>
    <row r="11" spans="1:2" x14ac:dyDescent="0.25">
      <c r="A11" s="17" t="s">
        <v>1262</v>
      </c>
      <c r="B11" s="17"/>
    </row>
    <row r="12" spans="1:2" x14ac:dyDescent="0.25">
      <c r="A12" s="17" t="s">
        <v>1263</v>
      </c>
      <c r="B12" s="17"/>
    </row>
    <row r="13" spans="1:2" x14ac:dyDescent="0.25">
      <c r="A13" s="17" t="s">
        <v>1264</v>
      </c>
      <c r="B13" s="17"/>
    </row>
    <row r="14" spans="1:2" x14ac:dyDescent="0.25">
      <c r="A14" s="17" t="s">
        <v>1265</v>
      </c>
      <c r="B14" s="17"/>
    </row>
    <row r="15" spans="1:2" x14ac:dyDescent="0.25">
      <c r="A15" s="17" t="s">
        <v>1266</v>
      </c>
      <c r="B15" s="17"/>
    </row>
    <row r="16" spans="1:2" x14ac:dyDescent="0.25">
      <c r="A16" s="17" t="s">
        <v>1267</v>
      </c>
      <c r="B16" s="17"/>
    </row>
    <row r="17" spans="1:2" x14ac:dyDescent="0.25">
      <c r="A17" s="17" t="s">
        <v>1268</v>
      </c>
      <c r="B17" s="17"/>
    </row>
    <row r="18" spans="1:2" x14ac:dyDescent="0.25">
      <c r="A18" s="17" t="s">
        <v>1269</v>
      </c>
      <c r="B18" s="17"/>
    </row>
    <row r="19" spans="1:2" x14ac:dyDescent="0.25">
      <c r="A19" s="17" t="s">
        <v>1270</v>
      </c>
      <c r="B19" s="17"/>
    </row>
    <row r="20" spans="1:2" x14ac:dyDescent="0.25">
      <c r="A20" s="17" t="s">
        <v>1271</v>
      </c>
      <c r="B20" s="17"/>
    </row>
    <row r="21" spans="1:2" x14ac:dyDescent="0.25">
      <c r="A21" s="17" t="s">
        <v>1272</v>
      </c>
      <c r="B21" s="17"/>
    </row>
    <row r="22" spans="1:2" x14ac:dyDescent="0.25">
      <c r="A22" s="17" t="s">
        <v>1273</v>
      </c>
      <c r="B22" s="17"/>
    </row>
    <row r="23" spans="1:2" x14ac:dyDescent="0.25">
      <c r="A23" s="17" t="s">
        <v>1274</v>
      </c>
      <c r="B23" s="17"/>
    </row>
    <row r="24" spans="1:2" x14ac:dyDescent="0.25">
      <c r="A24" s="17" t="s">
        <v>1275</v>
      </c>
      <c r="B24" s="17"/>
    </row>
    <row r="25" spans="1:2" x14ac:dyDescent="0.25">
      <c r="A25" s="17" t="s">
        <v>1276</v>
      </c>
      <c r="B25" s="17"/>
    </row>
    <row r="26" spans="1:2" x14ac:dyDescent="0.25">
      <c r="A26" s="17" t="s">
        <v>1277</v>
      </c>
      <c r="B26" s="17"/>
    </row>
    <row r="27" spans="1:2" x14ac:dyDescent="0.25">
      <c r="A27" s="17" t="s">
        <v>1278</v>
      </c>
      <c r="B27" s="17"/>
    </row>
    <row r="28" spans="1:2" x14ac:dyDescent="0.25">
      <c r="A28" s="17" t="s">
        <v>1279</v>
      </c>
      <c r="B28" s="17"/>
    </row>
    <row r="29" spans="1:2" x14ac:dyDescent="0.25">
      <c r="A29" s="17" t="s">
        <v>1280</v>
      </c>
      <c r="B29" s="17"/>
    </row>
    <row r="30" spans="1:2" x14ac:dyDescent="0.25">
      <c r="A30" s="17" t="s">
        <v>1281</v>
      </c>
      <c r="B30" s="17"/>
    </row>
    <row r="31" spans="1:2" x14ac:dyDescent="0.25">
      <c r="A31" s="17" t="s">
        <v>1282</v>
      </c>
      <c r="B31" s="17"/>
    </row>
    <row r="32" spans="1:2" x14ac:dyDescent="0.25">
      <c r="A32" s="17" t="s">
        <v>1283</v>
      </c>
      <c r="B32" s="17"/>
    </row>
    <row r="33" spans="1:2" x14ac:dyDescent="0.25">
      <c r="A33" s="17" t="s">
        <v>1284</v>
      </c>
      <c r="B33" s="17"/>
    </row>
    <row r="34" spans="1:2" x14ac:dyDescent="0.25">
      <c r="A34" s="17" t="s">
        <v>1285</v>
      </c>
      <c r="B34" s="17"/>
    </row>
    <row r="35" spans="1:2" x14ac:dyDescent="0.25">
      <c r="A35" s="17" t="s">
        <v>1286</v>
      </c>
      <c r="B35" s="17"/>
    </row>
    <row r="36" spans="1:2" x14ac:dyDescent="0.25">
      <c r="A36" s="17" t="s">
        <v>1287</v>
      </c>
      <c r="B36" s="17"/>
    </row>
    <row r="37" spans="1:2" x14ac:dyDescent="0.25">
      <c r="A37" s="17" t="s">
        <v>1288</v>
      </c>
      <c r="B37" s="17"/>
    </row>
    <row r="38" spans="1:2" x14ac:dyDescent="0.25">
      <c r="A38" s="17" t="s">
        <v>1289</v>
      </c>
      <c r="B38" s="17"/>
    </row>
    <row r="39" spans="1:2" x14ac:dyDescent="0.25">
      <c r="A39" s="17" t="s">
        <v>1290</v>
      </c>
      <c r="B39" s="17"/>
    </row>
    <row r="40" spans="1:2" x14ac:dyDescent="0.25">
      <c r="A40" s="17" t="s">
        <v>1291</v>
      </c>
      <c r="B40" s="17"/>
    </row>
    <row r="41" spans="1:2" x14ac:dyDescent="0.25">
      <c r="A41" s="17" t="s">
        <v>1292</v>
      </c>
      <c r="B41" s="17"/>
    </row>
    <row r="42" spans="1:2" x14ac:dyDescent="0.25">
      <c r="A42" s="17" t="s">
        <v>1293</v>
      </c>
      <c r="B42" s="17"/>
    </row>
    <row r="43" spans="1:2" x14ac:dyDescent="0.25">
      <c r="A43" s="17" t="s">
        <v>1294</v>
      </c>
      <c r="B43" s="17"/>
    </row>
    <row r="44" spans="1:2" x14ac:dyDescent="0.25">
      <c r="A44" s="17" t="s">
        <v>1295</v>
      </c>
      <c r="B44" s="17"/>
    </row>
    <row r="45" spans="1:2" x14ac:dyDescent="0.25">
      <c r="A45" s="17" t="s">
        <v>1296</v>
      </c>
      <c r="B45" s="17"/>
    </row>
    <row r="46" spans="1:2" x14ac:dyDescent="0.25">
      <c r="A46" s="17" t="s">
        <v>1297</v>
      </c>
      <c r="B46" s="17"/>
    </row>
    <row r="47" spans="1:2" x14ac:dyDescent="0.25">
      <c r="A47" s="17" t="s">
        <v>1298</v>
      </c>
      <c r="B47" s="17"/>
    </row>
    <row r="48" spans="1:2" x14ac:dyDescent="0.25">
      <c r="A48" s="17" t="s">
        <v>1299</v>
      </c>
      <c r="B48" s="17"/>
    </row>
    <row r="49" spans="1:2" x14ac:dyDescent="0.25">
      <c r="A49" s="17" t="s">
        <v>1300</v>
      </c>
      <c r="B49" s="17"/>
    </row>
    <row r="50" spans="1:2" x14ac:dyDescent="0.25">
      <c r="A50" s="17" t="s">
        <v>1301</v>
      </c>
      <c r="B50" s="17"/>
    </row>
    <row r="51" spans="1:2" x14ac:dyDescent="0.25">
      <c r="A51" s="17" t="s">
        <v>1302</v>
      </c>
      <c r="B51" s="17"/>
    </row>
    <row r="52" spans="1:2" x14ac:dyDescent="0.25">
      <c r="A52" s="17" t="s">
        <v>1303</v>
      </c>
      <c r="B52" s="17"/>
    </row>
    <row r="53" spans="1:2" x14ac:dyDescent="0.25">
      <c r="A53" s="17" t="s">
        <v>1304</v>
      </c>
      <c r="B53" s="17"/>
    </row>
    <row r="54" spans="1:2" x14ac:dyDescent="0.25">
      <c r="A54" s="17" t="s">
        <v>1305</v>
      </c>
      <c r="B54" s="17"/>
    </row>
    <row r="55" spans="1:2" x14ac:dyDescent="0.25">
      <c r="A55" s="17" t="s">
        <v>1306</v>
      </c>
      <c r="B55" s="17"/>
    </row>
    <row r="56" spans="1:2" x14ac:dyDescent="0.25">
      <c r="A56" s="17" t="s">
        <v>1307</v>
      </c>
      <c r="B56" s="17"/>
    </row>
    <row r="57" spans="1:2" x14ac:dyDescent="0.25">
      <c r="A57" s="17" t="s">
        <v>1308</v>
      </c>
      <c r="B57" s="17"/>
    </row>
    <row r="58" spans="1:2" x14ac:dyDescent="0.25">
      <c r="A58" s="17" t="s">
        <v>1309</v>
      </c>
      <c r="B58" s="17"/>
    </row>
    <row r="59" spans="1:2" x14ac:dyDescent="0.25">
      <c r="A59" s="17" t="s">
        <v>1310</v>
      </c>
      <c r="B59" s="17"/>
    </row>
    <row r="60" spans="1:2" x14ac:dyDescent="0.25">
      <c r="A60" s="17" t="s">
        <v>1311</v>
      </c>
      <c r="B60" s="17"/>
    </row>
    <row r="61" spans="1:2" x14ac:dyDescent="0.25">
      <c r="A61" s="17" t="s">
        <v>1312</v>
      </c>
      <c r="B61" s="17"/>
    </row>
    <row r="62" spans="1:2" x14ac:dyDescent="0.25">
      <c r="A62" s="17" t="s">
        <v>1313</v>
      </c>
      <c r="B62" s="17"/>
    </row>
    <row r="63" spans="1:2" x14ac:dyDescent="0.25">
      <c r="A63" s="17" t="s">
        <v>1314</v>
      </c>
      <c r="B63" s="17"/>
    </row>
    <row r="64" spans="1:2" x14ac:dyDescent="0.25">
      <c r="A64" s="17" t="s">
        <v>1315</v>
      </c>
      <c r="B64" s="17"/>
    </row>
    <row r="65" spans="1:2" x14ac:dyDescent="0.25">
      <c r="A65" s="17" t="s">
        <v>1316</v>
      </c>
      <c r="B65" s="17"/>
    </row>
    <row r="66" spans="1:2" x14ac:dyDescent="0.25">
      <c r="A66" s="17" t="s">
        <v>1317</v>
      </c>
      <c r="B66" s="17"/>
    </row>
    <row r="67" spans="1:2" x14ac:dyDescent="0.25">
      <c r="A67" s="17" t="s">
        <v>1318</v>
      </c>
      <c r="B67" s="17"/>
    </row>
    <row r="68" spans="1:2" x14ac:dyDescent="0.25">
      <c r="A68" s="17" t="s">
        <v>1319</v>
      </c>
      <c r="B68" s="17"/>
    </row>
    <row r="69" spans="1:2" x14ac:dyDescent="0.25">
      <c r="A69" s="17" t="s">
        <v>1320</v>
      </c>
      <c r="B69" s="17"/>
    </row>
    <row r="70" spans="1:2" x14ac:dyDescent="0.25">
      <c r="A70" s="17" t="s">
        <v>1321</v>
      </c>
      <c r="B70" s="17"/>
    </row>
    <row r="71" spans="1:2" x14ac:dyDescent="0.25">
      <c r="A71" s="17" t="s">
        <v>1322</v>
      </c>
      <c r="B71" s="17"/>
    </row>
    <row r="72" spans="1:2" x14ac:dyDescent="0.25">
      <c r="A72" s="17" t="s">
        <v>1323</v>
      </c>
      <c r="B72" s="17"/>
    </row>
    <row r="73" spans="1:2" x14ac:dyDescent="0.25">
      <c r="A73" s="17" t="s">
        <v>1324</v>
      </c>
      <c r="B73" s="17"/>
    </row>
    <row r="74" spans="1:2" x14ac:dyDescent="0.25">
      <c r="A74" s="17" t="s">
        <v>1325</v>
      </c>
      <c r="B74" s="17"/>
    </row>
    <row r="75" spans="1:2" x14ac:dyDescent="0.25">
      <c r="A75" s="17" t="s">
        <v>1326</v>
      </c>
      <c r="B75" s="17"/>
    </row>
    <row r="76" spans="1:2" x14ac:dyDescent="0.25">
      <c r="A76" s="17" t="s">
        <v>1327</v>
      </c>
      <c r="B76" s="17"/>
    </row>
    <row r="77" spans="1:2" x14ac:dyDescent="0.25">
      <c r="A77" s="17" t="s">
        <v>1328</v>
      </c>
      <c r="B77" s="17"/>
    </row>
    <row r="78" spans="1:2" x14ac:dyDescent="0.25">
      <c r="A78" s="17" t="s">
        <v>1329</v>
      </c>
      <c r="B78" s="17"/>
    </row>
    <row r="79" spans="1:2" x14ac:dyDescent="0.25">
      <c r="A79" s="17" t="s">
        <v>1330</v>
      </c>
      <c r="B79" s="17"/>
    </row>
    <row r="80" spans="1:2" x14ac:dyDescent="0.25">
      <c r="A80" s="17" t="s">
        <v>1331</v>
      </c>
      <c r="B80" s="17"/>
    </row>
    <row r="81" spans="1:2" x14ac:dyDescent="0.25">
      <c r="A81" s="17" t="s">
        <v>1332</v>
      </c>
      <c r="B81" s="17"/>
    </row>
    <row r="82" spans="1:2" x14ac:dyDescent="0.25">
      <c r="A82" s="17" t="s">
        <v>1333</v>
      </c>
      <c r="B82" s="17"/>
    </row>
    <row r="83" spans="1:2" x14ac:dyDescent="0.25">
      <c r="A83" s="17" t="s">
        <v>1334</v>
      </c>
      <c r="B83" s="17"/>
    </row>
    <row r="84" spans="1:2" x14ac:dyDescent="0.25">
      <c r="A84" s="17" t="s">
        <v>1335</v>
      </c>
      <c r="B84" s="17"/>
    </row>
    <row r="85" spans="1:2" x14ac:dyDescent="0.25">
      <c r="A85" s="17" t="s">
        <v>1336</v>
      </c>
      <c r="B85" s="17"/>
    </row>
    <row r="86" spans="1:2" x14ac:dyDescent="0.25">
      <c r="A86" s="17" t="s">
        <v>1337</v>
      </c>
      <c r="B86" s="17"/>
    </row>
    <row r="87" spans="1:2" x14ac:dyDescent="0.25">
      <c r="A87" s="17" t="s">
        <v>1338</v>
      </c>
      <c r="B87" s="17"/>
    </row>
    <row r="88" spans="1:2" x14ac:dyDescent="0.25">
      <c r="A88" s="17" t="s">
        <v>1339</v>
      </c>
      <c r="B88" s="17"/>
    </row>
    <row r="89" spans="1:2" x14ac:dyDescent="0.25">
      <c r="A89" s="17" t="s">
        <v>1340</v>
      </c>
      <c r="B89" s="17"/>
    </row>
    <row r="90" spans="1:2" x14ac:dyDescent="0.25">
      <c r="A90" s="17" t="s">
        <v>1341</v>
      </c>
      <c r="B90" s="17"/>
    </row>
    <row r="91" spans="1:2" x14ac:dyDescent="0.25">
      <c r="A91" s="17" t="s">
        <v>1342</v>
      </c>
      <c r="B91" s="17"/>
    </row>
    <row r="92" spans="1:2" x14ac:dyDescent="0.25">
      <c r="A92" s="17" t="s">
        <v>1343</v>
      </c>
      <c r="B92" s="17"/>
    </row>
    <row r="93" spans="1:2" x14ac:dyDescent="0.25">
      <c r="A93" s="17" t="s">
        <v>1344</v>
      </c>
      <c r="B93" s="17"/>
    </row>
    <row r="94" spans="1:2" x14ac:dyDescent="0.25">
      <c r="A94" s="17" t="s">
        <v>1345</v>
      </c>
      <c r="B94" s="17"/>
    </row>
    <row r="95" spans="1:2" x14ac:dyDescent="0.25">
      <c r="A95" s="17" t="s">
        <v>1346</v>
      </c>
      <c r="B95" s="17"/>
    </row>
    <row r="96" spans="1:2" x14ac:dyDescent="0.25">
      <c r="A96" s="17" t="s">
        <v>1347</v>
      </c>
      <c r="B96" s="17"/>
    </row>
    <row r="97" spans="1:2" x14ac:dyDescent="0.25">
      <c r="A97" s="17" t="s">
        <v>1348</v>
      </c>
      <c r="B97" s="17"/>
    </row>
    <row r="98" spans="1:2" x14ac:dyDescent="0.25">
      <c r="A98" s="17" t="s">
        <v>1349</v>
      </c>
      <c r="B98" s="17"/>
    </row>
    <row r="99" spans="1:2" x14ac:dyDescent="0.25">
      <c r="A99" s="17" t="s">
        <v>1350</v>
      </c>
      <c r="B99" s="17"/>
    </row>
    <row r="100" spans="1:2" x14ac:dyDescent="0.25">
      <c r="A100" s="17" t="s">
        <v>1351</v>
      </c>
      <c r="B100" s="17"/>
    </row>
    <row r="101" spans="1:2" x14ac:dyDescent="0.25">
      <c r="A101" s="17" t="s">
        <v>1352</v>
      </c>
      <c r="B101" s="17"/>
    </row>
    <row r="102" spans="1:2" x14ac:dyDescent="0.25">
      <c r="A102" s="17" t="s">
        <v>1353</v>
      </c>
      <c r="B102" s="17"/>
    </row>
    <row r="103" spans="1:2" x14ac:dyDescent="0.25">
      <c r="A103" s="17" t="s">
        <v>1354</v>
      </c>
      <c r="B103" s="17"/>
    </row>
    <row r="104" spans="1:2" x14ac:dyDescent="0.25">
      <c r="A104" s="17" t="s">
        <v>1355</v>
      </c>
      <c r="B104" s="17"/>
    </row>
    <row r="105" spans="1:2" x14ac:dyDescent="0.25">
      <c r="A105" s="17" t="s">
        <v>1356</v>
      </c>
      <c r="B105" s="17"/>
    </row>
    <row r="106" spans="1:2" x14ac:dyDescent="0.25">
      <c r="A106" s="17" t="s">
        <v>1357</v>
      </c>
      <c r="B106" s="17"/>
    </row>
    <row r="107" spans="1:2" x14ac:dyDescent="0.25">
      <c r="A107" s="17" t="s">
        <v>1358</v>
      </c>
      <c r="B107" s="17"/>
    </row>
    <row r="108" spans="1:2" x14ac:dyDescent="0.25">
      <c r="A108" s="17" t="s">
        <v>1359</v>
      </c>
      <c r="B108" s="17"/>
    </row>
    <row r="109" spans="1:2" x14ac:dyDescent="0.25">
      <c r="A109" s="17" t="s">
        <v>1360</v>
      </c>
      <c r="B109" s="17"/>
    </row>
    <row r="110" spans="1:2" x14ac:dyDescent="0.25">
      <c r="A110" s="17" t="s">
        <v>1361</v>
      </c>
      <c r="B110" s="17"/>
    </row>
    <row r="111" spans="1:2" x14ac:dyDescent="0.25">
      <c r="A111" s="17" t="s">
        <v>1362</v>
      </c>
      <c r="B111" s="17"/>
    </row>
    <row r="112" spans="1:2" x14ac:dyDescent="0.25">
      <c r="A112" s="17" t="s">
        <v>1363</v>
      </c>
      <c r="B112" s="17"/>
    </row>
    <row r="113" spans="1:2" x14ac:dyDescent="0.25">
      <c r="A113" s="17" t="s">
        <v>1364</v>
      </c>
      <c r="B113" s="17"/>
    </row>
    <row r="114" spans="1:2" x14ac:dyDescent="0.25">
      <c r="A114" s="17" t="s">
        <v>1365</v>
      </c>
      <c r="B114" s="17"/>
    </row>
    <row r="115" spans="1:2" x14ac:dyDescent="0.25">
      <c r="A115" s="17" t="s">
        <v>1366</v>
      </c>
      <c r="B115" s="17"/>
    </row>
    <row r="116" spans="1:2" x14ac:dyDescent="0.25">
      <c r="A116" s="17" t="s">
        <v>1367</v>
      </c>
      <c r="B116" s="17"/>
    </row>
    <row r="117" spans="1:2" x14ac:dyDescent="0.25">
      <c r="A117" s="17" t="s">
        <v>1368</v>
      </c>
      <c r="B117" s="17"/>
    </row>
    <row r="118" spans="1:2" x14ac:dyDescent="0.25">
      <c r="A118" s="17" t="s">
        <v>1369</v>
      </c>
      <c r="B118" s="17"/>
    </row>
    <row r="119" spans="1:2" x14ac:dyDescent="0.25">
      <c r="A119" s="17" t="s">
        <v>1370</v>
      </c>
      <c r="B119" s="17"/>
    </row>
    <row r="120" spans="1:2" x14ac:dyDescent="0.25">
      <c r="A120" s="17" t="s">
        <v>1371</v>
      </c>
      <c r="B120" s="17"/>
    </row>
    <row r="121" spans="1:2" x14ac:dyDescent="0.25">
      <c r="A121" s="17" t="s">
        <v>1372</v>
      </c>
      <c r="B121" s="17"/>
    </row>
    <row r="122" spans="1:2" x14ac:dyDescent="0.25">
      <c r="A122" s="17" t="s">
        <v>1373</v>
      </c>
      <c r="B122" s="17"/>
    </row>
    <row r="123" spans="1:2" x14ac:dyDescent="0.25">
      <c r="A123" s="17" t="s">
        <v>1374</v>
      </c>
      <c r="B123" s="17"/>
    </row>
    <row r="124" spans="1:2" x14ac:dyDescent="0.25">
      <c r="A124" s="17" t="s">
        <v>1375</v>
      </c>
      <c r="B124" s="17"/>
    </row>
    <row r="125" spans="1:2" x14ac:dyDescent="0.25">
      <c r="A125" s="17" t="s">
        <v>1376</v>
      </c>
      <c r="B125" s="17"/>
    </row>
    <row r="126" spans="1:2" x14ac:dyDescent="0.25">
      <c r="A126" s="17" t="s">
        <v>1377</v>
      </c>
      <c r="B126" s="17"/>
    </row>
    <row r="127" spans="1:2" x14ac:dyDescent="0.25">
      <c r="A127" s="17" t="s">
        <v>1378</v>
      </c>
      <c r="B127" s="17"/>
    </row>
    <row r="128" spans="1:2" x14ac:dyDescent="0.25">
      <c r="A128" s="17" t="s">
        <v>1379</v>
      </c>
      <c r="B128" s="17"/>
    </row>
    <row r="129" spans="1:2" x14ac:dyDescent="0.25">
      <c r="A129" s="17" t="s">
        <v>1380</v>
      </c>
      <c r="B129" s="17"/>
    </row>
    <row r="130" spans="1:2" x14ac:dyDescent="0.25">
      <c r="A130" s="17" t="s">
        <v>1381</v>
      </c>
      <c r="B130" s="17"/>
    </row>
    <row r="131" spans="1:2" x14ac:dyDescent="0.25">
      <c r="A131" s="17" t="s">
        <v>1382</v>
      </c>
      <c r="B131" s="17"/>
    </row>
    <row r="132" spans="1:2" x14ac:dyDescent="0.25">
      <c r="A132" s="17" t="s">
        <v>1383</v>
      </c>
      <c r="B132" s="17"/>
    </row>
    <row r="133" spans="1:2" x14ac:dyDescent="0.25">
      <c r="A133" s="17" t="s">
        <v>1384</v>
      </c>
      <c r="B133" s="17"/>
    </row>
    <row r="134" spans="1:2" x14ac:dyDescent="0.25">
      <c r="A134" s="17" t="s">
        <v>1385</v>
      </c>
      <c r="B134" s="17"/>
    </row>
    <row r="135" spans="1:2" x14ac:dyDescent="0.25">
      <c r="A135" s="17" t="s">
        <v>1386</v>
      </c>
      <c r="B135" s="17"/>
    </row>
    <row r="136" spans="1:2" x14ac:dyDescent="0.25">
      <c r="A136" s="17" t="s">
        <v>1387</v>
      </c>
      <c r="B136" s="17"/>
    </row>
    <row r="137" spans="1:2" x14ac:dyDescent="0.25">
      <c r="A137" s="17" t="s">
        <v>1388</v>
      </c>
      <c r="B137" s="17"/>
    </row>
    <row r="138" spans="1:2" x14ac:dyDescent="0.25">
      <c r="A138" s="17" t="s">
        <v>1389</v>
      </c>
      <c r="B138" s="17"/>
    </row>
    <row r="139" spans="1:2" x14ac:dyDescent="0.25">
      <c r="A139" s="17" t="s">
        <v>1390</v>
      </c>
      <c r="B139" s="17"/>
    </row>
    <row r="140" spans="1:2" x14ac:dyDescent="0.25">
      <c r="A140" s="17" t="s">
        <v>1391</v>
      </c>
      <c r="B140" s="17"/>
    </row>
    <row r="141" spans="1:2" x14ac:dyDescent="0.25">
      <c r="A141" s="17" t="s">
        <v>1392</v>
      </c>
      <c r="B141" s="17"/>
    </row>
    <row r="142" spans="1:2" x14ac:dyDescent="0.25">
      <c r="A142" s="17" t="s">
        <v>1393</v>
      </c>
      <c r="B142" s="17"/>
    </row>
    <row r="143" spans="1:2" x14ac:dyDescent="0.25">
      <c r="A143" s="17" t="s">
        <v>1394</v>
      </c>
      <c r="B143" s="17"/>
    </row>
    <row r="144" spans="1:2" x14ac:dyDescent="0.25">
      <c r="A144" s="17" t="s">
        <v>1395</v>
      </c>
      <c r="B144" s="17"/>
    </row>
    <row r="145" spans="1:2" x14ac:dyDescent="0.25">
      <c r="A145" s="17" t="s">
        <v>1396</v>
      </c>
      <c r="B145" s="17"/>
    </row>
    <row r="146" spans="1:2" x14ac:dyDescent="0.25">
      <c r="A146" s="17" t="s">
        <v>1397</v>
      </c>
      <c r="B146" s="17"/>
    </row>
    <row r="147" spans="1:2" x14ac:dyDescent="0.25">
      <c r="A147" s="17" t="s">
        <v>1398</v>
      </c>
      <c r="B147" s="17"/>
    </row>
    <row r="148" spans="1:2" x14ac:dyDescent="0.25">
      <c r="A148" s="17" t="s">
        <v>1399</v>
      </c>
      <c r="B148" s="17"/>
    </row>
    <row r="149" spans="1:2" x14ac:dyDescent="0.25">
      <c r="A149" s="17" t="s">
        <v>1400</v>
      </c>
      <c r="B149" s="17"/>
    </row>
    <row r="150" spans="1:2" x14ac:dyDescent="0.25">
      <c r="A150" s="17" t="s">
        <v>1401</v>
      </c>
      <c r="B150" s="17"/>
    </row>
    <row r="151" spans="1:2" x14ac:dyDescent="0.25">
      <c r="A151" s="17" t="s">
        <v>1402</v>
      </c>
      <c r="B151" s="17"/>
    </row>
    <row r="152" spans="1:2" x14ac:dyDescent="0.25">
      <c r="A152" s="17" t="s">
        <v>1403</v>
      </c>
      <c r="B152" s="17"/>
    </row>
    <row r="153" spans="1:2" x14ac:dyDescent="0.25">
      <c r="A153" s="17" t="s">
        <v>1404</v>
      </c>
      <c r="B153" s="17"/>
    </row>
    <row r="154" spans="1:2" x14ac:dyDescent="0.25">
      <c r="A154" s="17" t="s">
        <v>1405</v>
      </c>
      <c r="B154" s="17"/>
    </row>
    <row r="155" spans="1:2" x14ac:dyDescent="0.25">
      <c r="A155" s="17" t="s">
        <v>1406</v>
      </c>
      <c r="B155" s="17"/>
    </row>
    <row r="156" spans="1:2" x14ac:dyDescent="0.25">
      <c r="A156" s="17" t="s">
        <v>1407</v>
      </c>
      <c r="B156" s="17"/>
    </row>
    <row r="157" spans="1:2" x14ac:dyDescent="0.25">
      <c r="A157" s="17" t="s">
        <v>1408</v>
      </c>
      <c r="B157" s="17"/>
    </row>
    <row r="158" spans="1:2" x14ac:dyDescent="0.25">
      <c r="A158" s="17" t="s">
        <v>1409</v>
      </c>
      <c r="B158" s="17"/>
    </row>
    <row r="159" spans="1:2" x14ac:dyDescent="0.25">
      <c r="A159" s="17" t="s">
        <v>1410</v>
      </c>
      <c r="B159" s="17"/>
    </row>
    <row r="160" spans="1:2" x14ac:dyDescent="0.25">
      <c r="A160" s="17" t="s">
        <v>1411</v>
      </c>
      <c r="B160" s="17"/>
    </row>
    <row r="161" spans="1:2" x14ac:dyDescent="0.25">
      <c r="A161" s="17" t="s">
        <v>1412</v>
      </c>
      <c r="B161" s="17"/>
    </row>
    <row r="162" spans="1:2" x14ac:dyDescent="0.25">
      <c r="A162" s="17" t="s">
        <v>1413</v>
      </c>
      <c r="B162" s="17"/>
    </row>
    <row r="163" spans="1:2" x14ac:dyDescent="0.25">
      <c r="A163" s="17" t="s">
        <v>1414</v>
      </c>
      <c r="B163" s="17"/>
    </row>
    <row r="164" spans="1:2" x14ac:dyDescent="0.25">
      <c r="A164" s="17" t="s">
        <v>1415</v>
      </c>
      <c r="B164" s="17"/>
    </row>
    <row r="165" spans="1:2" x14ac:dyDescent="0.25">
      <c r="A165" s="17" t="s">
        <v>1416</v>
      </c>
      <c r="B165" s="17"/>
    </row>
    <row r="166" spans="1:2" x14ac:dyDescent="0.25">
      <c r="A166" s="17" t="s">
        <v>1417</v>
      </c>
      <c r="B166" s="17"/>
    </row>
    <row r="167" spans="1:2" x14ac:dyDescent="0.25">
      <c r="A167" s="17" t="s">
        <v>1418</v>
      </c>
      <c r="B167" s="17"/>
    </row>
    <row r="168" spans="1:2" x14ac:dyDescent="0.25">
      <c r="A168" s="17" t="s">
        <v>1419</v>
      </c>
      <c r="B168" s="17"/>
    </row>
    <row r="169" spans="1:2" x14ac:dyDescent="0.25">
      <c r="A169" s="17" t="s">
        <v>1420</v>
      </c>
      <c r="B169" s="17"/>
    </row>
    <row r="170" spans="1:2" x14ac:dyDescent="0.25">
      <c r="A170" s="17" t="s">
        <v>1421</v>
      </c>
      <c r="B170" s="17"/>
    </row>
    <row r="171" spans="1:2" x14ac:dyDescent="0.25">
      <c r="A171" s="17" t="s">
        <v>1422</v>
      </c>
      <c r="B171" s="17"/>
    </row>
    <row r="172" spans="1:2" x14ac:dyDescent="0.25">
      <c r="A172" s="17" t="s">
        <v>1423</v>
      </c>
      <c r="B172" s="17"/>
    </row>
    <row r="173" spans="1:2" x14ac:dyDescent="0.25">
      <c r="A173" s="17" t="s">
        <v>1424</v>
      </c>
      <c r="B173" s="17"/>
    </row>
    <row r="174" spans="1:2" x14ac:dyDescent="0.25">
      <c r="A174" s="17" t="s">
        <v>1425</v>
      </c>
      <c r="B174" s="17"/>
    </row>
    <row r="175" spans="1:2" x14ac:dyDescent="0.25">
      <c r="A175" s="17" t="s">
        <v>1426</v>
      </c>
      <c r="B175" s="17"/>
    </row>
    <row r="176" spans="1:2" x14ac:dyDescent="0.25">
      <c r="A176" s="17" t="s">
        <v>1427</v>
      </c>
      <c r="B176" s="17"/>
    </row>
    <row r="177" spans="1:2" x14ac:dyDescent="0.25">
      <c r="A177" s="17" t="s">
        <v>1428</v>
      </c>
      <c r="B177" s="17"/>
    </row>
    <row r="178" spans="1:2" x14ac:dyDescent="0.25">
      <c r="A178" s="17" t="s">
        <v>1429</v>
      </c>
      <c r="B178" s="17"/>
    </row>
    <row r="179" spans="1:2" x14ac:dyDescent="0.25">
      <c r="A179" s="17" t="s">
        <v>1430</v>
      </c>
      <c r="B179" s="17"/>
    </row>
    <row r="180" spans="1:2" x14ac:dyDescent="0.25">
      <c r="A180" s="17" t="s">
        <v>1431</v>
      </c>
      <c r="B180" s="17"/>
    </row>
    <row r="181" spans="1:2" x14ac:dyDescent="0.25">
      <c r="A181" s="17" t="s">
        <v>1432</v>
      </c>
      <c r="B181" s="17"/>
    </row>
    <row r="182" spans="1:2" x14ac:dyDescent="0.25">
      <c r="A182" s="17" t="s">
        <v>1433</v>
      </c>
      <c r="B182" s="17"/>
    </row>
    <row r="183" spans="1:2" x14ac:dyDescent="0.25">
      <c r="A183" s="17" t="s">
        <v>1434</v>
      </c>
      <c r="B183" s="17"/>
    </row>
    <row r="184" spans="1:2" x14ac:dyDescent="0.25">
      <c r="A184" s="17" t="s">
        <v>1435</v>
      </c>
      <c r="B184" s="17"/>
    </row>
    <row r="185" spans="1:2" x14ac:dyDescent="0.25">
      <c r="A185" s="17" t="s">
        <v>1436</v>
      </c>
      <c r="B185" s="17"/>
    </row>
    <row r="186" spans="1:2" x14ac:dyDescent="0.25">
      <c r="A186" s="17" t="s">
        <v>1437</v>
      </c>
      <c r="B186" s="17"/>
    </row>
    <row r="187" spans="1:2" x14ac:dyDescent="0.25">
      <c r="A187" s="17" t="s">
        <v>1438</v>
      </c>
      <c r="B187" s="17"/>
    </row>
    <row r="188" spans="1:2" x14ac:dyDescent="0.25">
      <c r="A188" s="17" t="s">
        <v>1439</v>
      </c>
      <c r="B188" s="17"/>
    </row>
    <row r="189" spans="1:2" x14ac:dyDescent="0.25">
      <c r="A189" s="17" t="s">
        <v>1440</v>
      </c>
      <c r="B189" s="17"/>
    </row>
    <row r="190" spans="1:2" x14ac:dyDescent="0.25">
      <c r="A190" s="17" t="s">
        <v>1441</v>
      </c>
      <c r="B190" s="17"/>
    </row>
    <row r="191" spans="1:2" x14ac:dyDescent="0.25">
      <c r="A191" s="17" t="s">
        <v>1442</v>
      </c>
      <c r="B191" s="17"/>
    </row>
    <row r="192" spans="1:2" x14ac:dyDescent="0.25">
      <c r="A192" s="17" t="s">
        <v>1443</v>
      </c>
      <c r="B192" s="17"/>
    </row>
    <row r="193" spans="1:2" x14ac:dyDescent="0.25">
      <c r="A193" s="17" t="s">
        <v>1444</v>
      </c>
      <c r="B193" s="17"/>
    </row>
    <row r="194" spans="1:2" x14ac:dyDescent="0.25">
      <c r="A194" s="17" t="s">
        <v>1445</v>
      </c>
      <c r="B194" s="17"/>
    </row>
    <row r="195" spans="1:2" x14ac:dyDescent="0.25">
      <c r="A195" s="17" t="s">
        <v>1446</v>
      </c>
      <c r="B195" s="17"/>
    </row>
    <row r="196" spans="1:2" x14ac:dyDescent="0.25">
      <c r="A196" s="17" t="s">
        <v>1447</v>
      </c>
      <c r="B196" s="17"/>
    </row>
    <row r="197" spans="1:2" x14ac:dyDescent="0.25">
      <c r="A197" s="17" t="s">
        <v>1448</v>
      </c>
      <c r="B197" s="17"/>
    </row>
    <row r="198" spans="1:2" x14ac:dyDescent="0.25">
      <c r="A198" s="17" t="s">
        <v>1449</v>
      </c>
      <c r="B198" s="17"/>
    </row>
    <row r="199" spans="1:2" x14ac:dyDescent="0.25">
      <c r="A199" s="17" t="s">
        <v>1450</v>
      </c>
      <c r="B199" s="17"/>
    </row>
    <row r="200" spans="1:2" x14ac:dyDescent="0.25">
      <c r="A200" s="17" t="s">
        <v>1451</v>
      </c>
      <c r="B200" s="17"/>
    </row>
    <row r="201" spans="1:2" x14ac:dyDescent="0.25">
      <c r="A201" s="17" t="s">
        <v>1452</v>
      </c>
      <c r="B201" s="17"/>
    </row>
    <row r="202" spans="1:2" x14ac:dyDescent="0.25">
      <c r="A202" s="17" t="s">
        <v>1453</v>
      </c>
      <c r="B202" s="17"/>
    </row>
    <row r="203" spans="1:2" x14ac:dyDescent="0.25">
      <c r="A203" s="17" t="s">
        <v>1454</v>
      </c>
      <c r="B203" s="17"/>
    </row>
    <row r="204" spans="1:2" x14ac:dyDescent="0.25">
      <c r="A204" s="17" t="s">
        <v>1455</v>
      </c>
      <c r="B204" s="17"/>
    </row>
    <row r="205" spans="1:2" x14ac:dyDescent="0.25">
      <c r="A205" s="17" t="s">
        <v>1456</v>
      </c>
      <c r="B205" s="17"/>
    </row>
    <row r="206" spans="1:2" x14ac:dyDescent="0.25">
      <c r="A206" s="17" t="s">
        <v>1457</v>
      </c>
      <c r="B206" s="17"/>
    </row>
    <row r="207" spans="1:2" x14ac:dyDescent="0.25">
      <c r="A207" s="17" t="s">
        <v>1458</v>
      </c>
      <c r="B207" s="17"/>
    </row>
    <row r="208" spans="1:2" x14ac:dyDescent="0.25">
      <c r="A208" s="17" t="s">
        <v>1459</v>
      </c>
      <c r="B208" s="17"/>
    </row>
    <row r="209" spans="1:2" x14ac:dyDescent="0.25">
      <c r="A209" s="17" t="s">
        <v>1460</v>
      </c>
      <c r="B209" s="17"/>
    </row>
    <row r="210" spans="1:2" x14ac:dyDescent="0.25">
      <c r="A210" s="17" t="s">
        <v>1461</v>
      </c>
      <c r="B210" s="17"/>
    </row>
    <row r="211" spans="1:2" x14ac:dyDescent="0.25">
      <c r="A211" s="17" t="s">
        <v>1462</v>
      </c>
      <c r="B211" s="17"/>
    </row>
    <row r="212" spans="1:2" x14ac:dyDescent="0.25">
      <c r="A212" s="17" t="s">
        <v>1463</v>
      </c>
      <c r="B212" s="17"/>
    </row>
    <row r="213" spans="1:2" x14ac:dyDescent="0.25">
      <c r="A213" s="17" t="s">
        <v>1464</v>
      </c>
      <c r="B213" s="17"/>
    </row>
    <row r="214" spans="1:2" x14ac:dyDescent="0.25">
      <c r="A214" s="17" t="s">
        <v>1465</v>
      </c>
      <c r="B214" s="17"/>
    </row>
    <row r="215" spans="1:2" x14ac:dyDescent="0.25">
      <c r="A215" s="17" t="s">
        <v>25</v>
      </c>
      <c r="B215" s="17"/>
    </row>
    <row r="216" spans="1:2" x14ac:dyDescent="0.25">
      <c r="A216" s="17" t="s">
        <v>1466</v>
      </c>
      <c r="B216" s="17"/>
    </row>
    <row r="217" spans="1:2" x14ac:dyDescent="0.25">
      <c r="A217" s="17" t="s">
        <v>1467</v>
      </c>
      <c r="B217" s="17"/>
    </row>
    <row r="218" spans="1:2" x14ac:dyDescent="0.25">
      <c r="A218" s="17" t="s">
        <v>1468</v>
      </c>
      <c r="B218" s="17"/>
    </row>
    <row r="219" spans="1:2" x14ac:dyDescent="0.25">
      <c r="A219" s="17" t="s">
        <v>1469</v>
      </c>
      <c r="B219" s="17"/>
    </row>
    <row r="220" spans="1:2" x14ac:dyDescent="0.25">
      <c r="A220" s="17" t="s">
        <v>1470</v>
      </c>
      <c r="B220" s="17"/>
    </row>
    <row r="221" spans="1:2" x14ac:dyDescent="0.25">
      <c r="A221" s="17" t="s">
        <v>1471</v>
      </c>
      <c r="B221" s="17"/>
    </row>
    <row r="222" spans="1:2" x14ac:dyDescent="0.25">
      <c r="A222" s="17" t="s">
        <v>1472</v>
      </c>
      <c r="B222" s="17"/>
    </row>
    <row r="223" spans="1:2" x14ac:dyDescent="0.25">
      <c r="A223" s="17" t="s">
        <v>1473</v>
      </c>
      <c r="B223" s="17"/>
    </row>
    <row r="224" spans="1:2" x14ac:dyDescent="0.25">
      <c r="A224" s="17" t="s">
        <v>1474</v>
      </c>
      <c r="B224" s="17"/>
    </row>
    <row r="225" spans="1:2" x14ac:dyDescent="0.25">
      <c r="A225" s="17" t="s">
        <v>1475</v>
      </c>
      <c r="B225" s="17"/>
    </row>
    <row r="226" spans="1:2" x14ac:dyDescent="0.25">
      <c r="A226" s="17" t="s">
        <v>1476</v>
      </c>
      <c r="B226" s="17"/>
    </row>
    <row r="227" spans="1:2" x14ac:dyDescent="0.25">
      <c r="A227" s="17" t="s">
        <v>1477</v>
      </c>
      <c r="B227" s="17"/>
    </row>
    <row r="228" spans="1:2" x14ac:dyDescent="0.25">
      <c r="A228" s="17" t="s">
        <v>1478</v>
      </c>
      <c r="B228" s="17"/>
    </row>
    <row r="229" spans="1:2" x14ac:dyDescent="0.25">
      <c r="A229" s="17" t="s">
        <v>1479</v>
      </c>
      <c r="B229" s="17"/>
    </row>
    <row r="230" spans="1:2" x14ac:dyDescent="0.25">
      <c r="A230" s="17" t="s">
        <v>1480</v>
      </c>
      <c r="B230" s="17"/>
    </row>
    <row r="231" spans="1:2" x14ac:dyDescent="0.25">
      <c r="A231" s="17" t="s">
        <v>1481</v>
      </c>
      <c r="B231" s="17"/>
    </row>
    <row r="232" spans="1:2" x14ac:dyDescent="0.25">
      <c r="A232" s="17" t="s">
        <v>1482</v>
      </c>
      <c r="B232" s="17"/>
    </row>
    <row r="233" spans="1:2" x14ac:dyDescent="0.25">
      <c r="A233" s="17" t="s">
        <v>1483</v>
      </c>
      <c r="B233" s="17"/>
    </row>
    <row r="234" spans="1:2" x14ac:dyDescent="0.25">
      <c r="A234" s="17" t="s">
        <v>1484</v>
      </c>
      <c r="B234" s="17"/>
    </row>
    <row r="235" spans="1:2" x14ac:dyDescent="0.25">
      <c r="A235" s="17" t="s">
        <v>1485</v>
      </c>
      <c r="B235" s="17"/>
    </row>
    <row r="236" spans="1:2" x14ac:dyDescent="0.25">
      <c r="A236" s="17" t="s">
        <v>1486</v>
      </c>
      <c r="B236" s="17"/>
    </row>
    <row r="237" spans="1:2" x14ac:dyDescent="0.25">
      <c r="A237" s="17" t="s">
        <v>1487</v>
      </c>
      <c r="B237" s="17"/>
    </row>
    <row r="238" spans="1:2" x14ac:dyDescent="0.25">
      <c r="A238" s="17" t="s">
        <v>1488</v>
      </c>
      <c r="B238" s="17"/>
    </row>
    <row r="239" spans="1:2" x14ac:dyDescent="0.25">
      <c r="A239" s="17" t="s">
        <v>1489</v>
      </c>
      <c r="B239" s="17"/>
    </row>
    <row r="240" spans="1:2" x14ac:dyDescent="0.25">
      <c r="A240" s="17" t="s">
        <v>1490</v>
      </c>
      <c r="B240" s="17"/>
    </row>
    <row r="241" spans="1:2" x14ac:dyDescent="0.25">
      <c r="A241" s="17" t="s">
        <v>1491</v>
      </c>
      <c r="B241" s="17"/>
    </row>
    <row r="242" spans="1:2" x14ac:dyDescent="0.25">
      <c r="A242" s="17" t="s">
        <v>1492</v>
      </c>
      <c r="B242" s="17"/>
    </row>
    <row r="243" spans="1:2" x14ac:dyDescent="0.25">
      <c r="A243" s="17" t="s">
        <v>1493</v>
      </c>
      <c r="B243" s="17"/>
    </row>
    <row r="244" spans="1:2" x14ac:dyDescent="0.25">
      <c r="A244" s="17" t="s">
        <v>1494</v>
      </c>
      <c r="B244" s="17"/>
    </row>
    <row r="245" spans="1:2" x14ac:dyDescent="0.25">
      <c r="A245" s="17" t="s">
        <v>1495</v>
      </c>
      <c r="B245" s="17"/>
    </row>
    <row r="246" spans="1:2" x14ac:dyDescent="0.25">
      <c r="A246" s="17" t="s">
        <v>1496</v>
      </c>
      <c r="B246" s="17"/>
    </row>
    <row r="247" spans="1:2" x14ac:dyDescent="0.25">
      <c r="A247" s="17" t="s">
        <v>1497</v>
      </c>
      <c r="B247" s="17"/>
    </row>
    <row r="248" spans="1:2" x14ac:dyDescent="0.25">
      <c r="A248" s="17" t="s">
        <v>1498</v>
      </c>
      <c r="B248" s="17"/>
    </row>
    <row r="249" spans="1:2" x14ac:dyDescent="0.25">
      <c r="A249" s="17" t="s">
        <v>1499</v>
      </c>
      <c r="B249" s="17"/>
    </row>
    <row r="250" spans="1:2" x14ac:dyDescent="0.25">
      <c r="A250" s="17" t="s">
        <v>1500</v>
      </c>
      <c r="B250" s="17"/>
    </row>
    <row r="251" spans="1:2" x14ac:dyDescent="0.25">
      <c r="A251" s="17" t="s">
        <v>1501</v>
      </c>
      <c r="B251" s="17"/>
    </row>
    <row r="252" spans="1:2" x14ac:dyDescent="0.25">
      <c r="A252" s="17" t="s">
        <v>1502</v>
      </c>
      <c r="B252" s="17"/>
    </row>
    <row r="253" spans="1:2" x14ac:dyDescent="0.25">
      <c r="A253" s="17" t="s">
        <v>1503</v>
      </c>
      <c r="B253" s="17"/>
    </row>
    <row r="254" spans="1:2" x14ac:dyDescent="0.25">
      <c r="A254" s="17" t="s">
        <v>1504</v>
      </c>
      <c r="B254" s="17"/>
    </row>
    <row r="255" spans="1:2" x14ac:dyDescent="0.25">
      <c r="A255" s="17" t="s">
        <v>1505</v>
      </c>
      <c r="B255" s="17"/>
    </row>
    <row r="256" spans="1:2" x14ac:dyDescent="0.25">
      <c r="A256" s="17" t="s">
        <v>1506</v>
      </c>
      <c r="B256" s="17"/>
    </row>
  </sheetData>
  <mergeCells count="253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16</v>
      </c>
    </row>
    <row r="2" spans="1:2" x14ac:dyDescent="0.25">
      <c r="A2" s="15" t="s">
        <v>1222</v>
      </c>
      <c r="B2" s="16" t="s">
        <v>40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41</v>
      </c>
      <c r="B4" s="17"/>
    </row>
    <row r="5" spans="1:2" x14ac:dyDescent="0.25">
      <c r="A5" s="17" t="s">
        <v>1535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898</v>
      </c>
    </row>
    <row r="2" spans="1:2" x14ac:dyDescent="0.25">
      <c r="A2" s="15" t="s">
        <v>1222</v>
      </c>
      <c r="B2" s="16" t="s">
        <v>123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124</v>
      </c>
      <c r="B4" s="17"/>
    </row>
    <row r="5" spans="1:2" x14ac:dyDescent="0.25">
      <c r="A5" s="17" t="s">
        <v>1522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1216</v>
      </c>
    </row>
    <row r="2" spans="1:2" x14ac:dyDescent="0.25">
      <c r="A2" s="15" t="s">
        <v>1222</v>
      </c>
      <c r="B2" s="16" t="s">
        <v>1094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1095</v>
      </c>
      <c r="B4" s="17"/>
    </row>
    <row r="5" spans="1:2" x14ac:dyDescent="0.25">
      <c r="A5" s="17" t="s">
        <v>1536</v>
      </c>
      <c r="B5" s="17"/>
    </row>
    <row r="6" spans="1:2" x14ac:dyDescent="0.25">
      <c r="A6" s="17" t="s">
        <v>1537</v>
      </c>
      <c r="B6" s="17"/>
    </row>
    <row r="7" spans="1:2" x14ac:dyDescent="0.25">
      <c r="A7" s="17" t="s">
        <v>1538</v>
      </c>
      <c r="B7" s="17"/>
    </row>
    <row r="8" spans="1:2" x14ac:dyDescent="0.25">
      <c r="A8" s="17" t="s">
        <v>1539</v>
      </c>
      <c r="B8" s="17"/>
    </row>
    <row r="9" spans="1:2" x14ac:dyDescent="0.25">
      <c r="A9" s="17" t="s">
        <v>1540</v>
      </c>
      <c r="B9" s="17"/>
    </row>
    <row r="10" spans="1:2" x14ac:dyDescent="0.25">
      <c r="A10" s="17" t="s">
        <v>1541</v>
      </c>
      <c r="B10" s="17"/>
    </row>
    <row r="11" spans="1:2" x14ac:dyDescent="0.25">
      <c r="A11" s="17" t="s">
        <v>1542</v>
      </c>
      <c r="B11" s="17"/>
    </row>
    <row r="12" spans="1:2" x14ac:dyDescent="0.25">
      <c r="A12" s="17" t="s">
        <v>1543</v>
      </c>
      <c r="B12" s="17"/>
    </row>
    <row r="13" spans="1:2" x14ac:dyDescent="0.25">
      <c r="A13" s="17" t="s">
        <v>1544</v>
      </c>
      <c r="B13" s="17"/>
    </row>
    <row r="14" spans="1:2" x14ac:dyDescent="0.25">
      <c r="A14" s="17" t="s">
        <v>1545</v>
      </c>
      <c r="B14" s="17"/>
    </row>
    <row r="15" spans="1:2" x14ac:dyDescent="0.25">
      <c r="A15" s="17" t="s">
        <v>1546</v>
      </c>
      <c r="B15" s="17"/>
    </row>
    <row r="16" spans="1:2" x14ac:dyDescent="0.25">
      <c r="A16" s="17" t="s">
        <v>1547</v>
      </c>
      <c r="B16" s="17"/>
    </row>
    <row r="17" spans="1:2" x14ac:dyDescent="0.25">
      <c r="A17" s="17" t="s">
        <v>1548</v>
      </c>
      <c r="B17" s="17"/>
    </row>
    <row r="18" spans="1:2" x14ac:dyDescent="0.25">
      <c r="A18" s="17" t="s">
        <v>1549</v>
      </c>
      <c r="B18" s="17"/>
    </row>
    <row r="19" spans="1:2" x14ac:dyDescent="0.25">
      <c r="A19" s="17" t="s">
        <v>1550</v>
      </c>
      <c r="B19" s="17"/>
    </row>
    <row r="20" spans="1:2" x14ac:dyDescent="0.25">
      <c r="A20" s="17" t="s">
        <v>1551</v>
      </c>
      <c r="B20" s="17"/>
    </row>
  </sheetData>
  <mergeCells count="17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1221</v>
      </c>
      <c r="B1" s="16" t="s">
        <v>1020</v>
      </c>
    </row>
    <row r="2" spans="1:2" x14ac:dyDescent="0.25">
      <c r="A2" s="15" t="s">
        <v>1222</v>
      </c>
      <c r="B2" s="16" t="s">
        <v>123</v>
      </c>
    </row>
    <row r="3" spans="1:2" x14ac:dyDescent="0.25">
      <c r="A3" s="15" t="s">
        <v>1223</v>
      </c>
      <c r="B3" s="16" t="s">
        <v>21</v>
      </c>
    </row>
    <row r="4" spans="1:2" x14ac:dyDescent="0.25">
      <c r="A4" s="17" t="s">
        <v>124</v>
      </c>
      <c r="B4" s="17"/>
    </row>
    <row r="5" spans="1:2" x14ac:dyDescent="0.25">
      <c r="A5" s="17" t="s">
        <v>1522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120</vt:i4>
      </vt:variant>
    </vt:vector>
  </HeadingPairs>
  <TitlesOfParts>
    <vt:vector size="120" baseType="lpstr">
      <vt:lpstr>GS MERSDW Project Form</vt:lpstr>
      <vt:lpstr>GS MERSDW Project Design Docum</vt:lpstr>
      <vt:lpstr>GS MERSDW VVB Onboarding Schem</vt:lpstr>
      <vt:lpstr>GS MERSDW Validation Report</vt:lpstr>
      <vt:lpstr>GS MERSDW Project Developer On</vt:lpstr>
      <vt:lpstr>GS MERSDW Verification Report</vt:lpstr>
      <vt:lpstr>GS MERSDW Monitoring Report</vt:lpstr>
      <vt:lpstr>Project Crediting Period</vt:lpstr>
      <vt:lpstr>Baseline Scenario - Sources</vt:lpstr>
      <vt:lpstr>Treatment Technology Sub-type</vt:lpstr>
      <vt:lpstr>Basic Details</vt:lpstr>
      <vt:lpstr>Fraction of non-renewable biom</vt:lpstr>
      <vt:lpstr>Basic Information</vt:lpstr>
      <vt:lpstr>Methodologies and Standardized</vt:lpstr>
      <vt:lpstr>Project Details</vt:lpstr>
      <vt:lpstr>Water Source Type Details</vt:lpstr>
      <vt:lpstr>Baseline Assessment Validation</vt:lpstr>
      <vt:lpstr>Baseline Treatment Method - It</vt:lpstr>
      <vt:lpstr>Additional Information</vt:lpstr>
      <vt:lpstr>Monitoring Plan Validation</vt:lpstr>
      <vt:lpstr>Project Boundary and Additiona</vt:lpstr>
      <vt:lpstr>Project Related Information</vt:lpstr>
      <vt:lpstr>Project Resource</vt:lpstr>
      <vt:lpstr>Country</vt:lpstr>
      <vt:lpstr>Verified Emissions</vt:lpstr>
      <vt:lpstr>Monitoring Plan Summary</vt:lpstr>
      <vt:lpstr>Additionality Validation</vt:lpstr>
      <vt:lpstr>Baseline Water Sources</vt:lpstr>
      <vt:lpstr>Upload Supporting Compliance D</vt:lpstr>
      <vt:lpstr>Yes or no with comments</vt:lpstr>
      <vt:lpstr>Sustainable Development Goals</vt:lpstr>
      <vt:lpstr>Maintenance Plan for CWTCWS</vt:lpstr>
      <vt:lpstr>Sustainable Development Goa 2</vt:lpstr>
      <vt:lpstr>Water Treatment Technology</vt:lpstr>
      <vt:lpstr>Estimated Net Emission Reducti</vt:lpstr>
      <vt:lpstr>Monitoring Parameter - Item</vt:lpstr>
      <vt:lpstr>Host Country Regulatory Framew</vt:lpstr>
      <vt:lpstr>Baseline Treatment Method - Wr</vt:lpstr>
      <vt:lpstr>Data and Parameters to Be Moni</vt:lpstr>
      <vt:lpstr>Data and parameters fixed ex a</vt:lpstr>
      <vt:lpstr>Project Scenario - Sources</vt:lpstr>
      <vt:lpstr>Treatment Technology Sub-ty 2</vt:lpstr>
      <vt:lpstr>Replacement Strategy Details</vt:lpstr>
      <vt:lpstr>Certification Statement</vt:lpstr>
      <vt:lpstr>Project Crediting Period 2</vt:lpstr>
      <vt:lpstr>Ex Ante Estimation of SDG Impa</vt:lpstr>
      <vt:lpstr>Sustainable Development Goa 3</vt:lpstr>
      <vt:lpstr>Project Developer Details</vt:lpstr>
      <vt:lpstr>Means of Verification</vt:lpstr>
      <vt:lpstr>Contribution of the Project to</vt:lpstr>
      <vt:lpstr>Project Crediting Period Detai</vt:lpstr>
      <vt:lpstr>Baseline Water Sources - Wrapp</vt:lpstr>
      <vt:lpstr>If the Project Installation is</vt:lpstr>
      <vt:lpstr>Project Boundary Validation</vt:lpstr>
      <vt:lpstr>Entity Information</vt:lpstr>
      <vt:lpstr>Monitoring Verification</vt:lpstr>
      <vt:lpstr>Source</vt:lpstr>
      <vt:lpstr>Methodologies and Standardi 2</vt:lpstr>
      <vt:lpstr>Technology Eligibility Validat</vt:lpstr>
      <vt:lpstr>Contact Person Details</vt:lpstr>
      <vt:lpstr>GHG Details</vt:lpstr>
      <vt:lpstr>Baseline fuels usage - Wrapper</vt:lpstr>
      <vt:lpstr>Technology-Specific Details</vt:lpstr>
      <vt:lpstr>Baseline fuels usage - Item</vt:lpstr>
      <vt:lpstr>Project Location Details</vt:lpstr>
      <vt:lpstr>Baseline Emission</vt:lpstr>
      <vt:lpstr>Project Details - Project Name</vt:lpstr>
      <vt:lpstr>Monitoring report Basic Inform</vt:lpstr>
      <vt:lpstr>Project Developer Details 2</vt:lpstr>
      <vt:lpstr>Treatment Technology Sub-ty 3</vt:lpstr>
      <vt:lpstr>Treatment Technology Sub-ty 4</vt:lpstr>
      <vt:lpstr>If the Project Installation 2</vt:lpstr>
      <vt:lpstr>Water Treatment Technology 2</vt:lpstr>
      <vt:lpstr>Country 2</vt:lpstr>
      <vt:lpstr>Project Location Details 2</vt:lpstr>
      <vt:lpstr>Project Participants</vt:lpstr>
      <vt:lpstr>Implementation of Project Acti</vt:lpstr>
      <vt:lpstr>Description of Monitoring Syst</vt:lpstr>
      <vt:lpstr>Description of Monitoring S 2</vt:lpstr>
      <vt:lpstr>Description of Monitoring S 3</vt:lpstr>
      <vt:lpstr>Description of Monitoring S 4</vt:lpstr>
      <vt:lpstr>Description of Monitoring S 5</vt:lpstr>
      <vt:lpstr>Description of Monitoring S 6</vt:lpstr>
      <vt:lpstr>SDG Co-Benefits</vt:lpstr>
      <vt:lpstr>Calculation of Emission Reduct</vt:lpstr>
      <vt:lpstr>Project Water Supply Premises</vt:lpstr>
      <vt:lpstr>Premises Water Usage Details -</vt:lpstr>
      <vt:lpstr>Quantity of water</vt:lpstr>
      <vt:lpstr>Emission by fuel</vt:lpstr>
      <vt:lpstr>Emission by Electricity</vt:lpstr>
      <vt:lpstr>Project Emission</vt:lpstr>
      <vt:lpstr>Leakage Emission</vt:lpstr>
      <vt:lpstr>Location Based Details</vt:lpstr>
      <vt:lpstr>Stove Details Unit Schema</vt:lpstr>
      <vt:lpstr>Scope (enum)</vt:lpstr>
      <vt:lpstr>Accreditation Scope (enum)</vt:lpstr>
      <vt:lpstr>Type of crediting perio (enum)</vt:lpstr>
      <vt:lpstr>Treatment Technology Su (enum)</vt:lpstr>
      <vt:lpstr>Project Status (enum)</vt:lpstr>
      <vt:lpstr>Project Scale (enum)</vt:lpstr>
      <vt:lpstr>Country 3 (enum)</vt:lpstr>
      <vt:lpstr>Yes or No (enum)</vt:lpstr>
      <vt:lpstr>Select the relevant SDG (enum)</vt:lpstr>
      <vt:lpstr>Treatment Technology Ca (enum)</vt:lpstr>
      <vt:lpstr>Relevant SDG (enum)</vt:lpstr>
      <vt:lpstr>Treatment Technology 2 (enum)</vt:lpstr>
      <vt:lpstr>Means of Verificatio 2 (enum)</vt:lpstr>
      <vt:lpstr>Select the SDG (enum)</vt:lpstr>
      <vt:lpstr>Type of crediting Pe 2 (enum)</vt:lpstr>
      <vt:lpstr>Entity Type (enum)</vt:lpstr>
      <vt:lpstr>Treatment Technology 3 (enum)</vt:lpstr>
      <vt:lpstr>UrbanRural Classificati (enum)</vt:lpstr>
      <vt:lpstr>Treatment Technology 4 (enum)</vt:lpstr>
      <vt:lpstr>Treatment Technology 5 (enum)</vt:lpstr>
      <vt:lpstr>Treatment Technology 6 (enum)</vt:lpstr>
      <vt:lpstr>Country 4 (enum)</vt:lpstr>
      <vt:lpstr>UrbanRural Classific 2 (enum)</vt:lpstr>
      <vt:lpstr>Treatment Technology 7 (enum)</vt:lpstr>
      <vt:lpstr>SDG Items (enum)</vt:lpstr>
      <vt:lpstr>Treatment Technology 8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2026-02-27T07:10:08Z</dcterms:created>
  <dcterms:modified xsi:type="dcterms:W3CDTF">2026-02-27T07:10:08Z</dcterms:modified>
</cp:coreProperties>
</file>