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S MERSDW Verification Report" state="visible" r:id="rId4"/>
    <sheet sheetId="2" name="GS MERSDW Activity Developer O" state="visible" r:id="rId5"/>
    <sheet sheetId="3" name="GS MERSDW Monitoring Report" state="visible" r:id="rId6"/>
    <sheet sheetId="4" name="GS MERSDW Validation Report" state="visible" r:id="rId7"/>
    <sheet sheetId="5" name="GS MERSDW Project Design Docum" state="visible" r:id="rId8"/>
    <sheet sheetId="6" name="GS MERSDW VVB Onboarding Schem" state="visible" r:id="rId9"/>
    <sheet sheetId="7" name="GS MERSDW Project Form" state="visible" r:id="rId10"/>
    <sheet sheetId="8" name="Data and Parameters to Be Moni" state="visible" r:id="rId11"/>
    <sheet sheetId="9" name="Stove Details Unit Schema" state="visible" r:id="rId12"/>
    <sheet sheetId="10" name="Country" state="visible" r:id="rId13"/>
    <sheet sheetId="11" name="Additional Information" state="visible" r:id="rId14"/>
    <sheet sheetId="12" name="Technology Eligibility Validat" state="visible" r:id="rId15"/>
    <sheet sheetId="13" name="Monitoring report Basic Inform" state="visible" r:id="rId16"/>
    <sheet sheetId="14" name="Basic Information" state="visible" r:id="rId17"/>
    <sheet sheetId="15" name="Baseline Scenario - Sources" state="visible" r:id="rId18"/>
    <sheet sheetId="16" name="Monitoring Data Management Sys" state="visible" r:id="rId19"/>
    <sheet sheetId="17" name="Verified Emissions" state="visible" r:id="rId20"/>
    <sheet sheetId="18" name="Project Resource" state="visible" r:id="rId21"/>
    <sheet sheetId="19" name="Project Crediting Period" state="visible" r:id="rId22"/>
    <sheet sheetId="20" name="Water Treatment Technology" state="visible" r:id="rId23"/>
    <sheet sheetId="21" name="Description of Monitoring Syst" state="visible" r:id="rId24"/>
    <sheet sheetId="22" name="Monitoring Verification" state="visible" r:id="rId25"/>
    <sheet sheetId="23" name="Baseline Water Sources" state="visible" r:id="rId26"/>
    <sheet sheetId="24" name="Implementation of Project Acti" state="visible" r:id="rId27"/>
    <sheet sheetId="25" name="Emission by fuel" state="visible" r:id="rId28"/>
    <sheet sheetId="26" name="Replacement Strategy Details" state="visible" r:id="rId29"/>
    <sheet sheetId="27" name="SDG Co-Benefits" state="visible" r:id="rId30"/>
    <sheet sheetId="28" name="Entity Information" state="visible" r:id="rId31"/>
    <sheet sheetId="29" name="Calculation of Emission Reduct" state="visible" r:id="rId32"/>
    <sheet sheetId="30" name="Baseline Emission" state="visible" r:id="rId33"/>
    <sheet sheetId="31" name="Reversal Occurred" state="visible" r:id="rId34"/>
    <sheet sheetId="32" name="Methodologies and Standardized" state="visible" r:id="rId35"/>
    <sheet sheetId="33" name="Project Crediting Period 2" state="visible" r:id="rId36"/>
    <sheet sheetId="34" name="Description of Monitoring S 2" state="visible" r:id="rId37"/>
    <sheet sheetId="35" name="Description of Monitoring S 3" state="visible" r:id="rId38"/>
    <sheet sheetId="36" name="Means of Verification" state="visible" r:id="rId39"/>
    <sheet sheetId="37" name="If the Project Installation is" state="visible" r:id="rId40"/>
    <sheet sheetId="38" name="Certification Statement" state="visible" r:id="rId41"/>
    <sheet sheetId="39" name="Project Related Information" state="visible" r:id="rId42"/>
    <sheet sheetId="40" name="Project Crediting Period Detai" state="visible" r:id="rId43"/>
    <sheet sheetId="41" name="Country 2" state="visible" r:id="rId44"/>
    <sheet sheetId="42" name="Activity Emission" state="visible" r:id="rId45"/>
    <sheet sheetId="43" name="Project Water Supply Premises" state="visible" r:id="rId46"/>
    <sheet sheetId="44" name="GHG Details" state="visible" r:id="rId47"/>
    <sheet sheetId="45" name="Sustainable Development Goals" state="visible" r:id="rId48"/>
    <sheet sheetId="46" name="Leakage Emissions - Sources" state="visible" r:id="rId49"/>
    <sheet sheetId="47" name="Treatment Technology Sub-type" state="visible" r:id="rId50"/>
    <sheet sheetId="48" name="Project Scenario - Sources" state="visible" r:id="rId51"/>
    <sheet sheetId="49" name="Upload Supporting Compliance D" state="visible" r:id="rId52"/>
    <sheet sheetId="50" name="Methodologies and Standardi 2" state="visible" r:id="rId53"/>
    <sheet sheetId="51" name="Monitoring Parameter - Item" state="visible" r:id="rId54"/>
    <sheet sheetId="52" name="Maintenance Plan for CWTCWS" state="visible" r:id="rId55"/>
    <sheet sheetId="53" name="Description of Monitoring S 4" state="visible" r:id="rId56"/>
    <sheet sheetId="54" name="Sustainable Development Goa 2" state="visible" r:id="rId57"/>
    <sheet sheetId="55" name="Project Location Details" state="visible" r:id="rId58"/>
    <sheet sheetId="56" name="Fraction of non-renewable biom" state="visible" r:id="rId59"/>
    <sheet sheetId="57" name="Estimated Net Emission Reducti" state="visible" r:id="rId60"/>
    <sheet sheetId="58" name="Treatment Technology Sub-ty 2" state="visible" r:id="rId61"/>
    <sheet sheetId="59" name="Contact Person Details" state="visible" r:id="rId62"/>
    <sheet sheetId="60" name="Description of Monitoring S 5" state="visible" r:id="rId63"/>
    <sheet sheetId="61" name="Meeting Methodological Princip" state="visible" r:id="rId64"/>
    <sheet sheetId="62" name="Contribution of the Project to" state="visible" r:id="rId65"/>
    <sheet sheetId="63" name="Basic Details" state="visible" r:id="rId66"/>
    <sheet sheetId="64" name="Sustainable Development Goa 3" state="visible" r:id="rId67"/>
    <sheet sheetId="65" name="Ex Ante Estimation of SDG Impa" state="visible" r:id="rId68"/>
    <sheet sheetId="66" name="Water Source Type Details" state="visible" r:id="rId69"/>
    <sheet sheetId="67" name="Location Based Details" state="visible" r:id="rId70"/>
    <sheet sheetId="68" name="Source" state="visible" r:id="rId71"/>
    <sheet sheetId="69" name="Project Location Details 2" state="visible" r:id="rId72"/>
    <sheet sheetId="70" name="Technology-Specific Details" state="visible" r:id="rId73"/>
    <sheet sheetId="71" name="Emission by Electricity" state="visible" r:id="rId74"/>
    <sheet sheetId="72" name="Data and parameters fixed ex a" state="visible" r:id="rId75"/>
    <sheet sheetId="73" name="Monitoring Plan Validation" state="visible" r:id="rId76"/>
    <sheet sheetId="74" name="Project Details - Project Name" state="visible" r:id="rId77"/>
    <sheet sheetId="75" name="Yes or no with comments" state="visible" r:id="rId78"/>
    <sheet sheetId="76" name="Baseline Treatment Method - Wr" state="visible" r:id="rId79"/>
    <sheet sheetId="77" name="Baseline Assessment Validation" state="visible" r:id="rId80"/>
    <sheet sheetId="78" name="Project Boundary and Additiona" state="visible" r:id="rId81"/>
    <sheet sheetId="79" name="Project Boundary Validation" state="visible" r:id="rId82"/>
    <sheet sheetId="80" name="Baseline Water Sources - Wrapp" state="visible" r:id="rId83"/>
    <sheet sheetId="81" name="Activity Developer Details" state="visible" r:id="rId84"/>
    <sheet sheetId="82" name="Project Participants" state="visible" r:id="rId85"/>
    <sheet sheetId="83" name="Monitoring Plan Summary" state="visible" r:id="rId86"/>
    <sheet sheetId="84" name="Description of Monitoring S 6" state="visible" r:id="rId87"/>
    <sheet sheetId="85" name="Additionality Validation" state="visible" r:id="rId88"/>
    <sheet sheetId="86" name="Activity Developer Details 2" state="visible" r:id="rId89"/>
    <sheet sheetId="87" name="Project Details" state="visible" r:id="rId90"/>
    <sheet sheetId="88" name="Baseline Treatment Method - It" state="visible" r:id="rId91"/>
    <sheet sheetId="89" name="Host Country Regulatory Framew" state="visible" r:id="rId92"/>
    <sheet sheetId="90" name="Treatment Technology Sub-ty 3" state="visible" r:id="rId93"/>
    <sheet sheetId="91" name="Suppressed Demand" state="visible" r:id="rId94"/>
    <sheet sheetId="92" name="Demonstration Additionality" state="visible" r:id="rId95"/>
    <sheet sheetId="93" name="Maintenance and Operation Plan" state="visible" r:id="rId96"/>
    <sheet sheetId="94" name="Hygiene Campaign Plan" state="visible" r:id="rId97"/>
    <sheet sheetId="95" name="Stove Details - Item" state="visible" r:id="rId98"/>
    <sheet sheetId="96" name="Stove Details - Wrapper" state="visible" r:id="rId99"/>
    <sheet sheetId="97" name="Unadjusted Quantity of Safe Dr" state="visible" r:id="rId100"/>
    <sheet sheetId="98" name="Project Water Supply Premis 2" state="visible" r:id="rId101"/>
    <sheet sheetId="99" name="Project Water Supply Premis 3" state="visible" r:id="rId102"/>
    <sheet sheetId="100" name="Project Water Supply Premis 4" state="visible" r:id="rId103"/>
    <sheet sheetId="101" name="Unadjusted Quantity of Safe 2" state="visible" r:id="rId104"/>
    <sheet sheetId="102" name="Unadjusted Quantity of Safe 3" state="visible" r:id="rId105"/>
    <sheet sheetId="103" name="Unadjusted Baseline Emission" state="visible" r:id="rId106"/>
    <sheet sheetId="104" name="Adjustment for behavior and Co" state="visible" r:id="rId107"/>
    <sheet sheetId="105" name="Adjusted quantity of safe drin" state="visible" r:id="rId108"/>
    <sheet sheetId="106" name="Adjusted quantity of safe d 2" state="visible" r:id="rId109"/>
    <sheet sheetId="107" name="Adjustment for ambition" state="visible" r:id="rId110"/>
    <sheet sheetId="108" name="Embodied Emissions" state="visible" r:id="rId111"/>
    <sheet sheetId="109" name="Deductions for Embodied Emissi" state="visible" r:id="rId112"/>
    <sheet sheetId="110" name="Market and Behavioral Leakage" state="visible" r:id="rId113"/>
    <sheet sheetId="111" name="Option 1 – Default 2% deductio" state="visible" r:id="rId114"/>
    <sheet sheetId="112" name="Option 3 - Detailed assessment" state="visible" r:id="rId115"/>
    <sheet sheetId="113" name="Leakage Emission Source Detail" state="visible" r:id="rId116"/>
    <sheet sheetId="114" name="Leakage Emission Calculation" state="visible" r:id="rId117"/>
    <sheet sheetId="115" name="Baseline Treatment Method - 2" state="visible" r:id="rId118"/>
    <sheet sheetId="116" name="Water Source Details Percentag" state="visible" r:id="rId119"/>
    <sheet sheetId="117" name="Stove Details - Item with Loca" state="visible" r:id="rId120"/>
    <sheet sheetId="118" name="SDG Co-Benefits - Wrapper" state="visible" r:id="rId121"/>
    <sheet sheetId="119" name="Data and Parameters to Be M 2" state="visible" r:id="rId122"/>
    <sheet sheetId="120" name="Duration" state="visible" r:id="rId123"/>
    <sheet sheetId="121" name="Monitoring Period" state="visible" r:id="rId124"/>
    <sheet sheetId="122" name="Enums" state="visible" r:id="rId125"/>
  </sheets>
  <calcPr calcId="171027"/>
</workbook>
</file>

<file path=xl/sharedStrings.xml><?xml version="1.0" encoding="utf-8"?>
<sst xmlns="http://schemas.openxmlformats.org/spreadsheetml/2006/main" count="24530" uniqueCount="2109">
  <si>
    <t>GS MERSDW Verification Report</t>
  </si>
  <si>
    <t>Schema Description</t>
  </si>
  <si>
    <t/>
  </si>
  <si>
    <t>Schema Type</t>
  </si>
  <si>
    <t>Verifiable Credentials</t>
  </si>
  <si>
    <t>Required Field</t>
  </si>
  <si>
    <t>Field Type</t>
  </si>
  <si>
    <t>Parameter</t>
  </si>
  <si>
    <t>Visibility</t>
  </si>
  <si>
    <t>Description</t>
  </si>
  <si>
    <t>Allow Multiple Answers</t>
  </si>
  <si>
    <t>Test Value</t>
  </si>
  <si>
    <t>Default Value</t>
  </si>
  <si>
    <t>Suggest Value</t>
  </si>
  <si>
    <t>Key</t>
  </si>
  <si>
    <t>Yes</t>
  </si>
  <si>
    <t>Basic Details</t>
  </si>
  <si>
    <t>No</t>
  </si>
  <si>
    <t>{"project_name":"example","lead_verifier_name":"example","monitoring_period":"2026-01-29","date_of_verification_completion":"2026-01-31","version":"1"}</t>
  </si>
  <si>
    <t>project_details</t>
  </si>
  <si>
    <t>String</t>
  </si>
  <si>
    <t>Project Name</t>
  </si>
  <si>
    <t>example</t>
  </si>
  <si>
    <t>project_name</t>
  </si>
  <si>
    <t>Lead Verifier Name</t>
  </si>
  <si>
    <t>lead_verifier_name</t>
  </si>
  <si>
    <t>Date</t>
  </si>
  <si>
    <t>Date of Verification Completion</t>
  </si>
  <si>
    <t>2025-01-15</t>
  </si>
  <si>
    <t>date_of_verification_completion</t>
  </si>
  <si>
    <t>Version</t>
  </si>
  <si>
    <t>version</t>
  </si>
  <si>
    <t>Monitoring Period</t>
  </si>
  <si>
    <t>monitoring_period</t>
  </si>
  <si>
    <t>Duration</t>
  </si>
  <si>
    <t>monitoring_period_duration</t>
  </si>
  <si>
    <t>From</t>
  </si>
  <si>
    <t>2000-01-01</t>
  </si>
  <si>
    <t>duration_from</t>
  </si>
  <si>
    <t>To</t>
  </si>
  <si>
    <t>duration_to</t>
  </si>
  <si>
    <t>Means of Verification</t>
  </si>
  <si>
    <t>{"means_of_verification":["Desk Review","Sampling Assessment"],"field_visit_conducted":true,"field_visit_date":"2026-01-29","households_sampled":1,"institutions_sampled":1,"sampling_validation":"example"}</t>
  </si>
  <si>
    <t>means_of_verification</t>
  </si>
  <si>
    <t>Enum</t>
  </si>
  <si>
    <t>Means of Verification (1)</t>
  </si>
  <si>
    <t>Desk Review,Field Visit</t>
  </si>
  <si>
    <t>Boolean</t>
  </si>
  <si>
    <t>Field Visit Conducted</t>
  </si>
  <si>
    <t>field_visit_conducted</t>
  </si>
  <si>
    <t>Field Visit Date</t>
  </si>
  <si>
    <t>2024-08-12</t>
  </si>
  <si>
    <t>field_visit_date</t>
  </si>
  <si>
    <t>Number</t>
  </si>
  <si>
    <t>Households sampled</t>
  </si>
  <si>
    <t>households_sampled</t>
  </si>
  <si>
    <t>Institutions sampled</t>
  </si>
  <si>
    <t>institutions_sampled</t>
  </si>
  <si>
    <t>Sampling Validation</t>
  </si>
  <si>
    <t>90/10 precision achieved</t>
  </si>
  <si>
    <t>sampling_validation</t>
  </si>
  <si>
    <t>Monitoring Verification</t>
  </si>
  <si>
    <t>{"pd_reported_usage_rate":1,"verified_usage_rate":1,"microbial_indicator_tested":"example","point_of_testing":"example","proportion_meeting_standard":1,"comments":"example"}</t>
  </si>
  <si>
    <t>monitoring_verification</t>
  </si>
  <si>
    <t>PD Reported Usage Rate</t>
  </si>
  <si>
    <t>pd_reported_usage_rate</t>
  </si>
  <si>
    <t>Verified Usage Rate</t>
  </si>
  <si>
    <t>verified_usage_rate</t>
  </si>
  <si>
    <t>Microbial Indicator Tested</t>
  </si>
  <si>
    <t>E.coli</t>
  </si>
  <si>
    <t>microbial_indicator_tested</t>
  </si>
  <si>
    <t>Point of Testing</t>
  </si>
  <si>
    <t>Water outlet</t>
  </si>
  <si>
    <t>point_of_testing</t>
  </si>
  <si>
    <t>Proportion Meeting Standard</t>
  </si>
  <si>
    <t>proportion_meeting_standard</t>
  </si>
  <si>
    <t>Comments</t>
  </si>
  <si>
    <t>Overall microbial levels improved significantly.</t>
  </si>
  <si>
    <t>comments</t>
  </si>
  <si>
    <t>Verified Emissions</t>
  </si>
  <si>
    <t>{"baseline_emissions_bey":10,"project_emissions_pey":1,"leakage_emissions_ley":1,"certified_amount_of_vers":null,"adjustments_due_to_materiality":1,"final_issuable_vers":1,"car_issued":true,"car_description":"example","far_issued":true,"far_description":"example","field0":{"statement_by_vvb":"example","statement_of_independence":"example","date_of_certification":"2026-01-29"}}</t>
  </si>
  <si>
    <t>verified_emissions</t>
  </si>
  <si>
    <t xml:space="preserve">Baseline Emissions (tCO2e) </t>
  </si>
  <si>
    <t>baseline_emissions_bey</t>
  </si>
  <si>
    <t>Project Emissions (tCO2e)</t>
  </si>
  <si>
    <t>project_emissions_pey</t>
  </si>
  <si>
    <t>Leakage Emissions (tCO2e)</t>
  </si>
  <si>
    <t>leakage_emissions_ley</t>
  </si>
  <si>
    <t>Certified Amount of VERs (This field will be calculated automatically after submission)</t>
  </si>
  <si>
    <t>ERy = BEy − PEy − LEy</t>
  </si>
  <si>
    <t>certified_amount_of_vers</t>
  </si>
  <si>
    <t>Adjustments due to Materiality</t>
  </si>
  <si>
    <t>adjustments_due_to_materiality</t>
  </si>
  <si>
    <t>Final Issuable VERs (This field will be calculated automatically after submission)</t>
  </si>
  <si>
    <t>final_issuable_vers</t>
  </si>
  <si>
    <t>CAR Issued</t>
  </si>
  <si>
    <t>car_issued</t>
  </si>
  <si>
    <t>CAR Description</t>
  </si>
  <si>
    <t>car_description</t>
  </si>
  <si>
    <t>FAR Issued</t>
  </si>
  <si>
    <t>far_issued</t>
  </si>
  <si>
    <t>FAR Description</t>
  </si>
  <si>
    <t>far_description</t>
  </si>
  <si>
    <t>Certification Statement</t>
  </si>
  <si>
    <t>field0</t>
  </si>
  <si>
    <t>Statement by VVB</t>
  </si>
  <si>
    <t>statement_by_vvb</t>
  </si>
  <si>
    <t>Statement of Independence</t>
  </si>
  <si>
    <t>statement_of_independence</t>
  </si>
  <si>
    <t>Date of Certification</t>
  </si>
  <si>
    <t>date_of_certification</t>
  </si>
  <si>
    <t>Monitoring Report ID (auto-generated by the system — no user input required)</t>
  </si>
  <si>
    <t>monitoring_report_id</t>
  </si>
  <si>
    <t>Reversal Occurred</t>
  </si>
  <si>
    <t>Reversals</t>
  </si>
  <si>
    <t>{"reversal_reason":"example","monitoring_period":"example","affected_technology":"example","corrective_action":"example","emission_reduction_adjustment":1,"supporting_document":null}</t>
  </si>
  <si>
    <t>reversals</t>
  </si>
  <si>
    <t>Reversal Reason</t>
  </si>
  <si>
    <t>reversal_reason</t>
  </si>
  <si>
    <t>Affected Technology</t>
  </si>
  <si>
    <t>affected_technology</t>
  </si>
  <si>
    <t>Corrective Action</t>
  </si>
  <si>
    <t>corrective_action</t>
  </si>
  <si>
    <t>Emission Reduction Adjustment</t>
  </si>
  <si>
    <t>emission_reduction_adjustment</t>
  </si>
  <si>
    <t>File</t>
  </si>
  <si>
    <t>Supporting Document</t>
  </si>
  <si>
    <t>ipfs://eb3acc93ff11a3f7e5fea203c04f8362</t>
  </si>
  <si>
    <t>supporting_document</t>
  </si>
  <si>
    <t>GS MERSDW Activity Developer Onboarding Schema</t>
  </si>
  <si>
    <t>Entity Information</t>
  </si>
  <si>
    <t>{"entity_name":"example pd","entity_type":"Private Company","entity_address":"example ","website":"www.example.example"}</t>
  </si>
  <si>
    <t>entityInformation</t>
  </si>
  <si>
    <t>Pattern</t>
  </si>
  <si>
    <t>^[A-Za-z0-9 .,\-]{1,150}$</t>
  </si>
  <si>
    <t>Entity Name</t>
  </si>
  <si>
    <t>0a82266de25c5625fe960694de8bd374</t>
  </si>
  <si>
    <t>entity_name</t>
  </si>
  <si>
    <t>Entity Type (1)</t>
  </si>
  <si>
    <t>Entity Type</t>
  </si>
  <si>
    <t>Private Company</t>
  </si>
  <si>
    <t>entity_type</t>
  </si>
  <si>
    <t>^.{1,200}$</t>
  </si>
  <si>
    <t>Entity Address</t>
  </si>
  <si>
    <t>36536f6f088a0d471794308019671a23</t>
  </si>
  <si>
    <t>entity_address</t>
  </si>
  <si>
    <t>^(https?:\/\/)?(www\.)?[A-Za-z0-9.-]+\.[A-Za-z]{2,}([\/?#][^\s]*)?$</t>
  </si>
  <si>
    <t>Website</t>
  </si>
  <si>
    <t>3038af1beb7edf86780ec12766937e45</t>
  </si>
  <si>
    <t>website</t>
  </si>
  <si>
    <t>Contact Person Details</t>
  </si>
  <si>
    <t>{"full_name":"example","designation":"example","official_email_address":"example@example.example","phone_number":"+11111111"}</t>
  </si>
  <si>
    <t>contactPersonDetails</t>
  </si>
  <si>
    <t>^[A-Za-z ]{3,100}$</t>
  </si>
  <si>
    <t>Full Name</t>
  </si>
  <si>
    <t>bec73af52660e070f950605ff989d123</t>
  </si>
  <si>
    <t>full_name</t>
  </si>
  <si>
    <t>Designation</t>
  </si>
  <si>
    <t>0d56055942340acfc2f432cc4088e583</t>
  </si>
  <si>
    <t>designation</t>
  </si>
  <si>
    <t>Email</t>
  </si>
  <si>
    <t>Official Email Address</t>
  </si>
  <si>
    <t>example@email.com</t>
  </si>
  <si>
    <t>official_email_address</t>
  </si>
  <si>
    <t>^\+?[1-9]\d{7,14}$</t>
  </si>
  <si>
    <t>Phone Number</t>
  </si>
  <si>
    <t>79459013e5b993e0a6ebd3616866a948</t>
  </si>
  <si>
    <t>phone_number</t>
  </si>
  <si>
    <t>Project Related Information</t>
  </si>
  <si>
    <t>{"project_name":"example","project_type":"example"}</t>
  </si>
  <si>
    <t>projectInformation</t>
  </si>
  <si>
    <t>29bd99dc853e69d4d1597e85dc959ab8</t>
  </si>
  <si>
    <t>Project Type</t>
  </si>
  <si>
    <t>a4d325c7bb43ad37840c8ae4f03adb45</t>
  </si>
  <si>
    <t>project_type</t>
  </si>
  <si>
    <t>Additional Information</t>
  </si>
  <si>
    <t>{"additional_documents":["ipfs://&lt;example&gt;"]}</t>
  </si>
  <si>
    <t>additionalInformation</t>
  </si>
  <si>
    <t>Additional Documents (PDF only, max 20 MB)</t>
  </si>
  <si>
    <t>ipfs://3039f923a9e891c92a5b179963d4cb2d</t>
  </si>
  <si>
    <t>additional_documents</t>
  </si>
  <si>
    <t>GS MERSDW Monitoring Report</t>
  </si>
  <si>
    <t>Project ID</t>
  </si>
  <si>
    <t>projectId</t>
  </si>
  <si>
    <t>Project Details - Project Name</t>
  </si>
  <si>
    <t>Project Details</t>
  </si>
  <si>
    <t>{"project_name":"example"}</t>
  </si>
  <si>
    <t>^[A-Za-z0-9][A-Za-z0-9 _-]{1,99}$</t>
  </si>
  <si>
    <t>44bfff64344a340423dd2c7371a1c8bc</t>
  </si>
  <si>
    <t>Monitoring report Basic Inform</t>
  </si>
  <si>
    <t>Basic Information</t>
  </si>
  <si>
    <t>{"field0":"1","monitoring_report_version":1,"monitoring_period_duration":"2026-01-29","monitoring_report_number":1,"host_party":"example","ghg_reductions_achieved":"example","projected_ghg_reduction":"example"}</t>
  </si>
  <si>
    <t>basic_info</t>
  </si>
  <si>
    <t>Version number of the PDD</t>
  </si>
  <si>
    <t>Integer</t>
  </si>
  <si>
    <t>Version number of this monitoring report</t>
  </si>
  <si>
    <t>monitoring_report_version</t>
  </si>
  <si>
    <t>Duration of this monitoring period</t>
  </si>
  <si>
    <t>Monitoring report number for this monitoring period</t>
  </si>
  <si>
    <t>monitoring_report_number</t>
  </si>
  <si>
    <t>Host Party</t>
  </si>
  <si>
    <t>host_party</t>
  </si>
  <si>
    <t>GHG reductions achieved during the monitoring period</t>
  </si>
  <si>
    <t>ghg_reductions_achieved</t>
  </si>
  <si>
    <t>Projected GHG Reduction</t>
  </si>
  <si>
    <t>projected_ghg_reduction</t>
  </si>
  <si>
    <t>Activity Developer Details 2</t>
  </si>
  <si>
    <t>Activity Developer Details</t>
  </si>
  <si>
    <t>{"pd_entity_name":"example","pd_email_address":"example@example.example","contact_full_name":"example example","phone_primary":"+1111111111","phone_secondary":"+1111111111","physical_address":"example","website":"example.example.example","years_of_experience":1}</t>
  </si>
  <si>
    <t>developer_details</t>
  </si>
  <si>
    <t>pd_entity_name</t>
  </si>
  <si>
    <t>Email Address</t>
  </si>
  <si>
    <t>pd_email_address</t>
  </si>
  <si>
    <t>Contact Person Full Name</t>
  </si>
  <si>
    <t>contact_full_name</t>
  </si>
  <si>
    <t>^\+?[0-9]\d{7,14}$</t>
  </si>
  <si>
    <t>Phone Number (Primary)</t>
  </si>
  <si>
    <t>9de9d26cc9d58b4aa37e113484d673b8</t>
  </si>
  <si>
    <t>phone_primary</t>
  </si>
  <si>
    <t>Phone Number (Secondary)</t>
  </si>
  <si>
    <t>9d0f08bc44daa0ee8a77b6b7d4670a4b</t>
  </si>
  <si>
    <t>phone_secondary</t>
  </si>
  <si>
    <t>Physical Address</t>
  </si>
  <si>
    <t>physical_address</t>
  </si>
  <si>
    <t>65732d23e8a15f00d3247d0fb23902d5</t>
  </si>
  <si>
    <t>Years of Experience</t>
  </si>
  <si>
    <t>years_of_experience</t>
  </si>
  <si>
    <t>Water Treatment Technology</t>
  </si>
  <si>
    <t>{"treatment_technology_category":"CWT, CWS","hwt_manufacturer_name":"example","hwt_model_product_name":"example","hwt_who_performance_classification":"example","hwt_expected_technical_life":"example","hwt_filter_life":1,"hwt_treatment_capacity":"example","hwt_number_of_households_equipped":1,"hwt_household_size":1,"hwt_required_dosage":"1","cwt_manufacturer_name":"example","cwt_product_name":"example","cwt_daily_maximum_output":"example","cwt_number_of_eligible_households":1,"cwt_average_distance_to_water_point":1,"cwt_who_performance_classification":"example","cwt_expected_technical_life":"example","cwt_pump_type":"example","cwt_backup_engine_installed":true,"cwt_power_source_details":"example","cwt_maintenance_and_repair_plan":"example","cwt_initial_water_quality_report":"ipfs://&lt;example&gt;","proposed_technology_description":"example","cwt_treatment_subtype":{"treatment_subtype_cwt_cws":"Borehole with Distribution"},"project_rehabilitation":{"is_rehabilitation":false}}</t>
  </si>
  <si>
    <t>water_treatment_technology</t>
  </si>
  <si>
    <t>Treatment Technology Sub-ty 3</t>
  </si>
  <si>
    <t>Treatment Technology Category</t>
  </si>
  <si>
    <t>treatment_technology_category</t>
  </si>
  <si>
    <t>Treatment Technology Category (13)</t>
  </si>
  <si>
    <t>HWT, IWT, CWT</t>
  </si>
  <si>
    <t>Treatment Technology Sub-type</t>
  </si>
  <si>
    <t>hwt_treatment_technology_sub-type</t>
  </si>
  <si>
    <t>Treatment Technology Sub-type (12)</t>
  </si>
  <si>
    <t>Ceramic Water Filters</t>
  </si>
  <si>
    <t>treatment_subtype_hwt_iwt_cwt</t>
  </si>
  <si>
    <t>Treatment Technology Sub-type (Other)</t>
  </si>
  <si>
    <t>treatment_technology_sub-type_other</t>
  </si>
  <si>
    <t>Treatment Technology Sub-ty 2</t>
  </si>
  <si>
    <t>cws_treatment_technology_sub-type</t>
  </si>
  <si>
    <t>Treatment Technology Sub-type (13)</t>
  </si>
  <si>
    <t>Borehole Hand Pumps</t>
  </si>
  <si>
    <t>treatment_subtype_cws</t>
  </si>
  <si>
    <t>Description of Proposed Technology</t>
  </si>
  <si>
    <t>proposed_technology_description</t>
  </si>
  <si>
    <t>Project Category (4)</t>
  </si>
  <si>
    <t>Project Category</t>
  </si>
  <si>
    <t>CWT, CWS</t>
  </si>
  <si>
    <t>project_category</t>
  </si>
  <si>
    <t>Initial Water Quality Report</t>
  </si>
  <si>
    <t>ipfs://fcd10a6f67cb85abcde0f9ca53fccc7c</t>
  </si>
  <si>
    <t>cwt_initial_water_quality_report</t>
  </si>
  <si>
    <t>^[A-Za-z0-9 ]{2,200}$</t>
  </si>
  <si>
    <t>Maintenance &amp; Repair Plan</t>
  </si>
  <si>
    <t>f76a09f069729ea4c23d29a184c00d8a</t>
  </si>
  <si>
    <t>cwt_maintenance_and_repair_plan</t>
  </si>
  <si>
    <t>Power Source Details</t>
  </si>
  <si>
    <t>93c97cb5c1991067b0ddb6d7fbfef9ff</t>
  </si>
  <si>
    <t>cwt_power_source_details</t>
  </si>
  <si>
    <t>Backup Engine Installed?</t>
  </si>
  <si>
    <t>cwt_backup_engine_installed</t>
  </si>
  <si>
    <t>Pump Type</t>
  </si>
  <si>
    <t>eb8bdcfdd966cdc681cc531ec5e67ac4</t>
  </si>
  <si>
    <t>cwt_pump_type</t>
  </si>
  <si>
    <t>^[A-Za-z0-9 ]{2,50}$</t>
  </si>
  <si>
    <t>Expected Technical Life</t>
  </si>
  <si>
    <t>15aebc8f6df45ff4e8a75a3673e8bc58</t>
  </si>
  <si>
    <t>cwt_expected_technical_life</t>
  </si>
  <si>
    <t>WHO Performance Classification</t>
  </si>
  <si>
    <t>0b0015f106f55a154c46bd0d74ab5c85</t>
  </si>
  <si>
    <t>cwt_who_performance_classification</t>
  </si>
  <si>
    <t>Round Trip Collection Time (minutes)</t>
  </si>
  <si>
    <t>cwt_round_trip_collection_time</t>
  </si>
  <si>
    <t>Average Distance to Water Point (m)</t>
  </si>
  <si>
    <t>cwt_average_distance_to_water_point</t>
  </si>
  <si>
    <t>Number of Eligible Households</t>
  </si>
  <si>
    <t>cwt_number_of_eligible_households</t>
  </si>
  <si>
    <t>^[A-Za-z0-9 ]{2,100}$</t>
  </si>
  <si>
    <t>Daily Maximum Output (L/day)</t>
  </si>
  <si>
    <t>e6945b118eb1fb952ab11f46943f12a9</t>
  </si>
  <si>
    <t>cwt_daily_maximum_output</t>
  </si>
  <si>
    <t>Product Name (If Applicable)</t>
  </si>
  <si>
    <t>f4e180d5f8d909643cad56fba6958533</t>
  </si>
  <si>
    <t>cwt_product_name</t>
  </si>
  <si>
    <t>Manufacturer Name</t>
  </si>
  <si>
    <t>Alan</t>
  </si>
  <si>
    <t>cwt_manufacturer_name</t>
  </si>
  <si>
    <t>If the Project Installation is</t>
  </si>
  <si>
    <t>Project Rehabilitation</t>
  </si>
  <si>
    <t>project_rehabilitation</t>
  </si>
  <si>
    <t>Is the Project Installation a Rehabilitation?</t>
  </si>
  <si>
    <t>is_rehabilitation</t>
  </si>
  <si>
    <t>Original installation date</t>
  </si>
  <si>
    <t>original_installation_date</t>
  </si>
  <si>
    <t>^[A-Za-z0-9 ,.!?()_\-/&amp;@#+%$'*":;=\\[\]{}|]*$</t>
  </si>
  <si>
    <t>Rehabilitation details (parts replaced, specifications)</t>
  </si>
  <si>
    <t>d7f98c774c6bcdb802e11689e582f8d5</t>
  </si>
  <si>
    <t>rehabilitation_details</t>
  </si>
  <si>
    <t>Rehabilitation date</t>
  </si>
  <si>
    <t>rehabilitation_date</t>
  </si>
  <si>
    <t>Maintenance and Repair Plan (PDF Only)</t>
  </si>
  <si>
    <t>ipfs://0f20ee73e730db6a279539375bdd3c37</t>
  </si>
  <si>
    <t>maintenance_repair_plan</t>
  </si>
  <si>
    <t>Evidence of non-operational period (minimum 3 months) (PDF Only)</t>
  </si>
  <si>
    <t>ipfs://09431ede30becd08801c91fb5b003f32</t>
  </si>
  <si>
    <t>non_operational_evidence</t>
  </si>
  <si>
    <t>ipfs://a71b38e8926d2f37090aea0e92a6bfe4</t>
  </si>
  <si>
    <t>hwt_initial_water_quality_report</t>
  </si>
  <si>
    <t>Energy Source Details</t>
  </si>
  <si>
    <t>52084848f76d9147ac43746bc0e60281</t>
  </si>
  <si>
    <t>hwt_energy_source_details</t>
  </si>
  <si>
    <t>Required dosage (If chlorine tablets)</t>
  </si>
  <si>
    <t>8883b32ea2d3981016196e237fc681a1</t>
  </si>
  <si>
    <t>hwt_required_dosage</t>
  </si>
  <si>
    <t>Treatment Capacity</t>
  </si>
  <si>
    <t>ba31618c5daff47352b250b0179cc7bb</t>
  </si>
  <si>
    <t>hwt_treatment_capacity</t>
  </si>
  <si>
    <t>Filter life</t>
  </si>
  <si>
    <t>hwt_filter_life</t>
  </si>
  <si>
    <t>9e411abcc0445cdd3ba42fc37b02527b</t>
  </si>
  <si>
    <t>hwt_expected_technical_life</t>
  </si>
  <si>
    <t>9218d89d8c18d06747f365a993e23891</t>
  </si>
  <si>
    <t>hwt_who_performance_classification</t>
  </si>
  <si>
    <t>Model / Product Name</t>
  </si>
  <si>
    <t>80440b1226678ab84833ba640b92b206</t>
  </si>
  <si>
    <t>hwt_model_product_name</t>
  </si>
  <si>
    <t>b971908ab7431ba8f94c637ff25d8d7b</t>
  </si>
  <si>
    <t>hwt_manufacturer_name</t>
  </si>
  <si>
    <t>Project Location Details 2</t>
  </si>
  <si>
    <t>Project Location Details</t>
  </si>
  <si>
    <t>{"country":{"country":"Afghanistan"},"state_region_province":"example","city_village":"example","postal_code":"example","urban_rural_classification":"Urban","project_location":{"type":"Point","coordinates":[-106.16242595704581,-11.095651984893308]},"gps_latitude":"1","gps_longitude":"1"}</t>
  </si>
  <si>
    <t>project_location</t>
  </si>
  <si>
    <t>Country 2</t>
  </si>
  <si>
    <t>Country</t>
  </si>
  <si>
    <t>country</t>
  </si>
  <si>
    <t>Country (8)</t>
  </si>
  <si>
    <t>Sri Lanka</t>
  </si>
  <si>
    <t>^[A-Za-z0-9](?:[A-Za-z0-9 -]{0,98}[A-Za-z0-9])$</t>
  </si>
  <si>
    <t>State, Region/Province</t>
  </si>
  <si>
    <t>3bf7aacce2d7ac45f5119cead1d79746</t>
  </si>
  <si>
    <t>state_region_province</t>
  </si>
  <si>
    <t>City/Village</t>
  </si>
  <si>
    <t>ca962573b1142710de1c63888f32d646</t>
  </si>
  <si>
    <t>city_village</t>
  </si>
  <si>
    <t>^[A-Za-z0-9 ]{3,10}$</t>
  </si>
  <si>
    <t>Postal Code</t>
  </si>
  <si>
    <t>9d8bedbd2e7596f17cc16b2988d96a17</t>
  </si>
  <si>
    <t>postal_code</t>
  </si>
  <si>
    <t>Map Selection (5)</t>
  </si>
  <si>
    <t>Map Selection</t>
  </si>
  <si>
    <t>Urban</t>
  </si>
  <si>
    <t>map_selection</t>
  </si>
  <si>
    <t>GeoJSON</t>
  </si>
  <si>
    <t>Project Location</t>
  </si>
  <si>
    <t>^[-+]?([0-8]?\d(\.\d+)?|90(\.0+)?)$</t>
  </si>
  <si>
    <t>GPS Latitude</t>
  </si>
  <si>
    <t>ad0bc611a2a0da0caebf80ac380c0b29</t>
  </si>
  <si>
    <t>gps_latitude</t>
  </si>
  <si>
    <t>^[-+]?(1[0-7]\d(\.\d+)?|[0-9]?\d(\.\d+)?|180(\.0+)?)$</t>
  </si>
  <si>
    <t>GPS Longitude</t>
  </si>
  <si>
    <t>e27acb493c6ba66fc67b1c720938bc4e</t>
  </si>
  <si>
    <t>gps_longitude</t>
  </si>
  <si>
    <t>Project Participants</t>
  </si>
  <si>
    <t>{"parties_and_project_participants":"example","methodologies_and_standardized_baselines_references":"example","crediting_period_type":"example","crediting_period_duration":"2026-01-30"}</t>
  </si>
  <si>
    <t>project_participants</t>
  </si>
  <si>
    <t>Parties and project participants</t>
  </si>
  <si>
    <t>parties_and_project_participants</t>
  </si>
  <si>
    <t>References to applied methodologies and standardized baselines</t>
  </si>
  <si>
    <t>methodologies_and_standardized_baselines_references</t>
  </si>
  <si>
    <t>Crediting period type</t>
  </si>
  <si>
    <t>crediting_period_type</t>
  </si>
  <si>
    <t>Crediting period duration</t>
  </si>
  <si>
    <t>crediting_period_duration</t>
  </si>
  <si>
    <t>Implementation of Project Acti</t>
  </si>
  <si>
    <t>Implementation of Project Activity</t>
  </si>
  <si>
    <t>{"implemented_project_activity_description":"example","post_registration_changes":"example","temporary_deviations":"example","corrections":"example"}</t>
  </si>
  <si>
    <t>project_implementation</t>
  </si>
  <si>
    <t>Description of implemented project activity</t>
  </si>
  <si>
    <t>implemented_project_activity_description</t>
  </si>
  <si>
    <t>Post-registration changes</t>
  </si>
  <si>
    <t>post_registration_changes</t>
  </si>
  <si>
    <t>Temporary deviations from the registered monitoring plan, applied methodologies, standardized baselines or other methodological regulatory documents</t>
  </si>
  <si>
    <t>temporary_deviations</t>
  </si>
  <si>
    <t>Corrections</t>
  </si>
  <si>
    <t>corrections</t>
  </si>
  <si>
    <t>Description of Monitoring S 2</t>
  </si>
  <si>
    <t>Description of Monitoring System</t>
  </si>
  <si>
    <t>{"field0":"example","field7":null,"field1":[{"sample_date":"2026-01-30","sample_point":"example","premises_type":"example","laboratory":"example","testing_method":"example","ecoli_cfu_result":"example","cumulative_pass_rate":"12.9","compliance_with_threshold":1,"non_compliance_reason":"example","upload_related_documents":"ipfs://&lt;example&gt;"}],"treatment_technology_category":"CWT, CWS","field4":{"monitored_volume":1,"premises_count_per_system":1,"household_size":1,"per_capita_consumption":1,"operational_days":1},"field2":{"device_presences":false,"devices_per_premises":"example","usage_rate":"34","capacity":"example","water_consumption_value":"example"},"field6":[]}</t>
  </si>
  <si>
    <t>monitoring_system</t>
  </si>
  <si>
    <t>Description of monitoring system</t>
  </si>
  <si>
    <t>Help Text</t>
  </si>
  <si>
    <t>{"color":"#000000","size":"18px"}</t>
  </si>
  <si>
    <t>Add Sample(s)</t>
  </si>
  <si>
    <t>field7</t>
  </si>
  <si>
    <t>Description of Monitoring S 6</t>
  </si>
  <si>
    <t>Water Quality Monitoring</t>
  </si>
  <si>
    <t>field1</t>
  </si>
  <si>
    <t>Sample Date</t>
  </si>
  <si>
    <t>sample_date</t>
  </si>
  <si>
    <t>Sample point</t>
  </si>
  <si>
    <t>sample_point</t>
  </si>
  <si>
    <t>Premises type</t>
  </si>
  <si>
    <t>premises_type</t>
  </si>
  <si>
    <t>Laboratory</t>
  </si>
  <si>
    <t>laboratory</t>
  </si>
  <si>
    <t>Testing Method</t>
  </si>
  <si>
    <t>testing_method</t>
  </si>
  <si>
    <t>E.Coli CFU result</t>
  </si>
  <si>
    <t>ecoli_cfu_result</t>
  </si>
  <si>
    <t>^(100(\.0+)?|[0-9]{1,2}(\.[0-9]+)?)$</t>
  </si>
  <si>
    <t>Cumulative pass rate (%)</t>
  </si>
  <si>
    <t>efd0f6356681c3af0f57735673e35c82</t>
  </si>
  <si>
    <t>cumulative_pass_rate</t>
  </si>
  <si>
    <t>Compliance with threshold</t>
  </si>
  <si>
    <t>compliance_with_threshold</t>
  </si>
  <si>
    <t>If the compliance is failed, provide reasons</t>
  </si>
  <si>
    <t>non_compliance_reason</t>
  </si>
  <si>
    <t>Upload Related Documents</t>
  </si>
  <si>
    <t>ipfs://9bce6cdddbe3de6406c2fb733c9a1d20</t>
  </si>
  <si>
    <t>upload_related_documents</t>
  </si>
  <si>
    <t>Treatment Technology Category (10)</t>
  </si>
  <si>
    <t>Description of Monitoring Syst</t>
  </si>
  <si>
    <t>Hygiene Campaign Monitoring</t>
  </si>
  <si>
    <t>field6</t>
  </si>
  <si>
    <t>Campaign date</t>
  </si>
  <si>
    <t>campaign_date</t>
  </si>
  <si>
    <t>Participants</t>
  </si>
  <si>
    <t>participants</t>
  </si>
  <si>
    <t>Location</t>
  </si>
  <si>
    <t>location</t>
  </si>
  <si>
    <t>Photos (upload)</t>
  </si>
  <si>
    <t>ipfs://1cc62489f2ba61fbb3d0bd7088168564</t>
  </si>
  <si>
    <t>photos_upload</t>
  </si>
  <si>
    <t>Description of Monitoring S 5</t>
  </si>
  <si>
    <t>HWT/IWT</t>
  </si>
  <si>
    <t>field2</t>
  </si>
  <si>
    <t>Device presences</t>
  </si>
  <si>
    <t>device_presences</t>
  </si>
  <si>
    <t>Devices per premises</t>
  </si>
  <si>
    <t>devices_per_premises</t>
  </si>
  <si>
    <t>Usage rate (%)</t>
  </si>
  <si>
    <t>cf0478146b0137969b5eb4a28a13d802</t>
  </si>
  <si>
    <t>usage_rate</t>
  </si>
  <si>
    <t>Capacity</t>
  </si>
  <si>
    <t>capacity</t>
  </si>
  <si>
    <t>Water consumption value</t>
  </si>
  <si>
    <t>water_consumption_value</t>
  </si>
  <si>
    <t>Description of Monitoring S 3</t>
  </si>
  <si>
    <t xml:space="preserve">Operational Monitoring </t>
  </si>
  <si>
    <t>field5</t>
  </si>
  <si>
    <t>Water Treatment Technology Type</t>
  </si>
  <si>
    <t>water_treatment_technology_type</t>
  </si>
  <si>
    <t>Water Treatment Technology Sub Type</t>
  </si>
  <si>
    <t>water_treatment_technology_sub_type</t>
  </si>
  <si>
    <t>Total operational days</t>
  </si>
  <si>
    <t>total_operational_days</t>
  </si>
  <si>
    <t>Downtime (hours)</t>
  </si>
  <si>
    <t>downtime_hours</t>
  </si>
  <si>
    <t>Downtime reasons</t>
  </si>
  <si>
    <t>downtime_reasons</t>
  </si>
  <si>
    <t>Repair performed?</t>
  </si>
  <si>
    <t>repair_performed</t>
  </si>
  <si>
    <t>Technician Name</t>
  </si>
  <si>
    <t>technician_name</t>
  </si>
  <si>
    <t>Repair report upload</t>
  </si>
  <si>
    <t>ipfs://705a0f9a9f0e008ca10cfe236746f2ff</t>
  </si>
  <si>
    <t>repair_report_upload</t>
  </si>
  <si>
    <t>Description of Monitoring S 4</t>
  </si>
  <si>
    <t>CWT/CWS</t>
  </si>
  <si>
    <t>field4</t>
  </si>
  <si>
    <t>Monitored volume (L/year)</t>
  </si>
  <si>
    <t>monitored_volume</t>
  </si>
  <si>
    <t>Premises count per system</t>
  </si>
  <si>
    <t>premises_count_per_system</t>
  </si>
  <si>
    <t>Household size</t>
  </si>
  <si>
    <t>household_size</t>
  </si>
  <si>
    <t>Per capita consumption (L)</t>
  </si>
  <si>
    <t>per_capita_consumption</t>
  </si>
  <si>
    <t>Operational days</t>
  </si>
  <si>
    <t>operational_days</t>
  </si>
  <si>
    <t>Calculation of Emission Reduct</t>
  </si>
  <si>
    <t>Calculation of Emission Reductions</t>
  </si>
  <si>
    <t>{"baseline_emission_details":"example","emission_files":[],"project_emission_details":"example","leakage_emissions_details":"example","location_wise_details":[{"location":{"type":"FeatureCollection","features":[{"type":"Feature","properties":{},"geometry":{"type":"Point","coordinates":[0,0]}}]},"stove_details":[{"stove_type":"example","efficiency_n_w_b":1,"specific_energy_se_w_b_y":null,"co2_emission_factor_efb_co2":1,"fraction_nrb_f_y":1,"non_co2_emission_factor_efb_nonco2":1,"combined_efb":null,"stove_percentage_xf":1}],"water_quantity":{"technology_category":"CWT, CWS","baseline_emission":null,"monitored_water_quantity":1,"usage_details_cwt":[{"premises":"example","HHp_y":1,"HNp_y":1,"QPWp":1,"DOp_y":1}]},"project_emission":{"emission_by_fuel":[{"fuel_type":"example","Pp_f_y":1,"NCVf":1,"EFb_f_CO2":1}],"PEffpy":null,"emission_by_electricity":{"ECp_y":1,"EFec":1,"TDLec":1},"PEecpy":null,"total_pe":null},"leakage_emission":{"leakage_emission":1,"emission_reduction":1},"baseline_emission_factor":null,"proportion_safe_water_cb":1,"proportion_boiling_xcleanboil_y":1,"water_quality_modifier_mq_y":1}],"total_emission_reductions":null}</t>
  </si>
  <si>
    <t>calculations</t>
  </si>
  <si>
    <t>Baseline Emission Details</t>
  </si>
  <si>
    <t>baseline_emission_details</t>
  </si>
  <si>
    <t>Emission Files</t>
  </si>
  <si>
    <t>ipfs://86540beb299bbd38487ba3cfce6d27ac</t>
  </si>
  <si>
    <t>emission_files</t>
  </si>
  <si>
    <t>Project Emission Details</t>
  </si>
  <si>
    <t>project_emission_details</t>
  </si>
  <si>
    <t>Leakage Emissions Details</t>
  </si>
  <si>
    <t>leakage_emissions_details</t>
  </si>
  <si>
    <t>Location Based Details</t>
  </si>
  <si>
    <t>location_wise_details</t>
  </si>
  <si>
    <t>Stove Details Unit Schema</t>
  </si>
  <si>
    <t>Stove's Details</t>
  </si>
  <si>
    <t>stove_details</t>
  </si>
  <si>
    <t>Stove Type</t>
  </si>
  <si>
    <t>stove_type</t>
  </si>
  <si>
    <t>Efficiency (n w,b) (%)</t>
  </si>
  <si>
    <t>efficiency_n_w_b</t>
  </si>
  <si>
    <t>Hidden</t>
  </si>
  <si>
    <t>Specific energy required to boil water (SE w,b,y) (kJ/L)</t>
  </si>
  <si>
    <t>specific_energy_se_w_b_y</t>
  </si>
  <si>
    <t>CO2 Emission Factor (EFb_CO2) (tCO2/TJ)</t>
  </si>
  <si>
    <t>co2_emission_factor_efb_co2</t>
  </si>
  <si>
    <t>Fraction of Non-Renewable Biomass (f NRB,f,y)</t>
  </si>
  <si>
    <t>fraction_nrb_f_y</t>
  </si>
  <si>
    <t>Non-CO2 Emission Factor (EFb_nonCO2) (tCO2/TJ)</t>
  </si>
  <si>
    <t>non_co2_emission_factor_efb_nonco2</t>
  </si>
  <si>
    <t>Combined EFb (tCO2/TJ)</t>
  </si>
  <si>
    <t>combined_efb</t>
  </si>
  <si>
    <t>Percentage of stove (xf) (%)</t>
  </si>
  <si>
    <t>stove_percentage_xf</t>
  </si>
  <si>
    <t>Additional Comments</t>
  </si>
  <si>
    <t>additional_comments</t>
  </si>
  <si>
    <t xml:space="preserve">Upload evidence Documents </t>
  </si>
  <si>
    <t>ipfs://8b006e8dffe2b77c9f0b787ee82f9e8a</t>
  </si>
  <si>
    <t>upload_evidence_document</t>
  </si>
  <si>
    <t>Baseline Emission Factor</t>
  </si>
  <si>
    <t>baseline_emission_factor</t>
  </si>
  <si>
    <t>Unadjusted Quantity of Safe Dr</t>
  </si>
  <si>
    <t>Unadjusted Quantity of Safe Drinking Water</t>
  </si>
  <si>
    <t>unadjusted_quantity_of_safe_drinking_water</t>
  </si>
  <si>
    <t>Treatment Technology Category (14)</t>
  </si>
  <si>
    <t>technology_category</t>
  </si>
  <si>
    <t>Unadjusted Quantity of Safe 2</t>
  </si>
  <si>
    <t>Unadjusted Quantity of Safe Drinking Water - CWT/CWS</t>
  </si>
  <si>
    <t>cwt_unadjusted_quantity_of_safe_drinking_water</t>
  </si>
  <si>
    <t>Unadjusted quantity of safe drinking water provided by the project in year y (L) (Qy, unadj)</t>
  </si>
  <si>
    <t>unadjusted_quantity_by_the_project</t>
  </si>
  <si>
    <t>Quantity of safe drinking water that could be consumed by project end users in year (Qpop,y)</t>
  </si>
  <si>
    <t>safe_drinking_water_consumed_end_user</t>
  </si>
  <si>
    <t>Project Water Supply Premis 2</t>
  </si>
  <si>
    <t>Project Water Supply Premises</t>
  </si>
  <si>
    <t>cwt_project_water_supply_premises</t>
  </si>
  <si>
    <t>Premises Type</t>
  </si>
  <si>
    <t>Number of premises (HHp,y)</t>
  </si>
  <si>
    <t>number_of_premises</t>
  </si>
  <si>
    <t>Project Water Supply Premis 3</t>
  </si>
  <si>
    <t>Individual Type</t>
  </si>
  <si>
    <t>individual_type</t>
  </si>
  <si>
    <t>Number of individuals (HNp,y,i)</t>
  </si>
  <si>
    <t>number_of_individuals</t>
  </si>
  <si>
    <t xml:space="preserve">Volume of drinking water per person (L) (QPWp,i) </t>
  </si>
  <si>
    <t>volume_of_drinking_water_per_person</t>
  </si>
  <si>
    <t>Total amount of water per day for the premises (HNp,y x QPWp) = TW</t>
  </si>
  <si>
    <t>total_amount_of_water_per_day</t>
  </si>
  <si>
    <t xml:space="preserve">Days Present (DOp,y) </t>
  </si>
  <si>
    <t>days_present</t>
  </si>
  <si>
    <t>Upload evidence documents</t>
  </si>
  <si>
    <t>ipfs://fe9a34d06f6655b8305e82dad8faea84</t>
  </si>
  <si>
    <t>evidence_documents</t>
  </si>
  <si>
    <t>ipfs://75cc7d87ddb97cbbae88e6b9a926d57a</t>
  </si>
  <si>
    <t xml:space="preserve">Monitored quantity of safe water provided by the project in the year (L) (Qm,y) </t>
  </si>
  <si>
    <t>monitored_quantity</t>
  </si>
  <si>
    <t>Unadjusted Quantity of Safe 3</t>
  </si>
  <si>
    <t>Unadjusted Quantity of Safe Drinking Water - HWT/IWT</t>
  </si>
  <si>
    <t>hwt_unadjusted_quantity_of_safe_drinking_water</t>
  </si>
  <si>
    <t>hwt_project_water_supply_premises</t>
  </si>
  <si>
    <t>Number of Premises</t>
  </si>
  <si>
    <t>Project Water Supply Premis 4</t>
  </si>
  <si>
    <t>project_water_supply_premises</t>
  </si>
  <si>
    <t>Total amount of water per day for the premises ()HNp,y x QPWp) = TW</t>
  </si>
  <si>
    <t>Capacity of the individual project technology (qi) (L/hour)</t>
  </si>
  <si>
    <t>capacity_of_individual_project</t>
  </si>
  <si>
    <t xml:space="preserve">Usage time of the project technology (tp,y) (Hour) </t>
  </si>
  <si>
    <t>usage_time_of_project_technology</t>
  </si>
  <si>
    <t xml:space="preserve">Average Number of technologies per premises (DNp,y) </t>
  </si>
  <si>
    <t>avg_number_of_technologies</t>
  </si>
  <si>
    <t>Volume of drinking water per day (QPWhh,p,y)</t>
  </si>
  <si>
    <t>volume_of_drinking_water_per_day</t>
  </si>
  <si>
    <t xml:space="preserve">Additional Comments </t>
  </si>
  <si>
    <t>ipfs://3cbe16da617b73218de67d874d3771c7</t>
  </si>
  <si>
    <t>upload_evidence</t>
  </si>
  <si>
    <t>Unadjusted quantity of safe drinking water provided by the project in year y (L) (Qy, unadj</t>
  </si>
  <si>
    <t>Unadjusted Baseline Emission</t>
  </si>
  <si>
    <t>unadjusted_baseline_emission</t>
  </si>
  <si>
    <t>Proportion of project end users already using a safe water supply that did not require boiling in the baseline (Cb) (Factor)</t>
  </si>
  <si>
    <t>Cb</t>
  </si>
  <si>
    <t>ipfs://286ab3b9733d84645cd655fc0b6e5858</t>
  </si>
  <si>
    <t>Unadjusted baseline emission in year (BEunad j,y) (tCO2e/yr)</t>
  </si>
  <si>
    <t>unadjusted_baseline_emission_in_year</t>
  </si>
  <si>
    <t>Adjustment for behavior and Co</t>
  </si>
  <si>
    <t>Adjustment for behavior and Compliance</t>
  </si>
  <si>
    <t>adjustment_for_behavior_and_compliance</t>
  </si>
  <si>
    <t>Proportion of end-users that boil safe (project) water (Xcleanboil,y) (Factor)</t>
  </si>
  <si>
    <t>boil_safe_end_users</t>
  </si>
  <si>
    <t>boil_safe_end_users_additional_comments</t>
  </si>
  <si>
    <t>ipfs://d2d57c12a0f548ad7892b71aedfefd7e</t>
  </si>
  <si>
    <t>boil_safe_end_users_upload_evidence</t>
  </si>
  <si>
    <t xml:space="preserve">Modifier for the water quality (Mq,y) </t>
  </si>
  <si>
    <t>modifier_for_water_quality</t>
  </si>
  <si>
    <t>modifier_for_water_quality_additional_comments</t>
  </si>
  <si>
    <t>ipfs://49ce6e7258a904fa7dce146d772e38c9</t>
  </si>
  <si>
    <t>modifier_for_water_quality_upload_evidence</t>
  </si>
  <si>
    <t>Treatment Technology Category (15)</t>
  </si>
  <si>
    <t>Adjusted quantity of safe drin</t>
  </si>
  <si>
    <t>Adjusted quantity of safe drinking water in the year (Qy,adj)</t>
  </si>
  <si>
    <t>cwt_adjusted_quantity_of_safe_drinking_water</t>
  </si>
  <si>
    <t>Adjusted quantity of safe drinking water in the year Qy,adj</t>
  </si>
  <si>
    <t>adjusted_quantity_of_safe_drinking_water</t>
  </si>
  <si>
    <t>Adjusted quantity of safe d 2</t>
  </si>
  <si>
    <t>hwt_adjusted_quantity_of_safe_drinking_water</t>
  </si>
  <si>
    <t xml:space="preserve">Usage rate of the project technology  (Up,y) </t>
  </si>
  <si>
    <t>usage_rate_of_the_project_technology</t>
  </si>
  <si>
    <t>ipfs://ca5429b93c3772d45e08416d9021782e</t>
  </si>
  <si>
    <t>Baseline Emissions  adjusted for uncertainty and compliance  (BEunc,y)</t>
  </si>
  <si>
    <t>baseline_emissions_adjusted_for_uncertainty</t>
  </si>
  <si>
    <t>Adjustment for ambition</t>
  </si>
  <si>
    <t>adjustment_for_ambition</t>
  </si>
  <si>
    <t xml:space="preserve">Downward Adjustment Factor (DAFNetZero) (Factor) </t>
  </si>
  <si>
    <t>download_adjustment_factor</t>
  </si>
  <si>
    <t>Downward Adjusted Baseline Emissions (BEadj,y)</t>
  </si>
  <si>
    <t>downward_adjusted_baseline_emissions</t>
  </si>
  <si>
    <t>Conservative Business-as Usual</t>
  </si>
  <si>
    <t>conservative_business</t>
  </si>
  <si>
    <t>Final Crediting Baseline  Emission (BEy) (tCO2e/yr)</t>
  </si>
  <si>
    <t>final_crediting_baseline_emission</t>
  </si>
  <si>
    <t xml:space="preserve">Emissions excluded from the crediting baseline due to ambition  adjustment (DAF) in the year (∆y) </t>
  </si>
  <si>
    <t>emissions_excluded_from_the_crediting_baseline</t>
  </si>
  <si>
    <t>Activity Emission</t>
  </si>
  <si>
    <t>activity_emission</t>
  </si>
  <si>
    <t>Emission by fuel</t>
  </si>
  <si>
    <t>emission_by_fuel</t>
  </si>
  <si>
    <t>Fossil fuel Type</t>
  </si>
  <si>
    <t>fuel_type</t>
  </si>
  <si>
    <t>Quantity of fossil fuel consumed (mass or volume units)</t>
  </si>
  <si>
    <t>Pp_f_y</t>
  </si>
  <si>
    <t>Net Calorific Value (Standard values in IPCC) (TJ/fuel units)</t>
  </si>
  <si>
    <t>NCVf</t>
  </si>
  <si>
    <t xml:space="preserve">Emission Factor (CO₂). Values can be found under EFDB - Main Page. Consider only CO₂ Emission Factor. (tCO2/TJ) </t>
  </si>
  <si>
    <t>EFb_f_CO2</t>
  </si>
  <si>
    <t>PEffpy</t>
  </si>
  <si>
    <t>Emission by Electricity</t>
  </si>
  <si>
    <t>emission_by_electricity</t>
  </si>
  <si>
    <t>Electricity Source</t>
  </si>
  <si>
    <t>electricity_source</t>
  </si>
  <si>
    <t>Total Electricity Usage (kWh)</t>
  </si>
  <si>
    <t>ECp_y</t>
  </si>
  <si>
    <t>Emission Factor of grid Electricity (tCO2/kWh)</t>
  </si>
  <si>
    <t>EFec</t>
  </si>
  <si>
    <t>Transmission and Distribution Loss Factor (%)</t>
  </si>
  <si>
    <t>TDLec</t>
  </si>
  <si>
    <t>Emission By Electricity</t>
  </si>
  <si>
    <t>PEecpy</t>
  </si>
  <si>
    <t>Total Activity Emission</t>
  </si>
  <si>
    <t>total_ae</t>
  </si>
  <si>
    <t>ipfs://1a285fc96d4fb5ab8f776170b63dfdd7</t>
  </si>
  <si>
    <t>Leakage Emission Calculation</t>
  </si>
  <si>
    <t>Leakage Emission</t>
  </si>
  <si>
    <t>leakage_emission</t>
  </si>
  <si>
    <t>Embodied Emissions</t>
  </si>
  <si>
    <t>embodied_emissions</t>
  </si>
  <si>
    <t>Technology Category (4)</t>
  </si>
  <si>
    <t>Technology Category</t>
  </si>
  <si>
    <t>Deductions for Embodied Emissi</t>
  </si>
  <si>
    <t>Deductions for Embodied Emissions</t>
  </si>
  <si>
    <t>deductions_for_embodied_emissions</t>
  </si>
  <si>
    <t xml:space="preserve">Representative Technology </t>
  </si>
  <si>
    <t>representative_technology</t>
  </si>
  <si>
    <t xml:space="preserve">Default Deduction (kg CO2e/unit) (EFembodied,  default) </t>
  </si>
  <si>
    <t>default_deduction</t>
  </si>
  <si>
    <t>Number of devices/systems (Ndissmenated,y)</t>
  </si>
  <si>
    <t>number_of_devices</t>
  </si>
  <si>
    <t>ipfs://9b27365d686907e0bf7b17c3cda55e0b</t>
  </si>
  <si>
    <t>Total Embodied Emission (tCO2e/yr) (LEembodied,y)</t>
  </si>
  <si>
    <t>total_embodied_emission</t>
  </si>
  <si>
    <t>Market and Behavioral Leakage</t>
  </si>
  <si>
    <t>market_and_behavioral_leakage</t>
  </si>
  <si>
    <t>Leakage Assessment Option (4)</t>
  </si>
  <si>
    <t xml:space="preserve">Leakage Assessment Option </t>
  </si>
  <si>
    <t>Option 1 - Default 2% deduction</t>
  </si>
  <si>
    <t>leakage_assessment_option</t>
  </si>
  <si>
    <t>Option 1 – Default 2% deductio</t>
  </si>
  <si>
    <t>Deduction</t>
  </si>
  <si>
    <t>option1_deduction</t>
  </si>
  <si>
    <t xml:space="preserve">Market Leakage (LEmarket,y) </t>
  </si>
  <si>
    <t>market_leakage</t>
  </si>
  <si>
    <t>acknowledgement_comments</t>
  </si>
  <si>
    <t>Option 3 - Detailed assessment</t>
  </si>
  <si>
    <t>option3_deduction</t>
  </si>
  <si>
    <t>Leakage Emission Source Detail</t>
  </si>
  <si>
    <t>Leakage Emission Source Details</t>
  </si>
  <si>
    <t>leakage_emission_source_details</t>
  </si>
  <si>
    <t>Leakage Source</t>
  </si>
  <si>
    <t>leakage_source</t>
  </si>
  <si>
    <t>Monitoring Details</t>
  </si>
  <si>
    <t>monitoring_details</t>
  </si>
  <si>
    <t>Documents</t>
  </si>
  <si>
    <t>ipfs://fb31c654a15aa6fbb0ad7d12e90bd395</t>
  </si>
  <si>
    <t>documents</t>
  </si>
  <si>
    <t>Negligible</t>
  </si>
  <si>
    <t>negligible</t>
  </si>
  <si>
    <t>Justification for negligibility</t>
  </si>
  <si>
    <t>justification_for_negligibility</t>
  </si>
  <si>
    <t>Market Leakage (LEmarket,y)</t>
  </si>
  <si>
    <t>Leakage Emission (LEy)</t>
  </si>
  <si>
    <t>Total Baseline Emissions (BEy)</t>
  </si>
  <si>
    <t>total_baseline_emissions</t>
  </si>
  <si>
    <t>Total Activity Emission (AEy)</t>
  </si>
  <si>
    <t>total_activity_emission_details</t>
  </si>
  <si>
    <t>Total Leakage Emission (LEy)</t>
  </si>
  <si>
    <t>total_leakage_emission</t>
  </si>
  <si>
    <t xml:space="preserve">Net GHG Emission Reduction/Removals </t>
  </si>
  <si>
    <t>total_emission_reductions</t>
  </si>
  <si>
    <t>SDG Co-Benefits - Wrapper</t>
  </si>
  <si>
    <t>SDG Co-Benefits</t>
  </si>
  <si>
    <t>{"sdg_items":["Quality Education"],"evidence_uploads":["ipfs://&lt;example&gt;"]}</t>
  </si>
  <si>
    <t>sdg_cobenefits</t>
  </si>
  <si>
    <t>Evidence Upload for SDG 13 (Climate Action)</t>
  </si>
  <si>
    <t>ipfs://4d75cffdc9783dd2e1bf4f9fb0525856</t>
  </si>
  <si>
    <t>expected_impact_sdg_13</t>
  </si>
  <si>
    <t>SDG Co-Benifits</t>
  </si>
  <si>
    <t>sdg_co_benefits</t>
  </si>
  <si>
    <t>SDG Items (2)</t>
  </si>
  <si>
    <t>SDG Items</t>
  </si>
  <si>
    <t>No Poverty</t>
  </si>
  <si>
    <t>sdg_items</t>
  </si>
  <si>
    <t>Evidence uploads</t>
  </si>
  <si>
    <t>ipfs://e3c9429d7a8bdd1f7d2423ee684acf55</t>
  </si>
  <si>
    <t>evidence_uploads</t>
  </si>
  <si>
    <t>GS MERSDW Validation Report</t>
  </si>
  <si>
    <t>{"project_name":"example","intended_start_date":"2026-02-01","intended_completion_date":"2026-02-28","project_status":"New","project_status_description":"example","project_scale":"Small","project_scale_justification":"example","sdg_contribution":[{"sdg_goal":"1. No Poverty","expected_impact":"example"}],"funding_sources":"example"}</t>
  </si>
  <si>
    <t>a93c1473a5db9c43c3d041d0542916ab</t>
  </si>
  <si>
    <t>^[A-Za-z0-9 ,.!?()_\-/&amp;]{5,1000}$</t>
  </si>
  <si>
    <t>Activity Summary</t>
  </si>
  <si>
    <t>e7c81a444f1877878ce9d2f38829dfbe</t>
  </si>
  <si>
    <t>activity_summary</t>
  </si>
  <si>
    <t>Mitigation Type (3)</t>
  </si>
  <si>
    <t>Mitigation Type</t>
  </si>
  <si>
    <t>Emission Reduction</t>
  </si>
  <si>
    <t>mitigation_type</t>
  </si>
  <si>
    <t>Intended Project Start Date</t>
  </si>
  <si>
    <t>intended_start_date</t>
  </si>
  <si>
    <t>Intended Project Completion Date</t>
  </si>
  <si>
    <t>intended_completion_date</t>
  </si>
  <si>
    <t>Project Status (3)</t>
  </si>
  <si>
    <t>Project Status</t>
  </si>
  <si>
    <t>Proposal Stage</t>
  </si>
  <si>
    <t>project_status</t>
  </si>
  <si>
    <t>Project Status Description</t>
  </si>
  <si>
    <t>682136ee7de99d129085c8c1fed4ef3f</t>
  </si>
  <si>
    <t>project_status_description</t>
  </si>
  <si>
    <t>Project Scale (3)</t>
  </si>
  <si>
    <t>Project Scale</t>
  </si>
  <si>
    <t>Micro</t>
  </si>
  <si>
    <t>project_scale</t>
  </si>
  <si>
    <t>Project Scale Justification</t>
  </si>
  <si>
    <t>project_scale_justification</t>
  </si>
  <si>
    <t>Expected Impact of SDG 13 (Climate Action)</t>
  </si>
  <si>
    <t>f1f6ed2f96b4ab8d5f55bccafb4fe026</t>
  </si>
  <si>
    <t>Contribution of the Project to</t>
  </si>
  <si>
    <t>Contribution of the Project to SDG</t>
  </si>
  <si>
    <t>sdg_contribution</t>
  </si>
  <si>
    <t>Select the SDG (4)</t>
  </si>
  <si>
    <t>Select the SDG</t>
  </si>
  <si>
    <t>1. No Poverty</t>
  </si>
  <si>
    <t>sdg_goal</t>
  </si>
  <si>
    <t>Expected Impact</t>
  </si>
  <si>
    <t>expected_impact</t>
  </si>
  <si>
    <t>Funding Sources of Project</t>
  </si>
  <si>
    <t>funding_sources</t>
  </si>
  <si>
    <t>{"country":{"country":"Afghanistan"},"state_region_province":"example","city_village":"example","postal_code":"example","urban_rural_classification":"Urban","project_location":{"type":"FeatureCollection","features":[{"type":"Feature","properties":{},"geometry":{"type":"Point","coordinates":[0,0]}}]},"gps_latitude":"1","gps_longitude":"1"}</t>
  </si>
  <si>
    <t>Country (7)</t>
  </si>
  <si>
    <t>d956634c35d544d229814eed15e61ed4</t>
  </si>
  <si>
    <t>4592e397ba3bc55b21d82c878d0ba21e</t>
  </si>
  <si>
    <t>408742d508e689c4c67101e273dd7871</t>
  </si>
  <si>
    <t>Map Selection (4)</t>
  </si>
  <si>
    <t>efd16fe97ab1f26b65f3485bdf68ad9b</t>
  </si>
  <si>
    <t>010c1b3093ec3669169e06e0a9a9b6eb</t>
  </si>
  <si>
    <t>{"pd_entity_name":"example","pd_email_address":"example@xeptagon.com","contact_full_name":"example","phone_primary":"011111111","phone_secondary":"011111111","physical_address":"example","website":"www.example.example","years_of_experience":1}</t>
  </si>
  <si>
    <t>83fde1afec3a3e50e67e3f1b7f67d7c7</t>
  </si>
  <si>
    <t>fce9065b0078e4a46f53593c754a8b39</t>
  </si>
  <si>
    <t>b47e06c6c4564e80c46e6231b27bfd16</t>
  </si>
  <si>
    <t>Project Resource</t>
  </si>
  <si>
    <t>Validation Team, Technical Reviewer</t>
  </si>
  <si>
    <t>{"role":"example","type_of_resource":"example","first_name":"example","last_name":"example","responsibilities":"example"}</t>
  </si>
  <si>
    <t>validation_team</t>
  </si>
  <si>
    <t>Role</t>
  </si>
  <si>
    <t>Team Leader</t>
  </si>
  <si>
    <t>role</t>
  </si>
  <si>
    <t>Type of Resource</t>
  </si>
  <si>
    <t>Internal Reviewer</t>
  </si>
  <si>
    <t>type_of_resource</t>
  </si>
  <si>
    <t>First Name</t>
  </si>
  <si>
    <t>Lebron</t>
  </si>
  <si>
    <t>first_name</t>
  </si>
  <si>
    <t>Last Name</t>
  </si>
  <si>
    <t>Jain</t>
  </si>
  <si>
    <t>last_name</t>
  </si>
  <si>
    <t>Responsibilities</t>
  </si>
  <si>
    <t>Review Baseline Calculation</t>
  </si>
  <si>
    <t>responsibilities</t>
  </si>
  <si>
    <t>{"field0":{"treatment_technology_category":"CWT, CWS","proposed_technology_description":"example","cwt_treatment_subtype":{"treatment_subtype_cwt_cws":"Borehole with Distribution"},"cwt_manufacturer_name":"1","cwt_product_name":"1","cwt_daily_maximum_output":"1","cwt_number_of_eligible_households":1,"cwt_average_distance_to_water_point":1,"cwt_who_performance_classification":"example","cwt_expected_technical_life":"example","cwt_pump_type":"example","cwt_backup_engine_installed":true,"cwt_power_source_details":"example","cwt_maintenance_and_repair_plan":"example","cwt_initial_water_quality_report":"ipfs://&lt;example&gt;","project_rehabilitation":{"is_rehabilitation":true,"original_installation_date":"2026-02-01","rehabilitation_details":"example","rehabilitation_date":"2026-02-01","maintenance_repair_plan":"ipfs://&lt;example&gt;","non_operational_evidence":"ipfs://&lt;example&gt;"}}}</t>
  </si>
  <si>
    <t>ipfs://d2872f1aa5a0634d2da6fc22b40f378d</t>
  </si>
  <si>
    <t>2837081b3cb2871b42c8c47641fa5b7c</t>
  </si>
  <si>
    <t>9c1de60399020542c4177e03781cc3df</t>
  </si>
  <si>
    <t>bf8d4a9b99148b409f073fbe45191e2c</t>
  </si>
  <si>
    <t>87bc0bcec6e4a9ccf36e93ff3bb050dc</t>
  </si>
  <si>
    <t>5a200a382005ade062412f707c8484c3</t>
  </si>
  <si>
    <t>841acbd8f4e27d12a3e40f4cfe8ca0bb</t>
  </si>
  <si>
    <t>df358c3dd5efde59a0950ace35b813b7</t>
  </si>
  <si>
    <t>2300b8c98437f98c623216a4e4108706</t>
  </si>
  <si>
    <t>ipfs://d53e0e7d5d1a955f5c7be754b9cccee1</t>
  </si>
  <si>
    <t>ipfs://58f6bbadaf7ca1ab16a001c01ad6883b</t>
  </si>
  <si>
    <t>ipfs://60044fed86d5db7ef4ed2b961a223394</t>
  </si>
  <si>
    <t>18db4ea466b156b7599c7164bf28d24a</t>
  </si>
  <si>
    <t>c8f6f0aebc85a1fdfa07b849eef2c08e</t>
  </si>
  <si>
    <t>1188e795b0b8e266736bc59859d6e07c</t>
  </si>
  <si>
    <t>169ef58e91101ed4fd2a22f1e5e74d0c</t>
  </si>
  <si>
    <t>b3af9faad0ca3be986991fd737f182bd</t>
  </si>
  <si>
    <t>a254275182bef78aeb6d169e369db486</t>
  </si>
  <si>
    <t>0e92e124f87d8b648b918992a71a2d39</t>
  </si>
  <si>
    <t>Technology Eligibility Validat</t>
  </si>
  <si>
    <t>Technology Eligibility Validation</t>
  </si>
  <si>
    <t>{"technology_type_verified":{"status":"Yes","comments":null},"classification_correct":{"status":"Yes","comments":null},"evidence_reviewed":{"status":"Yes","comments":null},"manufacturing_certification_validated":{"status":"Yes","comments":null},"water_quality_complaints_verified":{"status":"Yes","comments":null},"device_lifespan_and_replacement_cycle_validated":{"status":"Yes","comments":null},"backup_engine_present":{"status":"Yes","comments":null},"hours_of_operation_verified":{"status":"Yes","comments":null},"backup_fossil_fuel_less_than_10_percent_requirement_met":{"status":"Yes","comments":null},"non_operational_three_months_confirmed":{"status":"Yes","comments":null},"lack_of_maintenance_plan_verified":{"status":"Yes","comments":null},"rehabilitation_evidence_reviewed":{"status":"Yes","comments":null}}</t>
  </si>
  <si>
    <t>tech_eligibility_validation</t>
  </si>
  <si>
    <t>Yes or no with comments</t>
  </si>
  <si>
    <t>Technology Type Verified</t>
  </si>
  <si>
    <t>technology_type_verified</t>
  </si>
  <si>
    <t>Yes or No (7)</t>
  </si>
  <si>
    <t>Yes or No</t>
  </si>
  <si>
    <t>status</t>
  </si>
  <si>
    <t>Classification Correct</t>
  </si>
  <si>
    <t>classification_correct</t>
  </si>
  <si>
    <t>Evidence Reviewed</t>
  </si>
  <si>
    <t>evidence_reviewed</t>
  </si>
  <si>
    <t>Manufacturing Certification Validated</t>
  </si>
  <si>
    <t>manufacturing_certification_validated</t>
  </si>
  <si>
    <t>Water Quality Complaints Verified (Microbial/Chemical)</t>
  </si>
  <si>
    <t>water_quality_complaints_verified</t>
  </si>
  <si>
    <t>Device Lifespan and Replacement Cycle Validated</t>
  </si>
  <si>
    <t>device_lifespan_and_replacement_cycle_validated</t>
  </si>
  <si>
    <t>Backup Engine Present</t>
  </si>
  <si>
    <t>backup_engine_present</t>
  </si>
  <si>
    <t>Hours of Operation Verified</t>
  </si>
  <si>
    <t>hours_of_operation_verified</t>
  </si>
  <si>
    <t>Backup Fossil-Fuel &lt; 10% Requirement Met</t>
  </si>
  <si>
    <t>backup_fossil_fuel_less_than_10_percent_requirement_met</t>
  </si>
  <si>
    <t>Non-Operational ≥ 3 Months Confirmed</t>
  </si>
  <si>
    <t>non_operational_three_months_confirmed</t>
  </si>
  <si>
    <t>Lack of Maintenance Plan Verified</t>
  </si>
  <si>
    <t>lack_of_maintenance_plan_verified</t>
  </si>
  <si>
    <t>Rehabilitation Evidence Reviewed</t>
  </si>
  <si>
    <t>rehabilitation_evidence_reviewed</t>
  </si>
  <si>
    <t>Meeting Methodological Princip</t>
  </si>
  <si>
    <t>Meeting Methodological Principles Validation</t>
  </si>
  <si>
    <t>methodological_principles_validation</t>
  </si>
  <si>
    <t>Encouraging ambition over time verified</t>
  </si>
  <si>
    <t>encouraging_ambition_over_time_verified</t>
  </si>
  <si>
    <t>Equitable sharing of mitigation benefits verified</t>
  </si>
  <si>
    <t>equitable_sharing_of_mitigation_benefits_verified</t>
  </si>
  <si>
    <t>Avoidance of double counting verified</t>
  </si>
  <si>
    <t>avoidance_of_double_counting_verified</t>
  </si>
  <si>
    <t>Aligning with NDC and LT-LEDS verified</t>
  </si>
  <si>
    <t>aligning_with_ndc_and_lt_leds_verified</t>
  </si>
  <si>
    <t>Encouraging Broad Participation verified</t>
  </si>
  <si>
    <t>encouraging_broad_participation_verified</t>
  </si>
  <si>
    <t>Including Data Sources, Accounting for Uncertainty, and Monitoring verified</t>
  </si>
  <si>
    <t>including_data_sources_accounting_for_uncertainty_and_monitoring_verified</t>
  </si>
  <si>
    <t>Taking into Account Policies, Measures, and Relevant Circumstances verified</t>
  </si>
  <si>
    <t>taking_into_account_policies_measures_and_relevant_circumstances_verified</t>
  </si>
  <si>
    <t>Methodologies and Standardi 2</t>
  </si>
  <si>
    <t>Methodologies and Standardized Baseline</t>
  </si>
  <si>
    <t>{"calculation_of_baseline_emission_factor":"example","annual_emission_reduction_calculation":"example"}</t>
  </si>
  <si>
    <t>methodology_baseline</t>
  </si>
  <si>
    <t>Calculation of Baseline Emission Factor</t>
  </si>
  <si>
    <t>calculation_of_baseline_emission_factor</t>
  </si>
  <si>
    <t>Annual Emission Reduction Calculation</t>
  </si>
  <si>
    <t>annual_emission_reduction_calculation</t>
  </si>
  <si>
    <t>Baseline Emission</t>
  </si>
  <si>
    <t>{"project_emission":"example","leakage_emission":"example"}</t>
  </si>
  <si>
    <t>baseline_emissions</t>
  </si>
  <si>
    <t>Project Emission</t>
  </si>
  <si>
    <t>project_emission</t>
  </si>
  <si>
    <t>Estimated Net Emission Reducti</t>
  </si>
  <si>
    <t>Estimated net emission reduction</t>
  </si>
  <si>
    <t>{"year":"2021","estimated_baseline_emissions":1,"estimated_project_emissions":1,"estimated_leakage_emissions":1,"estimated_ghg_emission_reduction":1}</t>
  </si>
  <si>
    <t>net_emission_reduction</t>
  </si>
  <si>
    <t>^(20)\d{2}$</t>
  </si>
  <si>
    <t>Year</t>
  </si>
  <si>
    <t>38cd4ba4422b9e7c2e4eb77f10ea2437</t>
  </si>
  <si>
    <t>year</t>
  </si>
  <si>
    <t>Estimated Baseline Emissions or Removals</t>
  </si>
  <si>
    <t>estimated_baseline_emissions</t>
  </si>
  <si>
    <t>Estimated Project Emissions or Removals</t>
  </si>
  <si>
    <t>estimated_project_emissions</t>
  </si>
  <si>
    <t>Estimated Leakage Emissions</t>
  </si>
  <si>
    <t>estimated_leakage_emissions</t>
  </si>
  <si>
    <t>Estimated GHG Emission Reduction or Removals (auto-generated by the system — no user input required)</t>
  </si>
  <si>
    <t>estimated_ghg_emission_reduction</t>
  </si>
  <si>
    <t>Project Crediting Period</t>
  </si>
  <si>
    <t>Start Date, Crediting Period Type and Duration</t>
  </si>
  <si>
    <t>{"start_date_of_project_activity":"2026-02-01","project_crediting_period":"2026-02-01","type_of_crediting_period":"Fixed","duration_of_crediting_period":"example"}</t>
  </si>
  <si>
    <t>crediting_period</t>
  </si>
  <si>
    <t>Start date of project activity</t>
  </si>
  <si>
    <t>start_date_of_project_activity</t>
  </si>
  <si>
    <t>project_crediting_period</t>
  </si>
  <si>
    <t>Type of crediting period (1)</t>
  </si>
  <si>
    <t>Type of crediting period</t>
  </si>
  <si>
    <t>Fixed</t>
  </si>
  <si>
    <t>type_of_crediting_period</t>
  </si>
  <si>
    <t>Duration of crediting period</t>
  </si>
  <si>
    <t>duration_of_crediting_period</t>
  </si>
  <si>
    <t>Baseline Assessment Validation</t>
  </si>
  <si>
    <t>{"improved_classification_verified":{"status":"Yes","comments":null},"stove_type_distribution_verified":{"status":"Yes","comments":null},"fuel_shares_verified":{"status":"Yes","comments":null},"baseline_safe_water_access_verified":{"status":"Yes","comments":null},"baseline_water_quality_evidence_verified":{"status":"Yes","comments":null},"boiling_practice_validated":{"status":"Yes","comments":null},"suppressed_demand_small_scale_eligibility":{"status":"Yes","comments":null},"suppressed_demand_justification_acceptable":{"status":"Yes","comments":null}}</t>
  </si>
  <si>
    <t>baseline_validation</t>
  </si>
  <si>
    <t>Improved/Unimproved Classification Verified</t>
  </si>
  <si>
    <t>improved_classification_verified</t>
  </si>
  <si>
    <t>Stove Type Distribution Verified</t>
  </si>
  <si>
    <t>stove_type_distribution_verified</t>
  </si>
  <si>
    <t>Fuel Shares Verified</t>
  </si>
  <si>
    <t>fuel_shares_verified</t>
  </si>
  <si>
    <t>Baseline Safe Water Access Verified</t>
  </si>
  <si>
    <t>baseline_safe_water_access_verified</t>
  </si>
  <si>
    <t>Baseline Water Quality Evidence Verified</t>
  </si>
  <si>
    <t>baseline_water_quality_evidence_verified</t>
  </si>
  <si>
    <t>Boiling Practice Validated</t>
  </si>
  <si>
    <t>boiling_practice_validated</t>
  </si>
  <si>
    <t>Suppressed Demand Small Scale Eligibility</t>
  </si>
  <si>
    <t>suppressed_demand_small_scale_eligibility</t>
  </si>
  <si>
    <t>Suppressed Demand Justification Acceptable</t>
  </si>
  <si>
    <t>suppressed_demand_justification_acceptable</t>
  </si>
  <si>
    <t>Project Boundary Validation</t>
  </si>
  <si>
    <t>{"gps_coordinates_verified":{"status":"Yes","comments":null},"boundary_alignment_verified":{"status":"Yes","comments":null},"number_of_premises_verified":{"status":"Yes","comments":null},"cwt_cws_distance_requirement_met":{"status":"Yes","comments":null}}</t>
  </si>
  <si>
    <t>boundary_validation</t>
  </si>
  <si>
    <t>GPS Coordinates Verified</t>
  </si>
  <si>
    <t>gps_coordinates_verified</t>
  </si>
  <si>
    <t>Boundary Aligns with Project Description</t>
  </si>
  <si>
    <t>boundary_alignment_verified</t>
  </si>
  <si>
    <t>Number of Premises Verified</t>
  </si>
  <si>
    <t>number_of_premises_verified</t>
  </si>
  <si>
    <t>CWT/CWS ≤ 1 km Requirement Met</t>
  </si>
  <si>
    <t>cwt_cws_distance_requirement_met</t>
  </si>
  <si>
    <t>Additionality Validation</t>
  </si>
  <si>
    <t>{"additionality_tool_used":{"status":"Yes","comments":null},"barriers_justified":{"status":"Yes","comments":null},"financials_reviewed":{"status":"Yes","comments":null},"carbon_finance_necessary":{"status":"Yes","comments":null},"final_additionality_conclusion_pass":{"status":"Yes","comments":null}}</t>
  </si>
  <si>
    <t>additionality_validation</t>
  </si>
  <si>
    <t>Additionality Tool Used</t>
  </si>
  <si>
    <t>additionality_tool_used</t>
  </si>
  <si>
    <t>Barriers Justified</t>
  </si>
  <si>
    <t>barriers_justified</t>
  </si>
  <si>
    <t>Financials Reviewed (If applicable)</t>
  </si>
  <si>
    <t>financials_reviewed</t>
  </si>
  <si>
    <t>Carbon Finance Demonstrated as Necessary</t>
  </si>
  <si>
    <t>carbon_finance_necessary</t>
  </si>
  <si>
    <t>Is the Final Additional Conclusion Pass?</t>
  </si>
  <si>
    <t>final_additionality_conclusion_pass</t>
  </si>
  <si>
    <t>Monitoring Plan Validation</t>
  </si>
  <si>
    <t>{"sampling_frame_valid":{"status":"Yes","comments":null},"sample_size_compliant":{"status":"Yes","comments":null},"confidence_90_10_achieved":{"status":"Yes","comments":null},"accredited_lab_verified":{"status":"Yes","comments":null},"water_quality_method_compliant":{"status":"Yes","comments":null},"water_quality_monitoring_frequency_validated":{"status":"Yes","comments":null},"volume_measurement_devices_validated":{"status":"Yes","comments":null},"calibration_methods_reviewed":{"status":"Yes","comments":null},"usage_monitoring_survey_design_validated":{"status":"Yes","comments":null},"usage_monitoring_criteria_correct":{"status":"Yes","comments":null},"leakage_monitoring_survey_validated":{"status":"Yes","comments":null},"leakage_boiling_safe_water_fraction_correct":{"status":"Yes","comments":null},"biomass_non_renewability_source_validated":{"status":"Yes","comments":null}}</t>
  </si>
  <si>
    <t>monitoring_plan_validation</t>
  </si>
  <si>
    <t>Sampling Frame Validity</t>
  </si>
  <si>
    <t>sampling_frame_valid</t>
  </si>
  <si>
    <t>Sample Size Compliant (≥30)</t>
  </si>
  <si>
    <t>sample_size_compliant</t>
  </si>
  <si>
    <t>90/10 Confidence Achieved</t>
  </si>
  <si>
    <t>confidence_90_10_achieved</t>
  </si>
  <si>
    <t>Accredited Lab Verified of Water Quality</t>
  </si>
  <si>
    <t>accredited_lab_verified</t>
  </si>
  <si>
    <t>Water Quality Method Compliance Verified</t>
  </si>
  <si>
    <t>water_quality_method_compliant</t>
  </si>
  <si>
    <t>Water Quality Monitoring Frequency Validated</t>
  </si>
  <si>
    <t>water_quality_monitoring_frequency_validated</t>
  </si>
  <si>
    <t>Volume Measurement Devices Validated (Method 1 / Method 2)</t>
  </si>
  <si>
    <t>volume_measurement_devices_validated</t>
  </si>
  <si>
    <t>Calibration Methods Reviewed (Method 1 / Method 2)</t>
  </si>
  <si>
    <t>calibration_methods_reviewed</t>
  </si>
  <si>
    <t>Usage Monitoring Survey Design Validated (HWT/IWT)</t>
  </si>
  <si>
    <t>usage_monitoring_survey_design_validated</t>
  </si>
  <si>
    <t>Usage Monitoring Criteria Correct (HWT/IWT)</t>
  </si>
  <si>
    <t>usage_monitoring_criteria_correct</t>
  </si>
  <si>
    <t>Leakage Monitoring Survey Validated</t>
  </si>
  <si>
    <t>leakage_monitoring_survey_validated</t>
  </si>
  <si>
    <t>Leakage Monitoring Boiling Safe Water Fraction Correct</t>
  </si>
  <si>
    <t>leakage_boiling_safe_water_fraction_correct</t>
  </si>
  <si>
    <t>Biomass Non-Renewability Source Validated</t>
  </si>
  <si>
    <t>biomass_non_renewability_source_validated</t>
  </si>
  <si>
    <t>Monitoring Data Management System Validated</t>
  </si>
  <si>
    <t>monitoring_data_management_system_validated</t>
  </si>
  <si>
    <t>GS MERSDW Project Design Document</t>
  </si>
  <si>
    <t>{"field0":"example","field1":"2026-01-20"}</t>
  </si>
  <si>
    <t>basic_information</t>
  </si>
  <si>
    <t>Completion date of PDD version</t>
  </si>
  <si>
    <t>{"project_name":"example","intended_start_date":"2026-01-20","intended_completion_date":"2026-01-20","project_status":"New","project_status_description":"example","project_scale":"Small","project_scale_justification":"example","sdg_contribution":[{"sdg_goal":"1. No Poverty","expected_impact":"example"}],"funding_sources":"example"}</t>
  </si>
  <si>
    <t>889cb360d563f7f11bcff51503097593</t>
  </si>
  <si>
    <t>d95e56d1f65f054cda39cf5afcd8f57e</t>
  </si>
  <si>
    <t>7064685474293997873cf7812c134ed1</t>
  </si>
  <si>
    <t>a65051b11b6b8067f41169724004233d</t>
  </si>
  <si>
    <t>{"country":{"country":"Afghanistan"},"state_region_province":"example","city_village":"example","postal_code":"example","urban_rural_classification":"Urban","project_location":{"type":"Point","coordinates":[0,0]},"gps_latitude":"0","gps_longitude":"0"}</t>
  </si>
  <si>
    <t>project_location_details</t>
  </si>
  <si>
    <t>8cf906e3bd78172b3a3ae2c31fdb3432</t>
  </si>
  <si>
    <t>18f1cff3d3e4967a39329a2611e56b5f</t>
  </si>
  <si>
    <t>c61032ee903528b26c465bc4be488ecb</t>
  </si>
  <si>
    <t>5da88d5ac9a62b5e461c397e92455d4a</t>
  </si>
  <si>
    <t>e2f9b67d6a51c6cd78cff2fee7b28e71</t>
  </si>
  <si>
    <t>{"pd_entity_name":"example","pd_email_address":"example@example.example","contact_full_name":"example example","phone_primary":"+11111111","phone_secondary":"+11111111","physical_address":"example","website":"example.example","years_of_experience":1}</t>
  </si>
  <si>
    <t>activity_developer_details</t>
  </si>
  <si>
    <t>924a3b383483bea4c883a9973b0038e3</t>
  </si>
  <si>
    <t>a3bcc0ab4d7f856a958629105a7f835f</t>
  </si>
  <si>
    <t>df9f3306a6a9cf2169179d98f0ebc047</t>
  </si>
  <si>
    <t>{"field0":{"treatment_technology_category":"CWT, CWS","proposed_technology_description":"example","cwt_treatment_subtype":{"treatment_subtype_cwt_cws":"Borehole with Distribution"},"cwt_manufacturer_name":"example","cwt_product_name":"example","cwt_daily_maximum_output":"example","cwt_number_of_eligible_households":1,"cwt_average_distance_to_water_point":1,"cwt_who_performance_classification":"example","cwt_expected_technical_life":"example","cwt_pump_type":"example","cwt_backup_engine_installed":true,"cwt_power_source_details":"example","cwt_maintenance_and_repair_plan":"example","cwt_initial_water_quality_report":"ipfs://&lt;example&gt;","project_rehabilitation":{"is_rehabilitation":true,"original_installation_date":"2026-01-20","rehabilitation_details":"example","rehabilitation_date":"2026-01-20","maintenance_repair_plan":"ipfs://&lt;example&gt;","non_operational_evidence":"ipfs://&lt;example&gt;"}}}</t>
  </si>
  <si>
    <t>ipfs://2fce622ca56f51804b301c1568eb513f</t>
  </si>
  <si>
    <t>68f31df9a1c6d4ed234bc68eb4d64df2</t>
  </si>
  <si>
    <t>2a8ac4304e3e071421a6e2274fc9ba69</t>
  </si>
  <si>
    <t>6473ca856bc67d4107acd34e28abadd0</t>
  </si>
  <si>
    <t>d6f09c7e4cb469e063d3cb2439d93019</t>
  </si>
  <si>
    <t>3e92da3f8e154098bfb7a66e73cb9f44</t>
  </si>
  <si>
    <t>6db637f6818808a23128dd2144c454c5</t>
  </si>
  <si>
    <t>bf30fe4f84a40e8bfc9e3f414945e2f0</t>
  </si>
  <si>
    <t>b8db3cdff5156ca38d103d97bf08404a</t>
  </si>
  <si>
    <t>ipfs://ef49d6474dab3d83a8a6d0803dfa4d28</t>
  </si>
  <si>
    <t>ipfs://1d1bc364d5c82b0d881344685a2c4be1</t>
  </si>
  <si>
    <t>ipfs://fe380b36bacd0740d115981bda80491e</t>
  </si>
  <si>
    <t>0ebb64269a3444d801b48c251fe879c2</t>
  </si>
  <si>
    <t>b77b38caa06d35d88ad26021f2ce4cbd</t>
  </si>
  <si>
    <t>2388f6e88901747f5c7bfe9b5c9c610c</t>
  </si>
  <si>
    <t>0f0f0397031ed7188e3021aff4965035</t>
  </si>
  <si>
    <t>de1f6fadc6b8f9f0d0ac6351a4ebaea6</t>
  </si>
  <si>
    <t>776593b660e824eb0a61e108b8a6017e</t>
  </si>
  <si>
    <t>e88c28d120199168ee25abd246addb7c</t>
  </si>
  <si>
    <t>Replacement Strategy Details</t>
  </si>
  <si>
    <t>Replacement Strategy</t>
  </si>
  <si>
    <t>{"replacement_strategy":"example","replacement_trigger":"example","replacement_technology":"example","replacement_attachment":"ipfs://&lt;example&gt;"}</t>
  </si>
  <si>
    <t>replacement_strategy</t>
  </si>
  <si>
    <t>Replacement strategy used when technical life is less than the crediting period</t>
  </si>
  <si>
    <t>Units replaced every 3 years</t>
  </si>
  <si>
    <t>Condition or event that triggers the replacement</t>
  </si>
  <si>
    <t>Filter clogging or drop-in flow rate</t>
  </si>
  <si>
    <t>replacement_trigger</t>
  </si>
  <si>
    <t>Technology or component used for replacement</t>
  </si>
  <si>
    <t>Filter cartridge type B</t>
  </si>
  <si>
    <t>replacement_technology</t>
  </si>
  <si>
    <t>Attachment upload (PDF only, maximum file size 20 MB)</t>
  </si>
  <si>
    <t>ipfs://&lt;uploaded_file_hash&gt;</t>
  </si>
  <si>
    <t>replacement_attachment</t>
  </si>
  <si>
    <t>Methodologies and Standardized</t>
  </si>
  <si>
    <t>Methodologies and Standardized Baselines</t>
  </si>
  <si>
    <t>{"survey_evidence":"ipfs://&lt;example&gt;","data_source_reference":"ipfs://&lt;example&gt;","baseline_water_sources":{"baseline_water_source":[{"location":{"type":"FeatureCollection","features":[{"type":"Feature","properties":{},"geometry":{"type":"Point","coordinates":[0,0]}}]},"percentage_improved_water_resources":"1","percentage_unimproved_water_resources":"1","water_source_type_details":[{"water_source_type":"example","percentage_water_source_type":"1"}]}],"water_quality_baseline_test_results":"ipfs://&lt;example&gt;"},"baseline_treatment_method":{"location":{"type":"FeatureCollection","features":[{"type":"Feature","properties":{},"geometry":{"type":"Point","coordinates":[0,0]}}]},"baseline_treatment_method":[{"treatment_method":"example","percentage":"1"}]},"baseline_fuels_usage":[{"location":{"type":"FeatureCollection","features":[{"type":"Feature","properties":{},"geometry":{"type":"Point","coordinates":[0,0]}}]},"baseline_fuels_usage":[{"fuel_type":"example","percentage":"1"}]}],"fraction_non_renewable_biomass_assessment":{"location":{"type":"FeatureCollection","features":[{"type":"Feature","properties":{},"geometry":{"type":"Point","coordinates":[0,0]}}]},"fnrb":1,"other_related_documents":[]}}</t>
  </si>
  <si>
    <t>methodologies_and_standardized_baselines</t>
  </si>
  <si>
    <t>Survey Evidence</t>
  </si>
  <si>
    <t>ipfs://&lt;example&gt;</t>
  </si>
  <si>
    <t>survey_evidence</t>
  </si>
  <si>
    <t>Data Source Reference</t>
  </si>
  <si>
    <t>data_source_reference</t>
  </si>
  <si>
    <t>Baseline Water Sources - Wrapp</t>
  </si>
  <si>
    <t>Baseline Water Sources</t>
  </si>
  <si>
    <t>baseline_water_sources</t>
  </si>
  <si>
    <t>Baseline Water Source</t>
  </si>
  <si>
    <t>baseline_water_source</t>
  </si>
  <si>
    <t>Water Source Details Percentag</t>
  </si>
  <si>
    <t>Percentage Of Improved Water Resources (%)</t>
  </si>
  <si>
    <t>water_source_details_percentage</t>
  </si>
  <si>
    <t>Percentage of Improved Water Resources (%)</t>
  </si>
  <si>
    <t>improved_water_resources_percentage</t>
  </si>
  <si>
    <t>Percentage of Unimproved Water Sources (%)</t>
  </si>
  <si>
    <t>unimproved_water_source_percentage</t>
  </si>
  <si>
    <t>Water Source Type Details</t>
  </si>
  <si>
    <t>water_source_type_details</t>
  </si>
  <si>
    <t>Water Source Type</t>
  </si>
  <si>
    <t>water_source_type</t>
  </si>
  <si>
    <t>^(100|[0-9]{1,2})(\.[0-9]+)?$</t>
  </si>
  <si>
    <t>Percentage Of Water Source Type</t>
  </si>
  <si>
    <t>8b662ff4dace3d9fd67425ab3ae256a6</t>
  </si>
  <si>
    <t>percentage_water_source_type</t>
  </si>
  <si>
    <t>Water Quality Baseline Test Results</t>
  </si>
  <si>
    <t>ipfs://6c86b806dfba6c6567ba5dd352694c09</t>
  </si>
  <si>
    <t>water_quality_baseline_test_results</t>
  </si>
  <si>
    <t>Baseline Treatment Method - Wr</t>
  </si>
  <si>
    <t>Baseline Treatment Method</t>
  </si>
  <si>
    <t>baseline_treatment_method</t>
  </si>
  <si>
    <t>Baseline Treatment Method - 2</t>
  </si>
  <si>
    <t>Baseline Treatment Method - It</t>
  </si>
  <si>
    <t>baseline_treatment_method_item</t>
  </si>
  <si>
    <t>Treatment Method</t>
  </si>
  <si>
    <t>treatment_method</t>
  </si>
  <si>
    <t>Percentage</t>
  </si>
  <si>
    <t>0967ac0e0993694c4c8e32ed0812381b</t>
  </si>
  <si>
    <t>percentage</t>
  </si>
  <si>
    <t>Cross Effect Details</t>
  </si>
  <si>
    <t>cross_effect_details</t>
  </si>
  <si>
    <t>Stove Details - Wrapper</t>
  </si>
  <si>
    <t>Stove Details</t>
  </si>
  <si>
    <t>Stove Details - Item with Loca</t>
  </si>
  <si>
    <t>Stove Details - Item</t>
  </si>
  <si>
    <t>Stove Type Details</t>
  </si>
  <si>
    <t>stove_details_item</t>
  </si>
  <si>
    <t>^[a-zA-Z0-9 ]{2,50}$</t>
  </si>
  <si>
    <t>11b749c8f3d698adb9da1861be58207b</t>
  </si>
  <si>
    <t>Fuel Type</t>
  </si>
  <si>
    <t>481ff6b1cf0120234b2322e1331703b3</t>
  </si>
  <si>
    <t>stove_fuel_type</t>
  </si>
  <si>
    <t>Efficiency (%)</t>
  </si>
  <si>
    <t>2b7c6b97cfc1a9fcd5d480c96a68ff32</t>
  </si>
  <si>
    <t>stove_efficiency</t>
  </si>
  <si>
    <t>Percentage of Stoves</t>
  </si>
  <si>
    <t>666942d615cf8265a87b20cae0dc43ba</t>
  </si>
  <si>
    <t>stove_percentage</t>
  </si>
  <si>
    <t>Fraction of non-renewable biom</t>
  </si>
  <si>
    <t>Fraction of Non-Renewable Biomass Assessment</t>
  </si>
  <si>
    <t>fraction_non_renewable_biomass_assessment</t>
  </si>
  <si>
    <t>Fnrb</t>
  </si>
  <si>
    <t>fnrb</t>
  </si>
  <si>
    <t>Suppressed Demand</t>
  </si>
  <si>
    <t>suppressed_demand</t>
  </si>
  <si>
    <t>Is suppressed demand applicable in the project area?</t>
  </si>
  <si>
    <t>suppressed_demand_applicable</t>
  </si>
  <si>
    <t xml:space="preserve">Supporting Documents for Avoidance of Double Counting </t>
  </si>
  <si>
    <t>ipfs://f74647952212ec1d69d21b1daf764217</t>
  </si>
  <si>
    <t>double_counting_avoidance</t>
  </si>
  <si>
    <t>^[A-Za-z0-9 ,.!?()_\/&amp;-]{2,200}$</t>
  </si>
  <si>
    <t>Description of Suppressed Demand in the Project Area</t>
  </si>
  <si>
    <t>00a75a25d574e9d2139ea83bf64b4d99</t>
  </si>
  <si>
    <t>suppressed_demand_description</t>
  </si>
  <si>
    <t>Measures Implemented to Address Suppressed Demand</t>
  </si>
  <si>
    <t>271192a7266d2d7ca9c1798131701b76</t>
  </si>
  <si>
    <t>suppressed_demand_measures</t>
  </si>
  <si>
    <t>Supporting Evidence / Documentation</t>
  </si>
  <si>
    <t>ipfs://a1d2fa06adedda95bb8ab956b74e3ca0</t>
  </si>
  <si>
    <t>suppressed_demand_evidence</t>
  </si>
  <si>
    <t>Other Related Documents</t>
  </si>
  <si>
    <t>ipfs://054e256539832325a258311ea7b842d0</t>
  </si>
  <si>
    <t>other_related_documents</t>
  </si>
  <si>
    <t>Sustainable Development Goals</t>
  </si>
  <si>
    <t>Sustainable Development Goals (SDG) outcomes</t>
  </si>
  <si>
    <t>{"sdg_13_outcomes":{"proposed_monitoring_approach":"example","data_parameters_sdg":{"data_parameter":"example","unit":"example","description":"example","source_of_data":"example","values_applied":"example","choice_of_data_or_measurement_methods_and_procedures":"example","purpose_of_data":"example","additional_comment":"example"},"ex_ante_estimation_sdg_impact":[{"year":"2050","baseline_estimate":1,"project_estimate":1,"net_benefit":1}]},"sdg_outcomes":[]}</t>
  </si>
  <si>
    <t>sdg</t>
  </si>
  <si>
    <t>Sustainable Development Goa 2</t>
  </si>
  <si>
    <t>Overview of SDG-13 outcomes.</t>
  </si>
  <si>
    <t>sdg_13_outcomes</t>
  </si>
  <si>
    <t>Proposed approach to monitor SDG-13.</t>
  </si>
  <si>
    <t>proposed_monitoring_approach</t>
  </si>
  <si>
    <t>Data and parameters fixed ex a</t>
  </si>
  <si>
    <t>Fixed data and parameters for SDG-13.</t>
  </si>
  <si>
    <t>data_parameters_sdg</t>
  </si>
  <si>
    <t>Data/Parameter</t>
  </si>
  <si>
    <t>data_parameter</t>
  </si>
  <si>
    <t>Unit</t>
  </si>
  <si>
    <t>unit</t>
  </si>
  <si>
    <t>description</t>
  </si>
  <si>
    <t>Source of Data</t>
  </si>
  <si>
    <t>source_of_data</t>
  </si>
  <si>
    <t>Value(s) Applied</t>
  </si>
  <si>
    <t>values_applied</t>
  </si>
  <si>
    <t>Choice of Data or Measurement Methods and Procedures</t>
  </si>
  <si>
    <t>choice_of_data_or_measurement_methods_and_procedures</t>
  </si>
  <si>
    <t>Purpose of Data</t>
  </si>
  <si>
    <t>purpose_of_data</t>
  </si>
  <si>
    <t>Additional Comment</t>
  </si>
  <si>
    <t>additional_comment</t>
  </si>
  <si>
    <t>Ex Ante Estimation of SDG Impa</t>
  </si>
  <si>
    <t>Ex Ante Estimation of SDG Impact</t>
  </si>
  <si>
    <t>ex_ante_estimation_sdg_impact</t>
  </si>
  <si>
    <t>Year of Estimation</t>
  </si>
  <si>
    <t>32c370c5fa666795e5ab7f5643218d61</t>
  </si>
  <si>
    <t>Baseline Estimate</t>
  </si>
  <si>
    <t>baseline_estimate</t>
  </si>
  <si>
    <t>Project Estimate</t>
  </si>
  <si>
    <t>project_estimate</t>
  </si>
  <si>
    <t>Net Benefit</t>
  </si>
  <si>
    <t>net_benefit</t>
  </si>
  <si>
    <t>Total Number of Crediting years</t>
  </si>
  <si>
    <t>total_number_of_crediting_years</t>
  </si>
  <si>
    <t>Annual average over the crediting period</t>
  </si>
  <si>
    <t>annual_coverage</t>
  </si>
  <si>
    <t>Sustainable Development Goa 3</t>
  </si>
  <si>
    <t>Sustainable Development Goals (SDG) Outcomes</t>
  </si>
  <si>
    <t>sdg_outcomes</t>
  </si>
  <si>
    <t>Select the relevant SDG. (2)</t>
  </si>
  <si>
    <t>Select the relevant SDG.</t>
  </si>
  <si>
    <t>Proposed approach to monitor the SDG.</t>
  </si>
  <si>
    <t>Fixed data and parameters for monitoring.</t>
  </si>
  <si>
    <t>53e4555d703e020faa474bb4de261a84</t>
  </si>
  <si>
    <t>Monitoring Data Management Sys</t>
  </si>
  <si>
    <t>Monitoring Data Management System Details</t>
  </si>
  <si>
    <t>{"monitoring_system_type":"Centralized Digital Monitoring System","monitoring_system_manager":"example","monitoring_system_description":"example","data_collection_method":"example","data_storage_platform":"example","supporting_documentation":null,"field0":"example"}</t>
  </si>
  <si>
    <t>Monitoring System Type (1)</t>
  </si>
  <si>
    <t>Monitoring System Type</t>
  </si>
  <si>
    <t>Centralized Digital Monitoring System</t>
  </si>
  <si>
    <t>monitoring_system_type</t>
  </si>
  <si>
    <t>Monitoring System Manager</t>
  </si>
  <si>
    <t>monitoring_system_manager</t>
  </si>
  <si>
    <t>Monitoring System Description</t>
  </si>
  <si>
    <t>monitoring_system_description</t>
  </si>
  <si>
    <t>Data Collection Method</t>
  </si>
  <si>
    <t>data_collection_method</t>
  </si>
  <si>
    <t>Data Storage Platform</t>
  </si>
  <si>
    <t>data_storage_platform</t>
  </si>
  <si>
    <t>Supporting Documentation</t>
  </si>
  <si>
    <t>ipfs://198963dfbe52ad11bc4fcc35a0145293</t>
  </si>
  <si>
    <t>supporting_documentation</t>
  </si>
  <si>
    <t>^[a-zA-Z0-9 ]{2,200}$</t>
  </si>
  <si>
    <t>Monitoring System Type (Other)</t>
  </si>
  <si>
    <t>718a222fda12bfc5343a33536685148e</t>
  </si>
  <si>
    <t>other_monitoring_system_type</t>
  </si>
  <si>
    <t>Project Crediting Period Detai</t>
  </si>
  <si>
    <t>Project Crediting Period Details</t>
  </si>
  <si>
    <t>{"intended_start_date":"2026-01-20","project_crediting_period":{"from":"2026-02-17","to":"2028-08-09"},"duration_of_crediting_period":null,"type_of_crediting_period":"Fixed"}</t>
  </si>
  <si>
    <t>project_crediting_period_details</t>
  </si>
  <si>
    <t>Intended Start Date</t>
  </si>
  <si>
    <t>Project Crediting Period 2</t>
  </si>
  <si>
    <t xml:space="preserve">Project Crediting Period </t>
  </si>
  <si>
    <t>from</t>
  </si>
  <si>
    <t>to</t>
  </si>
  <si>
    <t xml:space="preserve">Duration of crediting Period </t>
  </si>
  <si>
    <t>Type of crediting Period (1)</t>
  </si>
  <si>
    <t xml:space="preserve">Type of crediting Period </t>
  </si>
  <si>
    <t>Project Boundary and Additiona</t>
  </si>
  <si>
    <t>Project Boundary and Additionality</t>
  </si>
  <si>
    <t>{"number_of_households_served":1,"number_of_institutions_served":1,"backup_fossil_fuel_engines":true,"grid_connection":true,"boundary_description":"example","baseline_scenario":[1],"project_scenario":[1],"field0":{"baseline_sources":[{"source_name":"1","associated_ghgs":[{"ghg_name":"1","is_included":true,"justification":"1"}]}]},"field1":{"project_sources":[{"source_name":"example","associated_ghgs":[{"ghg_name":"example","is_included":true,"justification":"example"}]}]},"demonstration_of_additionality":"example","supporting_documentation":"ipfs://&lt;example&gt;"}</t>
  </si>
  <si>
    <t>project_boundary_and_additionality</t>
  </si>
  <si>
    <t>No. of Households Served</t>
  </si>
  <si>
    <t>number_of_households_served</t>
  </si>
  <si>
    <t>No. of Institutions Served</t>
  </si>
  <si>
    <t>number_of_institutions_served</t>
  </si>
  <si>
    <t>Backup fossil fuel engines?</t>
  </si>
  <si>
    <t>backup_fossil_fuel_engines</t>
  </si>
  <si>
    <t>Grid Connection</t>
  </si>
  <si>
    <t>grid_connection</t>
  </si>
  <si>
    <t>Boundary Description</t>
  </si>
  <si>
    <t>boundary_description</t>
  </si>
  <si>
    <t>Baseline Scenario - Sources</t>
  </si>
  <si>
    <t>Baseline Scenario</t>
  </si>
  <si>
    <t>baseline_scenario_sources</t>
  </si>
  <si>
    <t>Source</t>
  </si>
  <si>
    <t>baseline_sources</t>
  </si>
  <si>
    <t>source_name</t>
  </si>
  <si>
    <t>GHG Details</t>
  </si>
  <si>
    <t>GHG</t>
  </si>
  <si>
    <t>associated_ghgs</t>
  </si>
  <si>
    <t>Green House Gas</t>
  </si>
  <si>
    <t>ghg_name</t>
  </si>
  <si>
    <t>Included?</t>
  </si>
  <si>
    <t>is_included</t>
  </si>
  <si>
    <t>Justification/ Explanation</t>
  </si>
  <si>
    <t>justification</t>
  </si>
  <si>
    <t>Project Scenario - Sources</t>
  </si>
  <si>
    <t>Project Scenario</t>
  </si>
  <si>
    <t>project_scenario_sources</t>
  </si>
  <si>
    <t>project_sources</t>
  </si>
  <si>
    <t>Leakage Emissions - Sources</t>
  </si>
  <si>
    <t>Leakage Emissions</t>
  </si>
  <si>
    <t>{"baseline_sources":[{"source_name":"example","associated_ghgs":[{"ghg_name":"example","is_included":true,"justification":"example"}]}]}</t>
  </si>
  <si>
    <t>leakage_emissions</t>
  </si>
  <si>
    <t>Demonstration Additionality</t>
  </si>
  <si>
    <t>Demonstration of Additionality</t>
  </si>
  <si>
    <t>demonstration_of_additionality</t>
  </si>
  <si>
    <t>Brief Introduction of Demonstration of Additionality</t>
  </si>
  <si>
    <t>0043bec60e5f9ae22d57153c2170e96f</t>
  </si>
  <si>
    <t>demonstration_additionality_introduction</t>
  </si>
  <si>
    <t xml:space="preserve">Additionality Approach Selection </t>
  </si>
  <si>
    <t>4444058ffa0cb967e2711fb217845ff0</t>
  </si>
  <si>
    <t>additionality_approach</t>
  </si>
  <si>
    <t>Regulatory  Surplus Analysis</t>
  </si>
  <si>
    <t>221300e899372b4097521959428066f2</t>
  </si>
  <si>
    <t>regulatory_surplus_analysis</t>
  </si>
  <si>
    <t>Lock-In Risk Analysis</t>
  </si>
  <si>
    <t>9f488b03875248e47a5a7e7f9d63246c</t>
  </si>
  <si>
    <t>risk_analysis</t>
  </si>
  <si>
    <t>Investment / Financial Analysis</t>
  </si>
  <si>
    <t>11a4712336f4f20221832c49cb3949ec</t>
  </si>
  <si>
    <t>investment_analysis</t>
  </si>
  <si>
    <t>Barrier Analysis</t>
  </si>
  <si>
    <t>386ae6613aa5d3cf03e799b8be3a51af</t>
  </si>
  <si>
    <t>barrier_analysis</t>
  </si>
  <si>
    <t xml:space="preserve">Common Practice Analysis </t>
  </si>
  <si>
    <t>e2b2277daf68b9088fed48a9453608a1</t>
  </si>
  <si>
    <t>common_practice_analysis</t>
  </si>
  <si>
    <t xml:space="preserve">Ongoing Financial need </t>
  </si>
  <si>
    <t>372b5a580b48d29fd86c07b6e6f7c275</t>
  </si>
  <si>
    <t>ongoing_financial_need</t>
  </si>
  <si>
    <t>ipfs://bf3035ca5c2e5ea3328a7a70d2c8e554</t>
  </si>
  <si>
    <t>Maintenance and Operation Plan</t>
  </si>
  <si>
    <t>maintenance_and_operation_plan</t>
  </si>
  <si>
    <t>Maintenance Frequency</t>
  </si>
  <si>
    <t>9c543ecc329a57619a326e28f0a33313</t>
  </si>
  <si>
    <t>maintenance_frequency</t>
  </si>
  <si>
    <t>Responsible Party</t>
  </si>
  <si>
    <t>0729927396bef34e8b2c8c6a04977bdf</t>
  </si>
  <si>
    <t>responsible_party</t>
  </si>
  <si>
    <t>Spare Parts List</t>
  </si>
  <si>
    <t>59febddcf22e2bbc3bef85a77ef26799</t>
  </si>
  <si>
    <t>spare_parts_list</t>
  </si>
  <si>
    <t>Maintenance SOP Upload</t>
  </si>
  <si>
    <t>ipfs://1fa4572b2f06b42d613d68000fecb1e9</t>
  </si>
  <si>
    <t>maintenance_sop_upload</t>
  </si>
  <si>
    <t xml:space="preserve">Downtime Recording Mechanism Description </t>
  </si>
  <si>
    <t>c2f548ad110c93001c508ce23b38f30b</t>
  </si>
  <si>
    <t>downtime_recording_mechanism_description</t>
  </si>
  <si>
    <t>Hygiene Campaign Plan</t>
  </si>
  <si>
    <t>hygiene_campaign_plan</t>
  </si>
  <si>
    <t>Campaign type (2)</t>
  </si>
  <si>
    <t>Campaign type</t>
  </si>
  <si>
    <t>Training</t>
  </si>
  <si>
    <t>campaign_type</t>
  </si>
  <si>
    <t>Target audience</t>
  </si>
  <si>
    <t>da25e9ba6efc6471f60beb2911cd80f8</t>
  </si>
  <si>
    <t>target_audience</t>
  </si>
  <si>
    <t>Planned frequency</t>
  </si>
  <si>
    <t>a374ebb436044dedb20ff0010d80a9e4</t>
  </si>
  <si>
    <t>planned_frequency</t>
  </si>
  <si>
    <t xml:space="preserve">Hygiene topics covered </t>
  </si>
  <si>
    <t>cb9440a07c7be04338d91701a40ffd39</t>
  </si>
  <si>
    <t>hygiene_topics_covered</t>
  </si>
  <si>
    <t xml:space="preserve">Baseline hygiene status </t>
  </si>
  <si>
    <t>596eeb15e17de15b4c939b7f78b71f64</t>
  </si>
  <si>
    <t>baseline_hygiene_status</t>
  </si>
  <si>
    <t xml:space="preserve">Training materials (upload) </t>
  </si>
  <si>
    <t>ipfs://7c7f9524dec8b16bb07f24b53f83809e</t>
  </si>
  <si>
    <t>training_materials</t>
  </si>
  <si>
    <t>Host Country Regulatory Framew</t>
  </si>
  <si>
    <t>Host Country Regulatory Framework</t>
  </si>
  <si>
    <t>{"national_regulations_summary":"example","sub_national_regulations":"example","local_regulations":"example","tariff_requirements":"example","compliance_statement":"example","attachment_upload":null}</t>
  </si>
  <si>
    <t>host_country_regulatory_framework</t>
  </si>
  <si>
    <t>National Regulations Summary</t>
  </si>
  <si>
    <t>national_regulations_summary</t>
  </si>
  <si>
    <t>Sub-national Regulations</t>
  </si>
  <si>
    <t>sub_national_regulations</t>
  </si>
  <si>
    <t>Local Regulations</t>
  </si>
  <si>
    <t>local_regulations</t>
  </si>
  <si>
    <t>Tariff Requirements</t>
  </si>
  <si>
    <t>tariff_requirements</t>
  </si>
  <si>
    <t>Compliance Statement</t>
  </si>
  <si>
    <t>compliance_statement</t>
  </si>
  <si>
    <t>Attachment Upload (PDF, max 20 MB)</t>
  </si>
  <si>
    <t>ipfs://dc2983211fb19ca74aee6fe4be4259e0</t>
  </si>
  <si>
    <t>attachment_upload</t>
  </si>
  <si>
    <t>Monitoring Plan Summary</t>
  </si>
  <si>
    <t>{"data_parameters_to_monitor":[{"relevant_sdg":"1. No Poverty","monitoring_parameter":[{"monitoring_parameter":"example","unit":"example","description":"example","source_of_data":"example","measurement_methods":"example","monitoring_frequency":"example","qa_qc_procedures":"example","purpose_of_data":"example","additional_comment":"example"}],"sampling_plan":"ipfs://&lt;example&gt;","supporting_files":"ipfs://&lt;example&gt;","technology_specific_fields":{"treatment_technology_category":"CWT, CWS","field2":{"maintenance_plan_description":"example","responsible_party":"example","logging_system":"example","downtime_recording_method":"example","maintenance_attachment_pdf":"ipfs://&lt;example&gt;"}}}]}</t>
  </si>
  <si>
    <t>monitoring_plan_summary</t>
  </si>
  <si>
    <t>Data and Parameters to Be M 2</t>
  </si>
  <si>
    <t xml:space="preserve">SDG 13 - Climate Action  </t>
  </si>
  <si>
    <t>data_parameters_to_monitor_sdg_13</t>
  </si>
  <si>
    <t>Monitoring Parameter - Item</t>
  </si>
  <si>
    <t>Monitoring Parameter</t>
  </si>
  <si>
    <t>monitoring_parameter_13</t>
  </si>
  <si>
    <t>monitoring_parameter</t>
  </si>
  <si>
    <t>Measurement Methods and Procedures to Be Applied</t>
  </si>
  <si>
    <t>measurement_methods</t>
  </si>
  <si>
    <t>Frequency of Monitoring</t>
  </si>
  <si>
    <t>monitoring_frequency</t>
  </si>
  <si>
    <t>QA/QC Procedures to Be Applied</t>
  </si>
  <si>
    <t>qa_qc_procedures</t>
  </si>
  <si>
    <t>Sampling Plan</t>
  </si>
  <si>
    <t>ipfs://8824e9ada7feb278929beefd45c3b6a1</t>
  </si>
  <si>
    <t>sampling_plan</t>
  </si>
  <si>
    <t>Supporting Files</t>
  </si>
  <si>
    <t>ipfs://a84ae5c0ef6ce91ee983f6aa7494a278</t>
  </si>
  <si>
    <t>supporting_files</t>
  </si>
  <si>
    <t>Data and Parameters to Be Moni</t>
  </si>
  <si>
    <t>Data and Parameters to Be Monitored</t>
  </si>
  <si>
    <t>data_parameters_to_monitor</t>
  </si>
  <si>
    <t>Relevant SDG (2)</t>
  </si>
  <si>
    <t>Relevant SDG</t>
  </si>
  <si>
    <t>relevant_sdg</t>
  </si>
  <si>
    <t>ipfs://ada4735b44c728a4bb5da943b1a9a4d4</t>
  </si>
  <si>
    <t>ipfs://1376cf5abe48aeb544cd643632abd3d9</t>
  </si>
  <si>
    <t>Technology-Specific Details</t>
  </si>
  <si>
    <t>technology_specific_details</t>
  </si>
  <si>
    <t>Treatment Technology Category (12)</t>
  </si>
  <si>
    <t>No additional details required.</t>
  </si>
  <si>
    <t>Maintenance Plan for CWTCWS</t>
  </si>
  <si>
    <t>Maintenance Plan</t>
  </si>
  <si>
    <t>Maintenance Plan Description</t>
  </si>
  <si>
    <t>maintenance_plan_description</t>
  </si>
  <si>
    <t>Logging System</t>
  </si>
  <si>
    <t>logging_system</t>
  </si>
  <si>
    <t>Downtime Recording Method</t>
  </si>
  <si>
    <t>downtime_recording_method</t>
  </si>
  <si>
    <t>Attachment Upload (PDF only, &lt; 20 MB)</t>
  </si>
  <si>
    <t>ipfs://e465400de56f5ec9df9df39739c1cbdc</t>
  </si>
  <si>
    <t>maintenance_attachment_pdf</t>
  </si>
  <si>
    <t>GS MERSDW VVB Onboarding Schema</t>
  </si>
  <si>
    <t>Validation and Verification Body (VVB) Onboarding</t>
  </si>
  <si>
    <t>example vvb</t>
  </si>
  <si>
    <t>Country of Registration</t>
  </si>
  <si>
    <t>{"country":"Afghanistan"}</t>
  </si>
  <si>
    <t>country_of_registration</t>
  </si>
  <si>
    <t>Scope</t>
  </si>
  <si>
    <t>Community Services Activities</t>
  </si>
  <si>
    <t>scope</t>
  </si>
  <si>
    <t>Accreditation Scope</t>
  </si>
  <si>
    <t>Energy industries</t>
  </si>
  <si>
    <t>accreditation_scope</t>
  </si>
  <si>
    <t>Registered Address</t>
  </si>
  <si>
    <t>registered_address</t>
  </si>
  <si>
    <t>example@example.example</t>
  </si>
  <si>
    <t>Authorized Contact Person Name</t>
  </si>
  <si>
    <t>authorized_contact_person_name</t>
  </si>
  <si>
    <t>Authorized Contact Person Role</t>
  </si>
  <si>
    <t>authorized_contact_person_role</t>
  </si>
  <si>
    <t>Authorized Contact Phone Number</t>
  </si>
  <si>
    <t>+11111111</t>
  </si>
  <si>
    <t>authorized_contact_phone_number</t>
  </si>
  <si>
    <t>ISO 14065 Accreditation Certificate</t>
  </si>
  <si>
    <t>iso_14065_accreditation_certificate</t>
  </si>
  <si>
    <t>Scope of Accreditation Document</t>
  </si>
  <si>
    <t>scope_of_accreditation_document</t>
  </si>
  <si>
    <t>Official Gold Standard Approval / Recognition Letter</t>
  </si>
  <si>
    <t>official_gold_standard_approval_letter</t>
  </si>
  <si>
    <t>Authorization Letter for Signatory</t>
  </si>
  <si>
    <t>authorization_letter_for_signatory</t>
  </si>
  <si>
    <t>Evidence of GS-Approved VVB Listing</t>
  </si>
  <si>
    <t>evidence_of_gs_approved_vvb_listing</t>
  </si>
  <si>
    <t>Conflict of Interest Declaration</t>
  </si>
  <si>
    <t>conflict_of_interest_declaration</t>
  </si>
  <si>
    <t>GS MERSDW Project Form</t>
  </si>
  <si>
    <t>{"project_name":"example","intended_start_date":"2026-01-16","intended_completion_date":"2026-01-16","project_status":"New","project_status_description":"example","project_scale":"Small","project_scale_justification":"example","sdg_contribution":[{"sdg_goal":"1. No Poverty","expected_impact":"example"}],"funding_sources":"example"}</t>
  </si>
  <si>
    <t>7fd977e35f50be7ebda8e988b25ead60</t>
  </si>
  <si>
    <t>b4e3d673c25a9e28be81a572207a1f0f</t>
  </si>
  <si>
    <t>cbce48a45240f1f78e9687d0196d8bef</t>
  </si>
  <si>
    <t>975461e179c65736d9bd70ddcf23a983</t>
  </si>
  <si>
    <t>{"country":{"country":"Afghanistan"},"state_region_province":"example","city_village":"example","postal_code":"example","urban_rural_classification":"Rural","project_location":{"type":"Point","coordinates":[0,0]},"gps_latitude":"11","gps_longitude":"11"}</t>
  </si>
  <si>
    <t>a777d65f98ef6ad571e3143ffe5f15b2</t>
  </si>
  <si>
    <t>a5777fc272f17ac5fa48a53e1c0e506f</t>
  </si>
  <si>
    <t>151c511c11bd89fa922c080daebc4e79</t>
  </si>
  <si>
    <t>1b500c44e58a4e97f17caca9e4a7521c</t>
  </si>
  <si>
    <t>c38d7b97049e6e701839daff64c674f6</t>
  </si>
  <si>
    <t>{"pd_entity_name":"example","pd_email_address":"example@example.example","contact_full_name":"example example","email_address":"example@example.example","phone_primary":"+11111111","phone_secondary":"+11111111","physical_address":"example","website":"example.example.example","years_of_experience":1}</t>
  </si>
  <si>
    <t>4fc5299c70b7a848fcfcf7d2aaf94a38</t>
  </si>
  <si>
    <t>38c2a533723a1f3e4035dce5429718d3</t>
  </si>
  <si>
    <t>193146ba43ca9b6684c360168ae59713</t>
  </si>
  <si>
    <t>ipfs://f0529b2102f7d377b205a94a83749474</t>
  </si>
  <si>
    <t>9334e82cc4c4ee7bbcc84b6471f7b7fa</t>
  </si>
  <si>
    <t>e0d6697362c10fb67fb7de3cd14f763e</t>
  </si>
  <si>
    <t>f8724efb6a6dc420cc8d1ee0b9ef5b53</t>
  </si>
  <si>
    <t>e838359c05ff32d327b46053aa044d5e</t>
  </si>
  <si>
    <t>e764e986b24d92ef7ca19142157c045d</t>
  </si>
  <si>
    <t>7beff5184644ac8bf69db96fb3abcdb5</t>
  </si>
  <si>
    <t>fce4de978f23cf6f4a18ff2ebed6996b</t>
  </si>
  <si>
    <t>a8e42352a34b4a0b6b75f249263e72e6</t>
  </si>
  <si>
    <t>ipfs://76f0ee68598f0a2ca143003ab2a5ad61</t>
  </si>
  <si>
    <t>ipfs://058dcc7aece8c2d853299470dab7c070</t>
  </si>
  <si>
    <t>ipfs://a8d53971cb144d78d59ddca08fab3e70</t>
  </si>
  <si>
    <t>550067d75949a7c75c985271dc47d9f2</t>
  </si>
  <si>
    <t>b4bbbd4d9ca3fb09d6f75268139fbb50</t>
  </si>
  <si>
    <t>6f2edae650a0f6d5d0b139a0f3995e71</t>
  </si>
  <si>
    <t>ab698689812b31bbe2ac87f9769dc92e</t>
  </si>
  <si>
    <t>606651ee31eba52a86d66c2908df1f0c</t>
  </si>
  <si>
    <t>fae37d767ec4b5faccc2b7e55d13b78d</t>
  </si>
  <si>
    <t>16b1be843b49309ed63dca1117219ec8</t>
  </si>
  <si>
    <t>Upload Supporting Compliance D</t>
  </si>
  <si>
    <t>Upload Supporting Compliance Documents</t>
  </si>
  <si>
    <t>{"performance_test_documents":"ipfs://&lt;example&gt;","certification_document":"ipfs://&lt;example&gt;","replacement_policy_document":"ipfs://&lt;example&gt;"}</t>
  </si>
  <si>
    <t>upload_supporting_compliance_documents</t>
  </si>
  <si>
    <t>Performance Test Documents (PDF Only)</t>
  </si>
  <si>
    <t>ipfs://61978d870fe912e0c4b08a6842cfdb7b</t>
  </si>
  <si>
    <t>performance_test_documents</t>
  </si>
  <si>
    <t>Certification Document Upload (PDF Only)</t>
  </si>
  <si>
    <t>ipfs://bb9a66d39c746a5031f8480b86ff06c7</t>
  </si>
  <si>
    <t>certification_document</t>
  </si>
  <si>
    <t>Replacement Policy Description (PDF Only)</t>
  </si>
  <si>
    <t>ipfs://cf3158c6a17f56d8efdfc57b01e5c5fc</t>
  </si>
  <si>
    <t>replacement_policy_document</t>
  </si>
  <si>
    <t>Project ID (auto-generated by the system — no user input required)</t>
  </si>
  <si>
    <t>Data and Parameters to Be Monitored - Wrapper</t>
  </si>
  <si>
    <t>Sub-Schema</t>
  </si>
  <si>
    <t>ipfs://5ade0e011fcd61aab7c1e12d1f8ccf00</t>
  </si>
  <si>
    <t>ipfs://d80ca53e84438ad8550a57078764fd2c</t>
  </si>
  <si>
    <t>ipfs://7067a69bfc6b909959d1e75fd9560af0</t>
  </si>
  <si>
    <t>ipfs://80e72c99cc60c49f5fd8eda27167f47d</t>
  </si>
  <si>
    <t>Monitoring report Basic Information</t>
  </si>
  <si>
    <t>ipfs://beed1a715f6665eb5a17162766acdf47</t>
  </si>
  <si>
    <t>a443865d85896e722dd76c0ce3dfc7a1</t>
  </si>
  <si>
    <t>ipfs://8577cdf068b6821ba52e35d557891c9f</t>
  </si>
  <si>
    <t>75bce783a2dec2f08800d74c865e3d40</t>
  </si>
  <si>
    <t>48550b06dff00d23c8e45d3cc9a32a36</t>
  </si>
  <si>
    <t>ebe063eb45658d28bf4ae2ebbbeb2ab7</t>
  </si>
  <si>
    <t>c4bd36d8a4dd2c7d87d1d92a88280d3b</t>
  </si>
  <si>
    <t>cd268c887704d43beafc7890369e3e43</t>
  </si>
  <si>
    <t>dce975ca4851497ace09f3f2349c588c</t>
  </si>
  <si>
    <t>454b561401bf5aa438efd35e05cbc929</t>
  </si>
  <si>
    <t>66c28c9f0a393eb1d5f9fd236007eedc</t>
  </si>
  <si>
    <t>ipfs://9391653eeed24adce1323fa635ea3716</t>
  </si>
  <si>
    <t>ipfs://10c80b41e4dc6444f23b332275c354aa</t>
  </si>
  <si>
    <t>ipfs://15ddc6f7297a20e086145a048ffdd1aa</t>
  </si>
  <si>
    <t>6e810426ba06312f9a12bf5d748d06dc</t>
  </si>
  <si>
    <t>907bbb8dd4134d3c18ebce181bba3636</t>
  </si>
  <si>
    <t>01a43510a40dacb2028a3050a353ad09</t>
  </si>
  <si>
    <t>5cd6d2339452fe8b747b15e13dfbb92c</t>
  </si>
  <si>
    <t>f140232ea4dcf72240de38255f5b071e</t>
  </si>
  <si>
    <t>2af23f68408abc45d901eeb429d321e9</t>
  </si>
  <si>
    <t>4b2a781a093a765e22275f190718623d</t>
  </si>
  <si>
    <t>Description of Monitoring System - Hygiene Campaign Monitoring</t>
  </si>
  <si>
    <t>ipfs://a5fd0ec5dfb06f7f1c156903d2ce30cb</t>
  </si>
  <si>
    <t>e061bbed35faa572f4a299ae87bac7d6</t>
  </si>
  <si>
    <t>ipfs://ffe6151b07910108120adca55f6f8e72</t>
  </si>
  <si>
    <t>Details related to technology replacement strategy during the crediting period</t>
  </si>
  <si>
    <t xml:space="preserve">SDG Co-Benefits </t>
  </si>
  <si>
    <t>ipfs://75595b2cc6a6d2fe3c4d0452114f347f</t>
  </si>
  <si>
    <t>de19c1245eb0b4ef963dd21654dd8f18</t>
  </si>
  <si>
    <t>919f3c6db083eddc941a82fbf90dc243</t>
  </si>
  <si>
    <t>ca43180849049b088b55042525f094cb</t>
  </si>
  <si>
    <t>ipfs://7089335db8f7d6fc3839a9b142db626e</t>
  </si>
  <si>
    <t>ipfs://cd9963ee3d53daf540e3bd988965b738</t>
  </si>
  <si>
    <t>ipfs://3dec6245fe8acb64a4c449e1f2864d5e</t>
  </si>
  <si>
    <t>ipfs://f97c4f9a7b5656d95bf32b1e9225fd52</t>
  </si>
  <si>
    <t>ipfs://b89155c913d1d59037d49d999c89d307</t>
  </si>
  <si>
    <t>ipfs://e23feab75a8034dffbfc193f2d36ccd8</t>
  </si>
  <si>
    <t>ipfs://eb3deb83fdc5fba9c9696b5da4614066</t>
  </si>
  <si>
    <t>ipfs://94d3965892204a2b5b88c07dc68250c3</t>
  </si>
  <si>
    <t>ipfs://9cabcff89e104c22bad41ba3493e7f68</t>
  </si>
  <si>
    <t>ipfs://f6fe808e951704f300b94cc457ae3697</t>
  </si>
  <si>
    <t>ipfs://eaba7582fed763ae0c090f6caa1d4418</t>
  </si>
  <si>
    <t>ipfs://fc4766d88c1783ac787a546560e60158</t>
  </si>
  <si>
    <t>ipfs://a2496dd2d2462be165b6a5a8f0086391</t>
  </si>
  <si>
    <t>Methodologies And Standardized Baseline</t>
  </si>
  <si>
    <t>350a0ca00cb0c3a9ea30fabdbca05f00</t>
  </si>
  <si>
    <t>ipfs://ff9d97fdf490a4036e68dacfd6b9525c</t>
  </si>
  <si>
    <t>be959bb73386c2b0befad1f57b6e8c16</t>
  </si>
  <si>
    <t>4ba730b6f1d370502caf1e4dd94e086f</t>
  </si>
  <si>
    <t>5b134bc5ea47921c4a7f28fb770bebe0</t>
  </si>
  <si>
    <t>f817a6197a709128b869a1ac95c36abe</t>
  </si>
  <si>
    <t>53972ab19c4c5254014e05b7e4fac999</t>
  </si>
  <si>
    <t>ipfs://9f0556d6f5f013bffbccab62ff4b5be9</t>
  </si>
  <si>
    <t>8b88ec41f19d05ec5e0312861303f664</t>
  </si>
  <si>
    <t>f3cece22ea7849eb375bbb450ee741c7</t>
  </si>
  <si>
    <t>ipfs://56b1dea647391f3da511f9a3379741bb</t>
  </si>
  <si>
    <t>ipfs://f9826e191d48c229566607e78cf59b28</t>
  </si>
  <si>
    <t>50a1cf54937044f18b981da47c680cdc</t>
  </si>
  <si>
    <t>ipfs://095a1fea4f3a38e14ac0ced89befc6b6</t>
  </si>
  <si>
    <t>ipfs://be97be4ddadd44109a8067663d987afa</t>
  </si>
  <si>
    <t>9d482b56e0250857ced6efdb7d52e223</t>
  </si>
  <si>
    <t>ipfs://4d1cc77f2ac219de73ac658fc679873c</t>
  </si>
  <si>
    <t>Description of Monitoring System - Operational Monitoring (CWT/CWS only)</t>
  </si>
  <si>
    <t xml:space="preserve">Operational Monitoring (CWT/CWS only) </t>
  </si>
  <si>
    <t>ipfs://4713731ad354dea3fc8123653700fb69</t>
  </si>
  <si>
    <t>If the Project Installation is Rehabilitation</t>
  </si>
  <si>
    <t>f11a9e6eca282113616f893a300bb4b5</t>
  </si>
  <si>
    <t>ipfs://ffa2f60260b87a11ad5b88c6146e7a48</t>
  </si>
  <si>
    <t>ipfs://4ebee68d9986a7c7db0363ce715f78c1</t>
  </si>
  <si>
    <t>bb19f6bd8b78f7500b1fede921443bc9</t>
  </si>
  <si>
    <t>fdec73aa93ebb0c686955a711ac1270b</t>
  </si>
  <si>
    <t>Project start and crediting period information</t>
  </si>
  <si>
    <t>ipfs://6a199660ecc12a43be9b304d4a02e6d8</t>
  </si>
  <si>
    <t>Project Water Supply Premises - HWT/IWT</t>
  </si>
  <si>
    <t>ipfs://b8fdb2a55651b3973706daf9d1142f76</t>
  </si>
  <si>
    <t>Sustainable Development Goals (SDG) Outcomes - Wrapper</t>
  </si>
  <si>
    <t>c47b96b56302a3e666ecfc5074125a5c</t>
  </si>
  <si>
    <t>8715ba62f894c7d3925eeaa0d417ab45</t>
  </si>
  <si>
    <t>Treatment Technology Sub-type (HWT, IWT, CWT)</t>
  </si>
  <si>
    <t>ipfs://fb6f5f9a516340ad606ac40513306f72</t>
  </si>
  <si>
    <t>ipfs://769822f5bd398866f452a0a06fcf95a1</t>
  </si>
  <si>
    <t>ipfs://24bada804bff8c2c92f332d2f643d860</t>
  </si>
  <si>
    <t>Methodologies and Standardized Baseline - Brief</t>
  </si>
  <si>
    <t>Maintenance Plan for CWT/CWS</t>
  </si>
  <si>
    <t>ipfs://33e9b82f3ddba44b8a15a2060b79c5a9</t>
  </si>
  <si>
    <t>Description of Monitoring System - CWT/CWS</t>
  </si>
  <si>
    <t>Sustainable Development Goals (SDG) Outcomes - SDG-13</t>
  </si>
  <si>
    <t>e7eab966316059236c2b2dcb8a16fee0</t>
  </si>
  <si>
    <t>14ff9b97dd1f26554f5578cb9ea080ac</t>
  </si>
  <si>
    <t>53b2550e1a1a7bb5f017764d7a3fe437</t>
  </si>
  <si>
    <t>049a137115698044d42bd12717e05663</t>
  </si>
  <si>
    <t>2986a5b76a1ea49cc380ff71aa4da99f</t>
  </si>
  <si>
    <t>00aa070090a51062d2354fbce005483a</t>
  </si>
  <si>
    <t>Fraction of non-renewable biomass assessment</t>
  </si>
  <si>
    <t>ipfs://197049807a280a909b0834ce7902d86c</t>
  </si>
  <si>
    <t>8d88db9f459777389de2318134e216ea</t>
  </si>
  <si>
    <t>a07164e5783d533c62165d31a400fe58</t>
  </si>
  <si>
    <t>ipfs://6f54208170b806bd92cff77eeb8effd1</t>
  </si>
  <si>
    <t>ipfs://496e17be76dbb73358589373b3506f6f</t>
  </si>
  <si>
    <t>Estimated Net Emission Reduction</t>
  </si>
  <si>
    <t>d1716b9ef5a48a46cea9c6b97ae070a5</t>
  </si>
  <si>
    <t>Treatment Technology Sub-type (CWS)</t>
  </si>
  <si>
    <t>83dc1a86152cac60e0c5b3a6cb0dbef7</t>
  </si>
  <si>
    <t>2f680ab2797052a00ca90f2701efbd84</t>
  </si>
  <si>
    <t>726dfc849040c6ef03de8c9d83938f7c</t>
  </si>
  <si>
    <t>Description of Monitoring System - HWT/IWT</t>
  </si>
  <si>
    <t>657f82d13275866c3c2abad3275c352a</t>
  </si>
  <si>
    <t>ddf8d305473664f3ed841fe5a1001391</t>
  </si>
  <si>
    <t>5e6135371f1617f502ec7eab10428e78</t>
  </si>
  <si>
    <t>f304d70023c702bf63d9025d1d0ae31e</t>
  </si>
  <si>
    <t>ipfs://632f2c65f24c25ea764027cac8b53f3a</t>
  </si>
  <si>
    <t>ipfs://b5f8be52b77cf79b3560d8b1e2d011eb</t>
  </si>
  <si>
    <t>ipfs://49398816cae5810756d2635757454776</t>
  </si>
  <si>
    <t>ipfs://5a2233b55efd6e9a46b044e152f6036b</t>
  </si>
  <si>
    <t>ipfs://b0e5fcb4002beecf20a7212868ef81bf</t>
  </si>
  <si>
    <t>ipfs://65c52bbc8a4ffa3872045619ccc1b0c5</t>
  </si>
  <si>
    <t>ipfs://ce8658a58049beffb9f1f008111a9018</t>
  </si>
  <si>
    <t>ipfs://0780506ed14fcdf324ad2528dd413d75</t>
  </si>
  <si>
    <t>ipfs://5d2e3c272b2cd93ab242da339affd434</t>
  </si>
  <si>
    <t>ipfs://ec40f6158a03af5a667a1b77f9d5675d</t>
  </si>
  <si>
    <t>ipfs://d00bb725cd88fd66e797a4f83853f76d</t>
  </si>
  <si>
    <t>61ee697698d48f7278f4d58e167069ec</t>
  </si>
  <si>
    <t>d9f6ef9778c482f381003b2e9186f62c</t>
  </si>
  <si>
    <t>a2c6afc600a1493e0a019d55a502f97d</t>
  </si>
  <si>
    <t>64c3d01033ed882e86cde3b4dc647b61</t>
  </si>
  <si>
    <t>008ef19a670aa6cab52b532881cc1aaf</t>
  </si>
  <si>
    <t>ipfs://4cf0babb7f838ae899d4d10a233015cc</t>
  </si>
  <si>
    <t>Data and parameters fixed ex ante for the SDG</t>
  </si>
  <si>
    <t>0eac12f7af6b3385bab49ac7426816d0</t>
  </si>
  <si>
    <t>Baseline Treatment Method - Wrapper</t>
  </si>
  <si>
    <t>dc4e7871c4fd30efc44918e36a5133e6</t>
  </si>
  <si>
    <t>Project Boundary and Additionality Details</t>
  </si>
  <si>
    <t>4d9c6d575770ef06d0f93dc049e23ca2</t>
  </si>
  <si>
    <t>d70e2f14ead829f0874de60257c44df9</t>
  </si>
  <si>
    <t>bea132e1e72fb9a312e05135dfa9450a</t>
  </si>
  <si>
    <t>c2127e417b7e9334f9b11c845020b88f</t>
  </si>
  <si>
    <t>88f41b4d5bcffeea04bca6b54bffc0c4</t>
  </si>
  <si>
    <t>b7438f0f313678497b4a549d9ab46e12</t>
  </si>
  <si>
    <t>fb9e2fc925a4b903ecd2f45a2150e3f5</t>
  </si>
  <si>
    <t>4283cf53aa7e9f6ea30b33b024520d26</t>
  </si>
  <si>
    <t>ipfs://28fa4337557435884b1e5ddc2471d180</t>
  </si>
  <si>
    <t>30343a3057fea32da19c784e786e843a</t>
  </si>
  <si>
    <t>61d3062d84c0e73e7752e2a7c4449faf</t>
  </si>
  <si>
    <t>5c8afa76b67cd25328ac37884c72be36</t>
  </si>
  <si>
    <t>ipfs://bdf999169c5763b468d15df72aeb8aee</t>
  </si>
  <si>
    <t>16489dd379caeba8d74d77c5c0d9bd32</t>
  </si>
  <si>
    <t>3eecefb95cec4b6b6830847020800e24</t>
  </si>
  <si>
    <t>1faaa672efdddd009b3a8184e7dc791f</t>
  </si>
  <si>
    <t>184ad73ce44bceaeb27c218fc6f0d3cb</t>
  </si>
  <si>
    <t>804f2031955d2a05c6cf9462db421e8b</t>
  </si>
  <si>
    <t>ipfs://e1131b04c2c0c830da8c0aa2fbbae0c2</t>
  </si>
  <si>
    <t>Baseline Water Sources - Wrapper</t>
  </si>
  <si>
    <t>86859b289caa6cc1cd1d33377c475516</t>
  </si>
  <si>
    <t>ipfs://8c0e72e52a3ab4a140db3335a89bcd73</t>
  </si>
  <si>
    <t>20ab2c5a6c7982aec27210e2cc45ea53</t>
  </si>
  <si>
    <t>9878478f956f3b3c57e974fd2cc237ae</t>
  </si>
  <si>
    <t>61110573f2ecbfe03a4cf56eecc17bf7</t>
  </si>
  <si>
    <t>ipfs://8ace04d19d32f67b171767ff9de0dd5f</t>
  </si>
  <si>
    <t>ipfs://346a72e86f98ce72f64319968e906d49</t>
  </si>
  <si>
    <t>ipfs://66de765afa70cf8c260efe275ef67a44</t>
  </si>
  <si>
    <t>ipfs://cc5ebff94be0f6d9df89a0097af0dd0e</t>
  </si>
  <si>
    <t>Description of Monitoring System - Water Quality Monitoring</t>
  </si>
  <si>
    <t>3703c5cda49119b2a6cbd74685316032</t>
  </si>
  <si>
    <t>ipfs://fa067851876a23e5c025f6a88e90389d</t>
  </si>
  <si>
    <t>585a2cd45aa8ca2094ff83766cb86e43</t>
  </si>
  <si>
    <t>2d43563091b11f05cd6a0db112515976</t>
  </si>
  <si>
    <t>5aaa11d0ae8d7c10e61cf8226e3061b6</t>
  </si>
  <si>
    <t>9d5f0e6b6572ec83560201e834a2f3f6</t>
  </si>
  <si>
    <t>c4ac149a80bb0921655848ec222311dc</t>
  </si>
  <si>
    <t>914b2da80662ba5944ed592a71d59b8f</t>
  </si>
  <si>
    <t>a1c605bafec11d08f21a3f7e2bbeb19a</t>
  </si>
  <si>
    <t>Baseline Treatment Method - Item</t>
  </si>
  <si>
    <t>a4439c5445c3039fa17bf417eed19dad</t>
  </si>
  <si>
    <t>ipfs://69dbaed63971ece9fdd1aed80cb5bf62</t>
  </si>
  <si>
    <t>Treatment Technology Sub-type Selection</t>
  </si>
  <si>
    <t>ipfs://6e5aff68e346d1e9882fee67908d0782</t>
  </si>
  <si>
    <t>be237452e6b1e1ab802f91aebf6095eb</t>
  </si>
  <si>
    <t>9230b49b5f73abc488959568a1f29b2e</t>
  </si>
  <si>
    <t>ipfs://6f9e5a24afd4496f2dd51590d482b9b3</t>
  </si>
  <si>
    <t>264dd20647d4dd4a3a0b67ac78e61705</t>
  </si>
  <si>
    <t>b87c274714221d8a372bc36041496662</t>
  </si>
  <si>
    <t>6bf65581ad1f5885bc762e6324d13ae5</t>
  </si>
  <si>
    <t>8037bb07bc4fea1caf35d9e05ef32cbd</t>
  </si>
  <si>
    <t>30ac26aed36864ed08ad5decc3bad464</t>
  </si>
  <si>
    <t>72e7a934a45c2b308685287056be809e</t>
  </si>
  <si>
    <t>b686e1d5daf698b06ee0c0d894048f27</t>
  </si>
  <si>
    <t>6cd7c0089528c20d6c92a83a11e9795e</t>
  </si>
  <si>
    <t>f6ab2f29189258ecf3693c5901249ad3</t>
  </si>
  <si>
    <t>5061ffde902d8194a6510fa46b59ae45</t>
  </si>
  <si>
    <t>fe68a922470dbe7910103818822db81b</t>
  </si>
  <si>
    <t>ipfs://2e9d9d1bb617cd95ddbf5f13326495de</t>
  </si>
  <si>
    <t>c5219f6b1d6e544ab4fb4e35154bf6fd</t>
  </si>
  <si>
    <t>54b5711b1b7d7362a9eb826a6d137dce</t>
  </si>
  <si>
    <t>8ff75b2ed94e3ef61eceb41e3982e4e2</t>
  </si>
  <si>
    <t>92997dce94adbef05c89b398a75f132c</t>
  </si>
  <si>
    <t>b8c6d21f7021d0727f5d69ea9e515782</t>
  </si>
  <si>
    <t>ipfs://71e0ec38e622faa5684c873f1386b614</t>
  </si>
  <si>
    <t>2d41a5b3d2abf777e5239ad6db440c00</t>
  </si>
  <si>
    <t>52af66008f51fc52222fa8eba2350029</t>
  </si>
  <si>
    <t>b34fc6388109248c2ff17ec15f3e4a8f</t>
  </si>
  <si>
    <t>4debc527f91aecac42281439a7509f57</t>
  </si>
  <si>
    <t>170980978c01eccb6f9f27ff738eee0a</t>
  </si>
  <si>
    <t>2989e82f9efa778a2f1a4ec847d1fa63</t>
  </si>
  <si>
    <t>808f4241a1fe43a872761790ff411349</t>
  </si>
  <si>
    <t>9407450175eae5636d91c956faa82d86</t>
  </si>
  <si>
    <t>ipfs://cdf76b57836a0b16c85f53a1f740805a</t>
  </si>
  <si>
    <t>ipfs://cdca71816c7d242540cabb289c6cc00b</t>
  </si>
  <si>
    <t>ipfs://4944f851d16a4e2ffba5236cec727d38</t>
  </si>
  <si>
    <t>Project Water Supply Premises - CWT/CWS</t>
  </si>
  <si>
    <t>ipfs://da4dc63f36d5d2b70bf28791778bb211</t>
  </si>
  <si>
    <t>Project Water Supply Premises - Individual Type -CWT/CWS</t>
  </si>
  <si>
    <t>Project Water Supply Premises - Individual Type - HWT/IWT</t>
  </si>
  <si>
    <t>ipfs://5a692c07501ec05a87c735f737183edc</t>
  </si>
  <si>
    <t>ipfs://70e9998f5337abd902219b3013e24a75</t>
  </si>
  <si>
    <t>ipfs://68edc322e6feae190c8f435c7b51d349</t>
  </si>
  <si>
    <t>ipfs://50077fead6244a1a79da27e64cebcb2c</t>
  </si>
  <si>
    <t>ipfs://dafe585be48cb90ce2137c41155f2803</t>
  </si>
  <si>
    <t>ipfs://66a045cfc2a1156fdb0767777a59c501</t>
  </si>
  <si>
    <t>ipfs://04eaa265583cc943919b4219ca6dc030</t>
  </si>
  <si>
    <t>Adjusted quantity of safe drinking water in the year - CWT/CWS</t>
  </si>
  <si>
    <t>Adjusted quantity of safe drinking water in the year - HWT/IWT</t>
  </si>
  <si>
    <t>ipfs://87ebda6526cba5b09785060d65ca7c77</t>
  </si>
  <si>
    <t>ipfs://83f9ac4ab006f97aac041ad5f439ff17</t>
  </si>
  <si>
    <t>ipfs://b1fe44dda4577ae7e9e3e2f9bba9599f</t>
  </si>
  <si>
    <t>Option 1 – Default 2% deduction</t>
  </si>
  <si>
    <t>ipfs://c0b6e34214e3b0a748d7111aa2af18bf</t>
  </si>
  <si>
    <t>ipfs://9b16b9714e895c0ef421a477b92449e0</t>
  </si>
  <si>
    <t>ipfs://af81a911fd5d503331710ea6648b3491</t>
  </si>
  <si>
    <t>ipfs://5caeb6b82ef0bf2517f8592bd2ebaf0d</t>
  </si>
  <si>
    <t>Baseline Treatment Method - Item with Location</t>
  </si>
  <si>
    <t>6cb25a24fd2851e3995fc920e8f76c4f</t>
  </si>
  <si>
    <t>Water Source Details Percentages</t>
  </si>
  <si>
    <t>Stove Details - Item with Location</t>
  </si>
  <si>
    <t>f79f630ffb85e29c62cbdcd26c89f575</t>
  </si>
  <si>
    <t>565ea060f4fa58c814273ecf62b6c91c</t>
  </si>
  <si>
    <t>a75ecf198cf999c9a8cae2f6da357da3</t>
  </si>
  <si>
    <t>735b3513fa82ffe18639d34777ffd136</t>
  </si>
  <si>
    <t>ipfs://24c72e499829cd89a50d08cb13bedd8f</t>
  </si>
  <si>
    <t>ipfs://3ed773bbdf77990be809c63efff1cadc</t>
  </si>
  <si>
    <t>Data and Parameters to Be Monitored - SDG 13</t>
  </si>
  <si>
    <t>ipfs://ab10d5ffabaf5359009ceedbcb99ab61</t>
  </si>
  <si>
    <t>ipfs://4e43c8c68a79d85828545a526e5468a4</t>
  </si>
  <si>
    <t>Enum Name</t>
  </si>
  <si>
    <t>Loaded to IPFS</t>
  </si>
  <si>
    <t>Value</t>
  </si>
  <si>
    <t>Desk Review</t>
  </si>
  <si>
    <t>Sampling Assessment</t>
  </si>
  <si>
    <t>Field Visit</t>
  </si>
  <si>
    <t>NGO</t>
  </si>
  <si>
    <t>Government Body</t>
  </si>
  <si>
    <t>Research Institute</t>
  </si>
  <si>
    <t>Other</t>
  </si>
  <si>
    <t>CWS</t>
  </si>
  <si>
    <t>Sand Water Filters</t>
  </si>
  <si>
    <t>Composite Water Filters</t>
  </si>
  <si>
    <t>Membrane Water Filters</t>
  </si>
  <si>
    <t>Bleach/Chlorine Treatment</t>
  </si>
  <si>
    <t>UV Disinfection</t>
  </si>
  <si>
    <t>Other (Specify)</t>
  </si>
  <si>
    <t>Treatment Technology Sub-type (1)</t>
  </si>
  <si>
    <t>Protected Springs</t>
  </si>
  <si>
    <t>Mechanized Water Pumps</t>
  </si>
  <si>
    <t>HWT, IWT</t>
  </si>
  <si>
    <t>Afghanistan</t>
  </si>
  <si>
    <t>Akrotiri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</si>
  <si>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</si>
  <si>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</si>
  <si>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</si>
  <si>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</si>
  <si>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</si>
  <si>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</si>
  <si>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</si>
  <si>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</si>
  <si>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</si>
  <si>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</si>
  <si>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</si>
  <si>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</si>
  <si>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</si>
  <si>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</si>
  <si>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</si>
  <si>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</si>
  <si>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</si>
  <si>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</si>
  <si>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</si>
  <si>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</si>
  <si>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</si>
  <si>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</si>
  <si>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</si>
  <si>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</si>
  <si>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</si>
  <si>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</si>
  <si>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</si>
  <si>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</si>
  <si>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</si>
  <si>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</si>
  <si>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</si>
  <si>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</si>
  <si>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</si>
  <si>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</si>
  <si>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</si>
  <si>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</si>
  <si>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</si>
  <si>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</si>
  <si>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Caribbean Netherlands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</si>
  <si>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</si>
  <si>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</si>
  <si>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</si>
  <si>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</si>
  <si>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</si>
  <si>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</si>
  <si>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</si>
  <si>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</si>
  <si>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</si>
  <si>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Cook Islands</t>
  </si>
  <si>
    <t>Costa Rica</t>
  </si>
  <si>
    <t>Croatia</t>
  </si>
  <si>
    <t>Cuba</t>
  </si>
  <si>
    <t>Curaçao</t>
  </si>
  <si>
    <t>Cyprus</t>
  </si>
  <si>
    <t>Czech Republic</t>
  </si>
  <si>
    <t>Democratic Republic of the Congo</t>
  </si>
  <si>
    <t>Denmark</t>
  </si>
  <si>
    <t>Dhekelia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</si>
  <si>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</si>
  <si>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</si>
  <si>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</si>
  <si>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</si>
  <si>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</si>
  <si>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</si>
  <si>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</si>
  <si>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</si>
  <si>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</si>
  <si>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</si>
  <si>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</si>
  <si>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</t>
  </si>
  <si>
    <t>Faroe Islands</t>
  </si>
  <si>
    <t>Federated States of Micronesia</t>
  </si>
  <si>
    <t>Fiji</t>
  </si>
  <si>
    <t>Finland</t>
  </si>
  <si>
    <t>France</t>
  </si>
  <si>
    <t>French Guiana</t>
  </si>
  <si>
    <t>French Polynesia</t>
  </si>
  <si>
    <t>French Southern and Antarctic Lands</t>
  </si>
  <si>
    <t>Gabon</t>
  </si>
  <si>
    <t>Gaza Strip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</si>
  <si>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</si>
  <si>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</si>
  <si>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</si>
  <si>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</si>
  <si>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</si>
  <si>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</si>
  <si>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</si>
  <si>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</si>
  <si>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</si>
  <si>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</si>
  <si>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</si>
  <si>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</si>
  <si>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</si>
  <si>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</si>
  <si>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</si>
  <si>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</si>
  <si>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</si>
  <si>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</si>
  <si>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</si>
  <si>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</si>
  <si>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</si>
  <si>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</si>
  <si>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</si>
  <si>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</si>
  <si>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</si>
  <si>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</si>
  <si>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</si>
  <si>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</si>
  <si>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Ivory Coast</t>
  </si>
  <si>
    <t>Jamaica</t>
  </si>
  <si>
    <t>Japan</t>
  </si>
  <si>
    <t>Jersey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</si>
  <si>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</si>
  <si>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</si>
  <si>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</si>
  <si>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</si>
  <si>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</si>
  <si>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</si>
  <si>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</si>
  <si>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</si>
  <si>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</si>
  <si>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</si>
  <si>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</si>
  <si>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</si>
  <si>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</si>
  <si>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</si>
  <si>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</si>
  <si>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</si>
  <si>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</si>
  <si>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</si>
  <si>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</si>
  <si>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</si>
  <si>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</si>
  <si>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</si>
  <si>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</si>
  <si>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</si>
  <si>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</si>
  <si>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</si>
  <si>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</si>
  <si>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</si>
  <si>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</si>
  <si>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</si>
  <si>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</si>
  <si>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</si>
  <si>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</si>
  <si>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</si>
  <si>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</si>
  <si>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</si>
  <si>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</si>
  <si>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</si>
  <si>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</si>
  <si>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</si>
  <si>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</si>
  <si>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</si>
  <si>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</si>
  <si>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</si>
  <si>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</si>
  <si>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</si>
  <si>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</si>
  <si>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</si>
  <si>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Korea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</si>
  <si>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</si>
  <si>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</si>
  <si>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</si>
  <si>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</si>
  <si>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</si>
  <si>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</si>
  <si>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</si>
  <si>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</si>
  <si>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Paracel Islands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</si>
  <si>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</si>
  <si>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</si>
  <si>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</si>
  <si>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</si>
  <si>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</si>
  <si>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</si>
  <si>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</si>
  <si>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</si>
  <si>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Republic of the Congo</t>
  </si>
  <si>
    <t>Réunion</t>
  </si>
  <si>
    <t>Romania</t>
  </si>
  <si>
    <t>Russia</t>
  </si>
  <si>
    <t>Rwanda</t>
  </si>
  <si>
    <t>Saint Barthélemy</t>
  </si>
  <si>
    <t>Saint Helena, Ascension and Tristan da Cunha</t>
  </si>
  <si>
    <t>Saint Kitts and Nevis</t>
  </si>
  <si>
    <t>Saint Lucia</t>
  </si>
  <si>
    <t>Saint Pierre and Miquelon</t>
  </si>
  <si>
    <t>Saint Vincent and the Grenadines</t>
  </si>
  <si>
    <t>Saint-Martin</t>
  </si>
  <si>
    <t>Samoa</t>
  </si>
  <si>
    <t>San Marino</t>
  </si>
  <si>
    <t>São Tomé and Príncipe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</si>
  <si>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</si>
  <si>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</si>
  <si>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</si>
  <si>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</si>
  <si>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</si>
  <si>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</si>
  <si>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</si>
  <si>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</si>
  <si>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</si>
  <si>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</si>
  <si>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</si>
  <si>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</si>
  <si>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</si>
  <si>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Korea</t>
  </si>
  <si>
    <t>South Sudan</t>
  </si>
  <si>
    <t>Spain</t>
  </si>
  <si>
    <t>Sudan</t>
  </si>
  <si>
    <t>Suriname</t>
  </si>
  <si>
    <t>Svalbard and Jan Mayen</t>
  </si>
  <si>
    <t>Sweden</t>
  </si>
  <si>
    <t>Switzerland</t>
  </si>
  <si>
    <t>Syria</t>
  </si>
  <si>
    <t>Taiwan</t>
  </si>
  <si>
    <t>Tajikistan</t>
  </si>
  <si>
    <t>Tanzania</t>
  </si>
  <si>
    <t>Thailand</t>
  </si>
  <si>
    <t>The Bahamas</t>
  </si>
  <si>
    <t>The Gambia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</si>
  <si>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</si>
  <si>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</si>
  <si>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</si>
  <si>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</si>
  <si>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</si>
  <si>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</si>
  <si>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</si>
  <si>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</si>
  <si>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</si>
  <si>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</si>
  <si>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</si>
  <si>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</si>
  <si>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</si>
  <si>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</si>
  <si>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</si>
  <si>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</si>
  <si>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United States Virgin Islands</t>
  </si>
  <si>
    <t>Uruguay</t>
  </si>
  <si>
    <t>Uzbekistan</t>
  </si>
  <si>
    <t>Vanuatu</t>
  </si>
  <si>
    <t>Vatican City</t>
  </si>
  <si>
    <t>Venezuela</t>
  </si>
  <si>
    <t>Vietnam</t>
  </si>
  <si>
    <t>Wallis and Futuna</t>
  </si>
  <si>
    <t>West Bank</t>
  </si>
  <si>
    <t>Western Sahara</t>
  </si>
  <si>
    <t>Yemen</t>
  </si>
  <si>
    <t>Zambia</t>
  </si>
  <si>
    <t>Zimbabwe</t>
  </si>
  <si>
    <t>Rural</t>
  </si>
  <si>
    <t>Treatment Technology Category (1)</t>
  </si>
  <si>
    <t>Treatment Technology Category (2)</t>
  </si>
  <si>
    <t>Treatment Technology Category (3)</t>
  </si>
  <si>
    <t>Leakage Assessment Option</t>
  </si>
  <si>
    <t>Zero Hunger</t>
  </si>
  <si>
    <t>Good Health and Well-being</t>
  </si>
  <si>
    <t>Quality Education</t>
  </si>
  <si>
    <t>Gender Equality</t>
  </si>
  <si>
    <t>Clean Water and Sanitation</t>
  </si>
  <si>
    <t>Affordable and Clean Energy</t>
  </si>
  <si>
    <t>Decent Work and Economic Growth</t>
  </si>
  <si>
    <t>Industry, Innovation and Infrastructure</t>
  </si>
  <si>
    <t>Reduced Inequalities</t>
  </si>
  <si>
    <t>Sustainable Cities and Communities</t>
  </si>
  <si>
    <t>Responsible Consumption and Production</t>
  </si>
  <si>
    <t>Life Below Water</t>
  </si>
  <si>
    <t>Life on Land</t>
  </si>
  <si>
    <t>Peace, Justice and Strong Institutions</t>
  </si>
  <si>
    <t>Partnerships for the Goals</t>
  </si>
  <si>
    <t>Emission Removals</t>
  </si>
  <si>
    <t>Procurement</t>
  </si>
  <si>
    <t>Construction</t>
  </si>
  <si>
    <t>Installation</t>
  </si>
  <si>
    <t>Small</t>
  </si>
  <si>
    <t>Large-Scale</t>
  </si>
  <si>
    <t>2. Zero Hunger</t>
  </si>
  <si>
    <t>3. Good Health and Well-Being</t>
  </si>
  <si>
    <t>4. Quality Education</t>
  </si>
  <si>
    <t>5. Gender Equality</t>
  </si>
  <si>
    <t>6. Clean Water and Sanitation</t>
  </si>
  <si>
    <t>7. Affordable and Clean Energy</t>
  </si>
  <si>
    <t>8. Decent Work and Economic Growth</t>
  </si>
  <si>
    <t>9. Industry, Innovation, and Infrastructure</t>
  </si>
  <si>
    <t>10. Reduced Inequalities</t>
  </si>
  <si>
    <t>11. Sustainable Cities and Communities</t>
  </si>
  <si>
    <t>12. Responsible Consumption and Production</t>
  </si>
  <si>
    <t>13. Life Below Water</t>
  </si>
  <si>
    <t>14. Life on Land</t>
  </si>
  <si>
    <t>15. Peace, Justice, and Strong Institutions</t>
  </si>
  <si>
    <t>16. Partnerships for the Goals</t>
  </si>
  <si>
    <t>Country (1)</t>
  </si>
  <si>
    <t>Map Selection (1)</t>
  </si>
  <si>
    <t>Treatment Technology Category (4)</t>
  </si>
  <si>
    <t>Treatment Technology Sub-type (2)</t>
  </si>
  <si>
    <t>Treatment Technology Sub-type (3)</t>
  </si>
  <si>
    <t>Project Category (1)</t>
  </si>
  <si>
    <t>Renewable</t>
  </si>
  <si>
    <t>Mitigation Type (1)</t>
  </si>
  <si>
    <t>Project Status (1)</t>
  </si>
  <si>
    <t>Project Scale (1)</t>
  </si>
  <si>
    <t>Select the SDG (1)</t>
  </si>
  <si>
    <t>Country (2)</t>
  </si>
  <si>
    <t>Map Selection (2)</t>
  </si>
  <si>
    <t>Treatment Technology Category (5)</t>
  </si>
  <si>
    <t>Treatment Technology Sub-type (4)</t>
  </si>
  <si>
    <t>Treatment Technology Sub-type (5)</t>
  </si>
  <si>
    <t>Project Category (2)</t>
  </si>
  <si>
    <t>14. Life Below Water</t>
  </si>
  <si>
    <t>15. Life on Land</t>
  </si>
  <si>
    <t>16. Peace, Justice, and Strong Institutions</t>
  </si>
  <si>
    <t>17. Partnerships for the Goals</t>
  </si>
  <si>
    <t>Hybrid Monitoring System</t>
  </si>
  <si>
    <t>Manual Monitoring System</t>
  </si>
  <si>
    <t>Sensor-Based Monitoring System</t>
  </si>
  <si>
    <t>Mobile Data Collection System</t>
  </si>
  <si>
    <t>Integrated Monitoring Platform</t>
  </si>
  <si>
    <t>Type of crediting Period</t>
  </si>
  <si>
    <t>Workshop</t>
  </si>
  <si>
    <t>Leaflet</t>
  </si>
  <si>
    <t>School Sessions</t>
  </si>
  <si>
    <t>Treatment Technology Category (6)</t>
  </si>
  <si>
    <t>Country (3)</t>
  </si>
  <si>
    <t>Energy &amp; Waste</t>
  </si>
  <si>
    <t>Transport</t>
  </si>
  <si>
    <t>Land‑use and Forests</t>
  </si>
  <si>
    <t>Renewable Energy Labelling</t>
  </si>
  <si>
    <t>Gold Standard Micro‑scale</t>
  </si>
  <si>
    <t>Gold Standard for Sustainable Urban Development</t>
  </si>
  <si>
    <t>Energy distribution</t>
  </si>
  <si>
    <t>Energy demand</t>
  </si>
  <si>
    <t>Manufacturing industries</t>
  </si>
  <si>
    <t>Chemical industry</t>
  </si>
  <si>
    <t>Mining / Mineral production</t>
  </si>
  <si>
    <t>Metal production</t>
  </si>
  <si>
    <t>Fugitive emissions from fuels (solid, oil, and gas)</t>
  </si>
  <si>
    <t>Fugitive emissions from production and consumption of halocarbons and sulphur hexafluoride</t>
  </si>
  <si>
    <t>Solvents use</t>
  </si>
  <si>
    <t>Waste handling and disposal</t>
  </si>
  <si>
    <t>Afforestation and reforestation</t>
  </si>
  <si>
    <t>Agriculture</t>
  </si>
  <si>
    <t>Carbon capture and storage</t>
  </si>
  <si>
    <t>Mitigation Type (2)</t>
  </si>
  <si>
    <t>Project Status (2)</t>
  </si>
  <si>
    <t>Project Scale (2)</t>
  </si>
  <si>
    <t>Select the SDG (2)</t>
  </si>
  <si>
    <t>Country (4)</t>
  </si>
  <si>
    <t>Map Selection (3)</t>
  </si>
  <si>
    <t>Treatment Technology Category (7)</t>
  </si>
  <si>
    <t>Treatment Technology Sub-type (6)</t>
  </si>
  <si>
    <t>Treatment Technology Sub-type (7)</t>
  </si>
  <si>
    <t>Project Category (3)</t>
  </si>
  <si>
    <t>Relevant SDG (1)</t>
  </si>
  <si>
    <t>Country (5)</t>
  </si>
  <si>
    <t>Yes or No (1)</t>
  </si>
  <si>
    <t>Treatment Technology Category (8)</t>
  </si>
  <si>
    <t>Treatment Technology Sub-type (8)</t>
  </si>
  <si>
    <t>Treatment Technology Sub-type (9)</t>
  </si>
  <si>
    <t>SDG Items (1)</t>
  </si>
  <si>
    <t>Treatment Technology Category (9)</t>
  </si>
  <si>
    <t>Technology Category (1)</t>
  </si>
  <si>
    <t>Leakage Assessment Option (1)</t>
  </si>
  <si>
    <t>Country (6)</t>
  </si>
  <si>
    <t>Select the relevant SDG. (1)</t>
  </si>
  <si>
    <t>Treatment Technology Sub-type (10)</t>
  </si>
  <si>
    <t>Treatment Technology Sub-type (11)</t>
  </si>
  <si>
    <t>Yes or No (2)</t>
  </si>
  <si>
    <t>Select the SDG (3)</t>
  </si>
  <si>
    <t>Treatment Technology Category (11)</t>
  </si>
  <si>
    <t>Technology Category (2)</t>
  </si>
  <si>
    <t>Leakage Assessment Option (2)</t>
  </si>
  <si>
    <t>Yes or No (3)</t>
  </si>
  <si>
    <t>Yes or No (4)</t>
  </si>
  <si>
    <t>Yes or No (5)</t>
  </si>
  <si>
    <t>Campaign type (1)</t>
  </si>
  <si>
    <t>Yes or No (6)</t>
  </si>
  <si>
    <t>Technology Category (3)</t>
  </si>
  <si>
    <t>Leakage Assessment Option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</si>
</sst>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sz val="11"/>
    </font>
    <font>
      <u/>
      <color rgb="FF0000FF"/>
      <sz val="11"/>
    </font>
    <font>
      <color rgb="FF000000"/>
      <sz val="18"/>
    </font>
  </fonts>
  <fills count="8">
    <fill>
      <patternFill patternType="none"/>
    </fill>
    <fill>
      <patternFill patternType="gray125"/>
    </fill>
    <fill>
      <patternFill patternType="solid">
        <fgColor rgb="FFD8E4BC"/>
      </patternFill>
    </fill>
    <fill>
      <patternFill patternType="solid">
        <fgColor rgb="FFFFFFFF"/>
      </patternFill>
    </fill>
    <fill>
      <patternFill patternType="solid">
        <fgColor rgb="FFFABF8F"/>
      </patternFill>
    </fill>
    <fill>
      <patternFill patternType="solid">
        <fgColor rgb="FFFDE9D9"/>
      </patternFill>
    </fill>
    <fill>
      <patternFill patternType="solid">
        <fgColor rgb="FFF2F2F2"/>
      </patternFill>
    </fill>
    <fill>
      <patternFill patternType="solid">
        <fgColor rgb="FFE2E2E2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BBBBBB"/>
      </bottom>
      <diagonal/>
    </border>
    <border>
      <left style="dashed">
        <color rgb="FF888888"/>
      </left>
      <right style="dashed">
        <color rgb="FF888888"/>
      </right>
      <top/>
      <bottom style="thin">
        <color rgb="FFBBBBB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3" borderId="1" xfId="0" applyFont="1" applyFill="1" applyBorder="1" applyAlignment="1">
      <alignment wrapText="1"/>
    </xf>
    <xf numFmtId="0" fontId="1" fillId="4" borderId="1" xfId="0" applyFont="1" applyFill="1" applyBorder="1"/>
    <xf numFmtId="0" fontId="2" fillId="5" borderId="2" xfId="0" applyFont="1" applyFill="1" applyBorder="1" applyAlignment="1">
      <alignment wrapText="1"/>
    </xf>
    <xf numFmtId="0" fontId="3" fillId="5" borderId="2" xfId="0" applyFont="1" applyFill="1" applyBorder="1" applyAlignment="1">
      <alignment wrapText="1"/>
    </xf>
    <xf numFmtId="0" fontId="2" fillId="6" borderId="3" xfId="0" applyFont="1" applyFill="1" applyBorder="1" applyAlignment="1">
      <alignment wrapText="1"/>
    </xf>
    <xf numFmtId="0" fontId="2" fillId="7" borderId="3" xfId="0" applyFont="1" applyFill="1" applyBorder="1" applyAlignment="1">
      <alignment wrapText="1"/>
    </xf>
    <xf numFmtId="0" fontId="3" fillId="7" borderId="3" xfId="0" applyFont="1" applyFill="1" applyBorder="1" applyAlignment="1">
      <alignment wrapText="1"/>
    </xf>
    <xf numFmtId="0" fontId="2" fillId="6" borderId="3" xfId="0" applyFont="1" applyFill="1" applyBorder="1" applyAlignment="1"/>
    <xf numFmtId="0" fontId="4" fillId="6" borderId="3" xfId="0" applyFont="1" applyFill="1" applyBorder="1" applyAlignment="1">
      <alignment wrapText="1"/>
    </xf>
    <xf numFmtId="0" fontId="2" fillId="5" borderId="2" xfId="0" applyFont="1" applyFill="1" applyBorder="1" applyAlignment="1"/>
    <xf numFmtId="0" fontId="4" fillId="5" borderId="2" xfId="0" applyFont="1" applyFill="1" applyBorder="1" applyAlignment="1">
      <alignment wrapText="1"/>
    </xf>
    <xf numFmtId="0" fontId="1" fillId="0" borderId="1" xfId="0" applyFont="1" applyBorder="1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Basic Details&apos;!A1" TargetMode="External"/><Relationship Id="rId2" Type="http://schemas.openxmlformats.org/officeDocument/2006/relationships/hyperlink" Target="#&apos;Monitoring Period&apos;!A1" TargetMode="External"/><Relationship Id="rId3" Type="http://schemas.openxmlformats.org/officeDocument/2006/relationships/hyperlink" Target="#&apos;Duration&apos;!A1" TargetMode="External"/><Relationship Id="rId4" Type="http://schemas.openxmlformats.org/officeDocument/2006/relationships/hyperlink" Target="#&apos;Means of Verification&apos;!A1" TargetMode="External"/><Relationship Id="rId5" Type="http://schemas.openxmlformats.org/officeDocument/2006/relationships/hyperlink" Target="#&apos;Monitoring Verification&apos;!A1" TargetMode="External"/><Relationship Id="rId6" Type="http://schemas.openxmlformats.org/officeDocument/2006/relationships/hyperlink" Target="#&apos;Verified Emissions&apos;!A1" TargetMode="External"/><Relationship Id="rId7" Type="http://schemas.openxmlformats.org/officeDocument/2006/relationships/hyperlink" Target="#&apos;Certification Statement&apos;!A1" TargetMode="External"/><Relationship Id="rId8" Type="http://schemas.openxmlformats.org/officeDocument/2006/relationships/hyperlink" Target="#&apos;Reversal Occurred&apos;!A1" TargetMode="External"/><Relationship Id="rId9" Type="http://schemas.openxmlformats.org/officeDocument/2006/relationships/hyperlink" Target="#&apos;Duration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Entity Information&apos;!A1" TargetMode="External"/><Relationship Id="rId2" Type="http://schemas.openxmlformats.org/officeDocument/2006/relationships/hyperlink" Target="#&apos;Contact Person Details&apos;!A1" TargetMode="External"/><Relationship Id="rId3" Type="http://schemas.openxmlformats.org/officeDocument/2006/relationships/hyperlink" Target="#&apos;Project Related Information&apos;!A1" TargetMode="External"/><Relationship Id="rId4" Type="http://schemas.openxmlformats.org/officeDocument/2006/relationships/hyperlink" Target="#&apos;Additional Information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roject Details - Project Name&apos;!A1" TargetMode="External"/><Relationship Id="rId2" Type="http://schemas.openxmlformats.org/officeDocument/2006/relationships/hyperlink" Target="#&apos;Monitoring report Basic Inform&apos;!A1" TargetMode="External"/><Relationship Id="rId3" Type="http://schemas.openxmlformats.org/officeDocument/2006/relationships/hyperlink" Target="#&apos;Duration&apos;!A1" TargetMode="External"/><Relationship Id="rId4" Type="http://schemas.openxmlformats.org/officeDocument/2006/relationships/hyperlink" Target="#&apos;Activity Developer Details 2&apos;!A1" TargetMode="External"/><Relationship Id="rId5" Type="http://schemas.openxmlformats.org/officeDocument/2006/relationships/hyperlink" Target="#&apos;Water Treatment Technology&apos;!A1" TargetMode="External"/><Relationship Id="rId6" Type="http://schemas.openxmlformats.org/officeDocument/2006/relationships/hyperlink" Target="#&apos;Treatment Technology Sub-ty 3&apos;!A1" TargetMode="External"/><Relationship Id="rId7" Type="http://schemas.openxmlformats.org/officeDocument/2006/relationships/hyperlink" Target="#&apos;Treatment Technology Sub-type&apos;!A1" TargetMode="External"/><Relationship Id="rId8" Type="http://schemas.openxmlformats.org/officeDocument/2006/relationships/hyperlink" Target="#&apos;Treatment Technology Sub-ty 2&apos;!A1" TargetMode="External"/><Relationship Id="rId9" Type="http://schemas.openxmlformats.org/officeDocument/2006/relationships/hyperlink" Target="#&apos;If the Project Installation is&apos;!A1" TargetMode="External"/><Relationship Id="rId10" Type="http://schemas.openxmlformats.org/officeDocument/2006/relationships/hyperlink" Target="#&apos;Project Location Details 2&apos;!A1" TargetMode="External"/><Relationship Id="rId11" Type="http://schemas.openxmlformats.org/officeDocument/2006/relationships/hyperlink" Target="#&apos;Country 2&apos;!A1" TargetMode="External"/><Relationship Id="rId12" Type="http://schemas.openxmlformats.org/officeDocument/2006/relationships/hyperlink" Target="#&apos;Project Participants&apos;!A1" TargetMode="External"/><Relationship Id="rId13" Type="http://schemas.openxmlformats.org/officeDocument/2006/relationships/hyperlink" Target="#&apos;Duration&apos;!A1" TargetMode="External"/><Relationship Id="rId14" Type="http://schemas.openxmlformats.org/officeDocument/2006/relationships/hyperlink" Target="#&apos;Implementation of Project Acti&apos;!A1" TargetMode="External"/><Relationship Id="rId15" Type="http://schemas.openxmlformats.org/officeDocument/2006/relationships/hyperlink" Target="#&apos;Description of Monitoring S 2&apos;!A1" TargetMode="External"/><Relationship Id="rId16" Type="http://schemas.openxmlformats.org/officeDocument/2006/relationships/hyperlink" Target="#&apos;Description of Monitoring S 6&apos;!A1" TargetMode="External"/><Relationship Id="rId17" Type="http://schemas.openxmlformats.org/officeDocument/2006/relationships/hyperlink" Target="#&apos;Description of Monitoring Syst&apos;!A1" TargetMode="External"/><Relationship Id="rId18" Type="http://schemas.openxmlformats.org/officeDocument/2006/relationships/hyperlink" Target="#&apos;Description of Monitoring S 5&apos;!A1" TargetMode="External"/><Relationship Id="rId19" Type="http://schemas.openxmlformats.org/officeDocument/2006/relationships/hyperlink" Target="#&apos;Description of Monitoring S 3&apos;!A1" TargetMode="External"/><Relationship Id="rId20" Type="http://schemas.openxmlformats.org/officeDocument/2006/relationships/hyperlink" Target="#&apos;Description of Monitoring S 4&apos;!A1" TargetMode="External"/><Relationship Id="rId21" Type="http://schemas.openxmlformats.org/officeDocument/2006/relationships/hyperlink" Target="#&apos;Calculation of Emission Reduct&apos;!A1" TargetMode="External"/><Relationship Id="rId22" Type="http://schemas.openxmlformats.org/officeDocument/2006/relationships/hyperlink" Target="#&apos;Location Based Details&apos;!A1" TargetMode="External"/><Relationship Id="rId23" Type="http://schemas.openxmlformats.org/officeDocument/2006/relationships/hyperlink" Target="#&apos;Stove Details Unit Schema&apos;!A1" TargetMode="External"/><Relationship Id="rId24" Type="http://schemas.openxmlformats.org/officeDocument/2006/relationships/hyperlink" Target="#&apos;Unadjusted Quantity of Safe Dr&apos;!A1" TargetMode="External"/><Relationship Id="rId25" Type="http://schemas.openxmlformats.org/officeDocument/2006/relationships/hyperlink" Target="#&apos;Unadjusted Quantity of Safe 2&apos;!A1" TargetMode="External"/><Relationship Id="rId26" Type="http://schemas.openxmlformats.org/officeDocument/2006/relationships/hyperlink" Target="#&apos;Project Water Supply Premis 2&apos;!A1" TargetMode="External"/><Relationship Id="rId27" Type="http://schemas.openxmlformats.org/officeDocument/2006/relationships/hyperlink" Target="#&apos;Project Water Supply Premis 3&apos;!A1" TargetMode="External"/><Relationship Id="rId28" Type="http://schemas.openxmlformats.org/officeDocument/2006/relationships/hyperlink" Target="#&apos;Unadjusted Quantity of Safe 3&apos;!A1" TargetMode="External"/><Relationship Id="rId29" Type="http://schemas.openxmlformats.org/officeDocument/2006/relationships/hyperlink" Target="#&apos;Project Water Supply Premises&apos;!A1" TargetMode="External"/><Relationship Id="rId30" Type="http://schemas.openxmlformats.org/officeDocument/2006/relationships/hyperlink" Target="#&apos;Project Water Supply Premis 4&apos;!A1" TargetMode="External"/><Relationship Id="rId31" Type="http://schemas.openxmlformats.org/officeDocument/2006/relationships/hyperlink" Target="#&apos;Unadjusted Baseline Emission&apos;!A1" TargetMode="External"/><Relationship Id="rId32" Type="http://schemas.openxmlformats.org/officeDocument/2006/relationships/hyperlink" Target="#&apos;Adjustment for behavior and Co&apos;!A1" TargetMode="External"/><Relationship Id="rId33" Type="http://schemas.openxmlformats.org/officeDocument/2006/relationships/hyperlink" Target="#&apos;Adjusted quantity of safe drin&apos;!A1" TargetMode="External"/><Relationship Id="rId34" Type="http://schemas.openxmlformats.org/officeDocument/2006/relationships/hyperlink" Target="#&apos;Adjusted quantity of safe d 2&apos;!A1" TargetMode="External"/><Relationship Id="rId35" Type="http://schemas.openxmlformats.org/officeDocument/2006/relationships/hyperlink" Target="#&apos;Adjustment for ambition&apos;!A1" TargetMode="External"/><Relationship Id="rId36" Type="http://schemas.openxmlformats.org/officeDocument/2006/relationships/hyperlink" Target="#&apos;Activity Emission&apos;!A1" TargetMode="External"/><Relationship Id="rId37" Type="http://schemas.openxmlformats.org/officeDocument/2006/relationships/hyperlink" Target="#&apos;Emission by fuel&apos;!A1" TargetMode="External"/><Relationship Id="rId38" Type="http://schemas.openxmlformats.org/officeDocument/2006/relationships/hyperlink" Target="#&apos;Emission by Electricity&apos;!A1" TargetMode="External"/><Relationship Id="rId39" Type="http://schemas.openxmlformats.org/officeDocument/2006/relationships/hyperlink" Target="#&apos;Leakage Emission Calculation&apos;!A1" TargetMode="External"/><Relationship Id="rId40" Type="http://schemas.openxmlformats.org/officeDocument/2006/relationships/hyperlink" Target="#&apos;Embodied Emissions&apos;!A1" TargetMode="External"/><Relationship Id="rId41" Type="http://schemas.openxmlformats.org/officeDocument/2006/relationships/hyperlink" Target="#&apos;Deductions for Embodied Emissi&apos;!A1" TargetMode="External"/><Relationship Id="rId42" Type="http://schemas.openxmlformats.org/officeDocument/2006/relationships/hyperlink" Target="#&apos;Market and Behavioral Leakage&apos;!A1" TargetMode="External"/><Relationship Id="rId43" Type="http://schemas.openxmlformats.org/officeDocument/2006/relationships/hyperlink" Target="#&apos;Option 1 &#8211; Default 2% deductio&apos;!A1" TargetMode="External"/><Relationship Id="rId44" Type="http://schemas.openxmlformats.org/officeDocument/2006/relationships/hyperlink" Target="#&apos;Option 3 - Detailed assessment&apos;!A1" TargetMode="External"/><Relationship Id="rId45" Type="http://schemas.openxmlformats.org/officeDocument/2006/relationships/hyperlink" Target="#&apos;Leakage Emission Source Detail&apos;!A1" TargetMode="External"/><Relationship Id="rId46" Type="http://schemas.openxmlformats.org/officeDocument/2006/relationships/hyperlink" Target="#&apos;SDG Co-Benefits - Wrapper&apos;!A1" TargetMode="External"/><Relationship Id="rId47" Type="http://schemas.openxmlformats.org/officeDocument/2006/relationships/hyperlink" Target="#&apos;SDG Co-Benefits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roject Details&apos;!A1" TargetMode="External"/><Relationship Id="rId2" Type="http://schemas.openxmlformats.org/officeDocument/2006/relationships/hyperlink" Target="#&apos;Contribution of the Project to&apos;!A1" TargetMode="External"/><Relationship Id="rId3" Type="http://schemas.openxmlformats.org/officeDocument/2006/relationships/hyperlink" Target="#&apos;Project Location Details&apos;!A1" TargetMode="External"/><Relationship Id="rId4" Type="http://schemas.openxmlformats.org/officeDocument/2006/relationships/hyperlink" Target="#&apos;Country&apos;!A1" TargetMode="External"/><Relationship Id="rId5" Type="http://schemas.openxmlformats.org/officeDocument/2006/relationships/hyperlink" Target="#&apos;Activity Developer Details&apos;!A1" TargetMode="External"/><Relationship Id="rId6" Type="http://schemas.openxmlformats.org/officeDocument/2006/relationships/hyperlink" Target="#&apos;Project Resource&apos;!A1" TargetMode="External"/><Relationship Id="rId7" Type="http://schemas.openxmlformats.org/officeDocument/2006/relationships/hyperlink" Target="#&apos;Water Treatment Technology&apos;!A1" TargetMode="External"/><Relationship Id="rId8" Type="http://schemas.openxmlformats.org/officeDocument/2006/relationships/hyperlink" Target="#&apos;Treatment Technology Sub-ty 3&apos;!A1" TargetMode="External"/><Relationship Id="rId9" Type="http://schemas.openxmlformats.org/officeDocument/2006/relationships/hyperlink" Target="#&apos;Treatment Technology Sub-type&apos;!A1" TargetMode="External"/><Relationship Id="rId10" Type="http://schemas.openxmlformats.org/officeDocument/2006/relationships/hyperlink" Target="#&apos;Treatment Technology Sub-ty 2&apos;!A1" TargetMode="External"/><Relationship Id="rId11" Type="http://schemas.openxmlformats.org/officeDocument/2006/relationships/hyperlink" Target="#&apos;If the Project Installation is&apos;!A1" TargetMode="External"/><Relationship Id="rId12" Type="http://schemas.openxmlformats.org/officeDocument/2006/relationships/hyperlink" Target="#&apos;Technology Eligibility Validat&apos;!A1" TargetMode="External"/><Relationship Id="rId13" Type="http://schemas.openxmlformats.org/officeDocument/2006/relationships/hyperlink" Target="#&apos;Yes or no with comments&apos;!A1" TargetMode="External"/><Relationship Id="rId14" Type="http://schemas.openxmlformats.org/officeDocument/2006/relationships/hyperlink" Target="#&apos;Yes or no with comments&apos;!A1" TargetMode="External"/><Relationship Id="rId15" Type="http://schemas.openxmlformats.org/officeDocument/2006/relationships/hyperlink" Target="#&apos;Yes or no with comments&apos;!A1" TargetMode="External"/><Relationship Id="rId16" Type="http://schemas.openxmlformats.org/officeDocument/2006/relationships/hyperlink" Target="#&apos;Yes or no with comments&apos;!A1" TargetMode="External"/><Relationship Id="rId17" Type="http://schemas.openxmlformats.org/officeDocument/2006/relationships/hyperlink" Target="#&apos;Yes or no with comments&apos;!A1" TargetMode="External"/><Relationship Id="rId18" Type="http://schemas.openxmlformats.org/officeDocument/2006/relationships/hyperlink" Target="#&apos;Yes or no with comments&apos;!A1" TargetMode="External"/><Relationship Id="rId19" Type="http://schemas.openxmlformats.org/officeDocument/2006/relationships/hyperlink" Target="#&apos;Yes or no with comments&apos;!A1" TargetMode="External"/><Relationship Id="rId20" Type="http://schemas.openxmlformats.org/officeDocument/2006/relationships/hyperlink" Target="#&apos;Yes or no with comments&apos;!A1" TargetMode="External"/><Relationship Id="rId21" Type="http://schemas.openxmlformats.org/officeDocument/2006/relationships/hyperlink" Target="#&apos;Yes or no with comments&apos;!A1" TargetMode="External"/><Relationship Id="rId22" Type="http://schemas.openxmlformats.org/officeDocument/2006/relationships/hyperlink" Target="#&apos;Yes or no with comments&apos;!A1" TargetMode="External"/><Relationship Id="rId23" Type="http://schemas.openxmlformats.org/officeDocument/2006/relationships/hyperlink" Target="#&apos;Yes or no with comments&apos;!A1" TargetMode="External"/><Relationship Id="rId24" Type="http://schemas.openxmlformats.org/officeDocument/2006/relationships/hyperlink" Target="#&apos;Yes or no with comments&apos;!A1" TargetMode="External"/><Relationship Id="rId25" Type="http://schemas.openxmlformats.org/officeDocument/2006/relationships/hyperlink" Target="#&apos;Meeting Methodological Princip&apos;!A1" TargetMode="External"/><Relationship Id="rId26" Type="http://schemas.openxmlformats.org/officeDocument/2006/relationships/hyperlink" Target="#&apos;Yes or no with comments&apos;!A1" TargetMode="External"/><Relationship Id="rId27" Type="http://schemas.openxmlformats.org/officeDocument/2006/relationships/hyperlink" Target="#&apos;Yes or no with comments&apos;!A1" TargetMode="External"/><Relationship Id="rId28" Type="http://schemas.openxmlformats.org/officeDocument/2006/relationships/hyperlink" Target="#&apos;Yes or no with comments&apos;!A1" TargetMode="External"/><Relationship Id="rId29" Type="http://schemas.openxmlformats.org/officeDocument/2006/relationships/hyperlink" Target="#&apos;Yes or no with comments&apos;!A1" TargetMode="External"/><Relationship Id="rId30" Type="http://schemas.openxmlformats.org/officeDocument/2006/relationships/hyperlink" Target="#&apos;Yes or no with comments&apos;!A1" TargetMode="External"/><Relationship Id="rId31" Type="http://schemas.openxmlformats.org/officeDocument/2006/relationships/hyperlink" Target="#&apos;Yes or no with comments&apos;!A1" TargetMode="External"/><Relationship Id="rId32" Type="http://schemas.openxmlformats.org/officeDocument/2006/relationships/hyperlink" Target="#&apos;Yes or no with comments&apos;!A1" TargetMode="External"/><Relationship Id="rId33" Type="http://schemas.openxmlformats.org/officeDocument/2006/relationships/hyperlink" Target="#&apos;Methodologies and Standardi 2&apos;!A1" TargetMode="External"/><Relationship Id="rId34" Type="http://schemas.openxmlformats.org/officeDocument/2006/relationships/hyperlink" Target="#&apos;Baseline Emission&apos;!A1" TargetMode="External"/><Relationship Id="rId35" Type="http://schemas.openxmlformats.org/officeDocument/2006/relationships/hyperlink" Target="#&apos;Estimated Net Emission Reducti&apos;!A1" TargetMode="External"/><Relationship Id="rId36" Type="http://schemas.openxmlformats.org/officeDocument/2006/relationships/hyperlink" Target="#&apos;Project Crediting Period&apos;!A1" TargetMode="External"/><Relationship Id="rId37" Type="http://schemas.openxmlformats.org/officeDocument/2006/relationships/hyperlink" Target="#&apos;Duration&apos;!A1" TargetMode="External"/><Relationship Id="rId38" Type="http://schemas.openxmlformats.org/officeDocument/2006/relationships/hyperlink" Target="#&apos;Baseline Assessment Validation&apos;!A1" TargetMode="External"/><Relationship Id="rId39" Type="http://schemas.openxmlformats.org/officeDocument/2006/relationships/hyperlink" Target="#&apos;Yes or no with comments&apos;!A1" TargetMode="External"/><Relationship Id="rId40" Type="http://schemas.openxmlformats.org/officeDocument/2006/relationships/hyperlink" Target="#&apos;Yes or no with comments&apos;!A1" TargetMode="External"/><Relationship Id="rId41" Type="http://schemas.openxmlformats.org/officeDocument/2006/relationships/hyperlink" Target="#&apos;Yes or no with comments&apos;!A1" TargetMode="External"/><Relationship Id="rId42" Type="http://schemas.openxmlformats.org/officeDocument/2006/relationships/hyperlink" Target="#&apos;Yes or no with comments&apos;!A1" TargetMode="External"/><Relationship Id="rId43" Type="http://schemas.openxmlformats.org/officeDocument/2006/relationships/hyperlink" Target="#&apos;Yes or no with comments&apos;!A1" TargetMode="External"/><Relationship Id="rId44" Type="http://schemas.openxmlformats.org/officeDocument/2006/relationships/hyperlink" Target="#&apos;Yes or no with comments&apos;!A1" TargetMode="External"/><Relationship Id="rId45" Type="http://schemas.openxmlformats.org/officeDocument/2006/relationships/hyperlink" Target="#&apos;Yes or no with comments&apos;!A1" TargetMode="External"/><Relationship Id="rId46" Type="http://schemas.openxmlformats.org/officeDocument/2006/relationships/hyperlink" Target="#&apos;Yes or no with comments&apos;!A1" TargetMode="External"/><Relationship Id="rId47" Type="http://schemas.openxmlformats.org/officeDocument/2006/relationships/hyperlink" Target="#&apos;Project Boundary Validation&apos;!A1" TargetMode="External"/><Relationship Id="rId48" Type="http://schemas.openxmlformats.org/officeDocument/2006/relationships/hyperlink" Target="#&apos;Yes or no with comments&apos;!A1" TargetMode="External"/><Relationship Id="rId49" Type="http://schemas.openxmlformats.org/officeDocument/2006/relationships/hyperlink" Target="#&apos;Yes or no with comments&apos;!A1" TargetMode="External"/><Relationship Id="rId50" Type="http://schemas.openxmlformats.org/officeDocument/2006/relationships/hyperlink" Target="#&apos;Yes or no with comments&apos;!A1" TargetMode="External"/><Relationship Id="rId51" Type="http://schemas.openxmlformats.org/officeDocument/2006/relationships/hyperlink" Target="#&apos;Yes or no with comments&apos;!A1" TargetMode="External"/><Relationship Id="rId52" Type="http://schemas.openxmlformats.org/officeDocument/2006/relationships/hyperlink" Target="#&apos;Additionality Validation&apos;!A1" TargetMode="External"/><Relationship Id="rId53" Type="http://schemas.openxmlformats.org/officeDocument/2006/relationships/hyperlink" Target="#&apos;Yes or no with comments&apos;!A1" TargetMode="External"/><Relationship Id="rId54" Type="http://schemas.openxmlformats.org/officeDocument/2006/relationships/hyperlink" Target="#&apos;Yes or no with comments&apos;!A1" TargetMode="External"/><Relationship Id="rId55" Type="http://schemas.openxmlformats.org/officeDocument/2006/relationships/hyperlink" Target="#&apos;Yes or no with comments&apos;!A1" TargetMode="External"/><Relationship Id="rId56" Type="http://schemas.openxmlformats.org/officeDocument/2006/relationships/hyperlink" Target="#&apos;Yes or no with comments&apos;!A1" TargetMode="External"/><Relationship Id="rId57" Type="http://schemas.openxmlformats.org/officeDocument/2006/relationships/hyperlink" Target="#&apos;Yes or no with comments&apos;!A1" TargetMode="External"/><Relationship Id="rId58" Type="http://schemas.openxmlformats.org/officeDocument/2006/relationships/hyperlink" Target="#&apos;Monitoring Plan Validation&apos;!A1" TargetMode="External"/><Relationship Id="rId59" Type="http://schemas.openxmlformats.org/officeDocument/2006/relationships/hyperlink" Target="#&apos;Yes or no with comments&apos;!A1" TargetMode="External"/><Relationship Id="rId60" Type="http://schemas.openxmlformats.org/officeDocument/2006/relationships/hyperlink" Target="#&apos;Yes or no with comments&apos;!A1" TargetMode="External"/><Relationship Id="rId61" Type="http://schemas.openxmlformats.org/officeDocument/2006/relationships/hyperlink" Target="#&apos;Yes or no with comments&apos;!A1" TargetMode="External"/><Relationship Id="rId62" Type="http://schemas.openxmlformats.org/officeDocument/2006/relationships/hyperlink" Target="#&apos;Yes or no with comments&apos;!A1" TargetMode="External"/><Relationship Id="rId63" Type="http://schemas.openxmlformats.org/officeDocument/2006/relationships/hyperlink" Target="#&apos;Yes or no with comments&apos;!A1" TargetMode="External"/><Relationship Id="rId64" Type="http://schemas.openxmlformats.org/officeDocument/2006/relationships/hyperlink" Target="#&apos;Yes or no with comments&apos;!A1" TargetMode="External"/><Relationship Id="rId65" Type="http://schemas.openxmlformats.org/officeDocument/2006/relationships/hyperlink" Target="#&apos;Yes or no with comments&apos;!A1" TargetMode="External"/><Relationship Id="rId66" Type="http://schemas.openxmlformats.org/officeDocument/2006/relationships/hyperlink" Target="#&apos;Yes or no with comments&apos;!A1" TargetMode="External"/><Relationship Id="rId67" Type="http://schemas.openxmlformats.org/officeDocument/2006/relationships/hyperlink" Target="#&apos;Yes or no with comments&apos;!A1" TargetMode="External"/><Relationship Id="rId68" Type="http://schemas.openxmlformats.org/officeDocument/2006/relationships/hyperlink" Target="#&apos;Yes or no with comments&apos;!A1" TargetMode="External"/><Relationship Id="rId69" Type="http://schemas.openxmlformats.org/officeDocument/2006/relationships/hyperlink" Target="#&apos;Yes or no with comments&apos;!A1" TargetMode="External"/><Relationship Id="rId70" Type="http://schemas.openxmlformats.org/officeDocument/2006/relationships/hyperlink" Target="#&apos;Yes or no with comments&apos;!A1" TargetMode="External"/><Relationship Id="rId71" Type="http://schemas.openxmlformats.org/officeDocument/2006/relationships/hyperlink" Target="#&apos;Yes or no with comments&apos;!A1" TargetMode="External"/><Relationship Id="rId72" Type="http://schemas.openxmlformats.org/officeDocument/2006/relationships/hyperlink" Target="#&apos;Yes or no with comments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Basic Information&apos;!A1" TargetMode="External"/><Relationship Id="rId2" Type="http://schemas.openxmlformats.org/officeDocument/2006/relationships/hyperlink" Target="#&apos;Project Details&apos;!A1" TargetMode="External"/><Relationship Id="rId3" Type="http://schemas.openxmlformats.org/officeDocument/2006/relationships/hyperlink" Target="#&apos;Contribution of the Project to&apos;!A1" TargetMode="External"/><Relationship Id="rId4" Type="http://schemas.openxmlformats.org/officeDocument/2006/relationships/hyperlink" Target="#&apos;Project Location Details&apos;!A1" TargetMode="External"/><Relationship Id="rId5" Type="http://schemas.openxmlformats.org/officeDocument/2006/relationships/hyperlink" Target="#&apos;Country&apos;!A1" TargetMode="External"/><Relationship Id="rId6" Type="http://schemas.openxmlformats.org/officeDocument/2006/relationships/hyperlink" Target="#&apos;Activity Developer Details&apos;!A1" TargetMode="External"/><Relationship Id="rId7" Type="http://schemas.openxmlformats.org/officeDocument/2006/relationships/hyperlink" Target="#&apos;Water Treatment Technology&apos;!A1" TargetMode="External"/><Relationship Id="rId8" Type="http://schemas.openxmlformats.org/officeDocument/2006/relationships/hyperlink" Target="#&apos;Treatment Technology Sub-ty 3&apos;!A1" TargetMode="External"/><Relationship Id="rId9" Type="http://schemas.openxmlformats.org/officeDocument/2006/relationships/hyperlink" Target="#&apos;Treatment Technology Sub-type&apos;!A1" TargetMode="External"/><Relationship Id="rId10" Type="http://schemas.openxmlformats.org/officeDocument/2006/relationships/hyperlink" Target="#&apos;Treatment Technology Sub-ty 2&apos;!A1" TargetMode="External"/><Relationship Id="rId11" Type="http://schemas.openxmlformats.org/officeDocument/2006/relationships/hyperlink" Target="#&apos;If the Project Installation is&apos;!A1" TargetMode="External"/><Relationship Id="rId12" Type="http://schemas.openxmlformats.org/officeDocument/2006/relationships/hyperlink" Target="#&apos;Replacement Strategy Details&apos;!A1" TargetMode="External"/><Relationship Id="rId13" Type="http://schemas.openxmlformats.org/officeDocument/2006/relationships/hyperlink" Target="#&apos;Methodologies and Standardized&apos;!A1" TargetMode="External"/><Relationship Id="rId14" Type="http://schemas.openxmlformats.org/officeDocument/2006/relationships/hyperlink" Target="#&apos;Baseline Water Sources - Wrapp&apos;!A1" TargetMode="External"/><Relationship Id="rId15" Type="http://schemas.openxmlformats.org/officeDocument/2006/relationships/hyperlink" Target="#&apos;Baseline Water Sources&apos;!A1" TargetMode="External"/><Relationship Id="rId16" Type="http://schemas.openxmlformats.org/officeDocument/2006/relationships/hyperlink" Target="#&apos;Water Source Details Percentag&apos;!A1" TargetMode="External"/><Relationship Id="rId17" Type="http://schemas.openxmlformats.org/officeDocument/2006/relationships/hyperlink" Target="#&apos;Water Source Type Details&apos;!A1" TargetMode="External"/><Relationship Id="rId18" Type="http://schemas.openxmlformats.org/officeDocument/2006/relationships/hyperlink" Target="#&apos;Baseline Treatment Method - Wr&apos;!A1" TargetMode="External"/><Relationship Id="rId19" Type="http://schemas.openxmlformats.org/officeDocument/2006/relationships/hyperlink" Target="#&apos;Baseline Treatment Method - 2&apos;!A1" TargetMode="External"/><Relationship Id="rId20" Type="http://schemas.openxmlformats.org/officeDocument/2006/relationships/hyperlink" Target="#&apos;Baseline Treatment Method - It&apos;!A1" TargetMode="External"/><Relationship Id="rId21" Type="http://schemas.openxmlformats.org/officeDocument/2006/relationships/hyperlink" Target="#&apos;Stove Details - Wrapper&apos;!A1" TargetMode="External"/><Relationship Id="rId22" Type="http://schemas.openxmlformats.org/officeDocument/2006/relationships/hyperlink" Target="#&apos;Stove Details - Item with Loca&apos;!A1" TargetMode="External"/><Relationship Id="rId23" Type="http://schemas.openxmlformats.org/officeDocument/2006/relationships/hyperlink" Target="#&apos;Stove Details - Item&apos;!A1" TargetMode="External"/><Relationship Id="rId24" Type="http://schemas.openxmlformats.org/officeDocument/2006/relationships/hyperlink" Target="#&apos;Fraction of non-renewable biom&apos;!A1" TargetMode="External"/><Relationship Id="rId25" Type="http://schemas.openxmlformats.org/officeDocument/2006/relationships/hyperlink" Target="#&apos;Suppressed Demand&apos;!A1" TargetMode="External"/><Relationship Id="rId26" Type="http://schemas.openxmlformats.org/officeDocument/2006/relationships/hyperlink" Target="#&apos;Sustainable Development Goals&apos;!A1" TargetMode="External"/><Relationship Id="rId27" Type="http://schemas.openxmlformats.org/officeDocument/2006/relationships/hyperlink" Target="#&apos;Sustainable Development Goa 2&apos;!A1" TargetMode="External"/><Relationship Id="rId28" Type="http://schemas.openxmlformats.org/officeDocument/2006/relationships/hyperlink" Target="#&apos;Data and parameters fixed ex a&apos;!A1" TargetMode="External"/><Relationship Id="rId29" Type="http://schemas.openxmlformats.org/officeDocument/2006/relationships/hyperlink" Target="#&apos;Ex Ante Estimation of SDG Impa&apos;!A1" TargetMode="External"/><Relationship Id="rId30" Type="http://schemas.openxmlformats.org/officeDocument/2006/relationships/hyperlink" Target="#&apos;Sustainable Development Goa 3&apos;!A1" TargetMode="External"/><Relationship Id="rId31" Type="http://schemas.openxmlformats.org/officeDocument/2006/relationships/hyperlink" Target="#&apos;Data and parameters fixed ex a&apos;!A1" TargetMode="External"/><Relationship Id="rId32" Type="http://schemas.openxmlformats.org/officeDocument/2006/relationships/hyperlink" Target="#&apos;Ex Ante Estimation of SDG Impa&apos;!A1" TargetMode="External"/><Relationship Id="rId33" Type="http://schemas.openxmlformats.org/officeDocument/2006/relationships/hyperlink" Target="#&apos;Monitoring Data Management Sys&apos;!A1" TargetMode="External"/><Relationship Id="rId34" Type="http://schemas.openxmlformats.org/officeDocument/2006/relationships/hyperlink" Target="#&apos;Project Crediting Period Detai&apos;!A1" TargetMode="External"/><Relationship Id="rId35" Type="http://schemas.openxmlformats.org/officeDocument/2006/relationships/hyperlink" Target="#&apos;Project Crediting Period 2&apos;!A1" TargetMode="External"/><Relationship Id="rId36" Type="http://schemas.openxmlformats.org/officeDocument/2006/relationships/hyperlink" Target="#&apos;Project Boundary and Additiona&apos;!A1" TargetMode="External"/><Relationship Id="rId37" Type="http://schemas.openxmlformats.org/officeDocument/2006/relationships/hyperlink" Target="#&apos;Baseline Scenario - Sources&apos;!A1" TargetMode="External"/><Relationship Id="rId38" Type="http://schemas.openxmlformats.org/officeDocument/2006/relationships/hyperlink" Target="#&apos;Source&apos;!A1" TargetMode="External"/><Relationship Id="rId39" Type="http://schemas.openxmlformats.org/officeDocument/2006/relationships/hyperlink" Target="#&apos;GHG Details&apos;!A1" TargetMode="External"/><Relationship Id="rId40" Type="http://schemas.openxmlformats.org/officeDocument/2006/relationships/hyperlink" Target="#&apos;Project Scenario - Sources&apos;!A1" TargetMode="External"/><Relationship Id="rId41" Type="http://schemas.openxmlformats.org/officeDocument/2006/relationships/hyperlink" Target="#&apos;Source&apos;!A1" TargetMode="External"/><Relationship Id="rId42" Type="http://schemas.openxmlformats.org/officeDocument/2006/relationships/hyperlink" Target="#&apos;GHG Details&apos;!A1" TargetMode="External"/><Relationship Id="rId43" Type="http://schemas.openxmlformats.org/officeDocument/2006/relationships/hyperlink" Target="#&apos;Leakage Emissions - Sources&apos;!A1" TargetMode="External"/><Relationship Id="rId44" Type="http://schemas.openxmlformats.org/officeDocument/2006/relationships/hyperlink" Target="#&apos;Source&apos;!A1" TargetMode="External"/><Relationship Id="rId45" Type="http://schemas.openxmlformats.org/officeDocument/2006/relationships/hyperlink" Target="#&apos;GHG Details&apos;!A1" TargetMode="External"/><Relationship Id="rId46" Type="http://schemas.openxmlformats.org/officeDocument/2006/relationships/hyperlink" Target="#&apos;Demonstration Additionality&apos;!A1" TargetMode="External"/><Relationship Id="rId47" Type="http://schemas.openxmlformats.org/officeDocument/2006/relationships/hyperlink" Target="#&apos;Maintenance and Operation Plan&apos;!A1" TargetMode="External"/><Relationship Id="rId48" Type="http://schemas.openxmlformats.org/officeDocument/2006/relationships/hyperlink" Target="#&apos;Hygiene Campaign Plan&apos;!A1" TargetMode="External"/><Relationship Id="rId49" Type="http://schemas.openxmlformats.org/officeDocument/2006/relationships/hyperlink" Target="#&apos;Host Country Regulatory Framew&apos;!A1" TargetMode="External"/><Relationship Id="rId50" Type="http://schemas.openxmlformats.org/officeDocument/2006/relationships/hyperlink" Target="#&apos;Monitoring Plan Summary&apos;!A1" TargetMode="External"/><Relationship Id="rId51" Type="http://schemas.openxmlformats.org/officeDocument/2006/relationships/hyperlink" Target="#&apos;Data and Parameters to Be M 2&apos;!A1" TargetMode="External"/><Relationship Id="rId52" Type="http://schemas.openxmlformats.org/officeDocument/2006/relationships/hyperlink" Target="#&apos;Monitoring Parameter - Item&apos;!A1" TargetMode="External"/><Relationship Id="rId53" Type="http://schemas.openxmlformats.org/officeDocument/2006/relationships/hyperlink" Target="#&apos;Data and Parameters to Be Moni&apos;!A1" TargetMode="External"/><Relationship Id="rId54" Type="http://schemas.openxmlformats.org/officeDocument/2006/relationships/hyperlink" Target="#&apos;Monitoring Parameter - Item&apos;!A1" TargetMode="External"/><Relationship Id="rId55" Type="http://schemas.openxmlformats.org/officeDocument/2006/relationships/hyperlink" Target="#&apos;Technology-Specific Details&apos;!A1" TargetMode="External"/><Relationship Id="rId56" Type="http://schemas.openxmlformats.org/officeDocument/2006/relationships/hyperlink" Target="#&apos;Maintenance Plan for CWTCWS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Country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Project Details&apos;!A1" TargetMode="External"/><Relationship Id="rId2" Type="http://schemas.openxmlformats.org/officeDocument/2006/relationships/hyperlink" Target="#&apos;Contribution of the Project to&apos;!A1" TargetMode="External"/><Relationship Id="rId3" Type="http://schemas.openxmlformats.org/officeDocument/2006/relationships/hyperlink" Target="#&apos;Project Location Details&apos;!A1" TargetMode="External"/><Relationship Id="rId4" Type="http://schemas.openxmlformats.org/officeDocument/2006/relationships/hyperlink" Target="#&apos;Country&apos;!A1" TargetMode="External"/><Relationship Id="rId5" Type="http://schemas.openxmlformats.org/officeDocument/2006/relationships/hyperlink" Target="#&apos;Activity Developer Details&apos;!A1" TargetMode="External"/><Relationship Id="rId6" Type="http://schemas.openxmlformats.org/officeDocument/2006/relationships/hyperlink" Target="#&apos;Water Treatment Technology&apos;!A1" TargetMode="External"/><Relationship Id="rId7" Type="http://schemas.openxmlformats.org/officeDocument/2006/relationships/hyperlink" Target="#&apos;Treatment Technology Sub-ty 3&apos;!A1" TargetMode="External"/><Relationship Id="rId8" Type="http://schemas.openxmlformats.org/officeDocument/2006/relationships/hyperlink" Target="#&apos;Treatment Technology Sub-type&apos;!A1" TargetMode="External"/><Relationship Id="rId9" Type="http://schemas.openxmlformats.org/officeDocument/2006/relationships/hyperlink" Target="#&apos;Treatment Technology Sub-ty 2&apos;!A1" TargetMode="External"/><Relationship Id="rId10" Type="http://schemas.openxmlformats.org/officeDocument/2006/relationships/hyperlink" Target="#&apos;If the Project Installation is&apos;!A1" TargetMode="External"/><Relationship Id="rId11" Type="http://schemas.openxmlformats.org/officeDocument/2006/relationships/hyperlink" Target="#&apos;Upload Supporting Compliance D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Monitoring Parameter - Item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Yes or no with comments&apos;!A1" TargetMode="External"/><Relationship Id="rId2" Type="http://schemas.openxmlformats.org/officeDocument/2006/relationships/hyperlink" Target="#&apos;Yes or no with comments&apos;!A1" TargetMode="External"/><Relationship Id="rId3" Type="http://schemas.openxmlformats.org/officeDocument/2006/relationships/hyperlink" Target="#&apos;Yes or no with comments&apos;!A1" TargetMode="External"/><Relationship Id="rId4" Type="http://schemas.openxmlformats.org/officeDocument/2006/relationships/hyperlink" Target="#&apos;Yes or no with comments&apos;!A1" TargetMode="External"/><Relationship Id="rId5" Type="http://schemas.openxmlformats.org/officeDocument/2006/relationships/hyperlink" Target="#&apos;Yes or no with comments&apos;!A1" TargetMode="External"/><Relationship Id="rId6" Type="http://schemas.openxmlformats.org/officeDocument/2006/relationships/hyperlink" Target="#&apos;Yes or no with comments&apos;!A1" TargetMode="External"/><Relationship Id="rId7" Type="http://schemas.openxmlformats.org/officeDocument/2006/relationships/hyperlink" Target="#&apos;Yes or no with comments&apos;!A1" TargetMode="External"/><Relationship Id="rId8" Type="http://schemas.openxmlformats.org/officeDocument/2006/relationships/hyperlink" Target="#&apos;Yes or no with comments&apos;!A1" TargetMode="External"/><Relationship Id="rId9" Type="http://schemas.openxmlformats.org/officeDocument/2006/relationships/hyperlink" Target="#&apos;Yes or no with comments&apos;!A1" TargetMode="External"/><Relationship Id="rId10" Type="http://schemas.openxmlformats.org/officeDocument/2006/relationships/hyperlink" Target="#&apos;Yes or no with comments&apos;!A1" TargetMode="External"/><Relationship Id="rId11" Type="http://schemas.openxmlformats.org/officeDocument/2006/relationships/hyperlink" Target="#&apos;Yes or no with comments&apos;!A1" TargetMode="External"/><Relationship Id="rId12" Type="http://schemas.openxmlformats.org/officeDocument/2006/relationships/hyperlink" Target="#&apos;Yes or no with comments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Duration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Source&apos;!A1" TargetMode="External"/><Relationship Id="rId2" Type="http://schemas.openxmlformats.org/officeDocument/2006/relationships/hyperlink" Target="#&apos;GHG Details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Certification Statement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Duration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Treatment Technology Sub-ty 3&apos;!A1" TargetMode="External"/><Relationship Id="rId2" Type="http://schemas.openxmlformats.org/officeDocument/2006/relationships/hyperlink" Target="#&apos;Treatment Technology Sub-type&apos;!A1" TargetMode="External"/><Relationship Id="rId3" Type="http://schemas.openxmlformats.org/officeDocument/2006/relationships/hyperlink" Target="#&apos;Treatment Technology Sub-ty 2&apos;!A1" TargetMode="External"/><Relationship Id="rId4" Type="http://schemas.openxmlformats.org/officeDocument/2006/relationships/hyperlink" Target="#&apos;If the Project Installation is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Water Source Details Percentag&apos;!A1" TargetMode="External"/><Relationship Id="rId2" Type="http://schemas.openxmlformats.org/officeDocument/2006/relationships/hyperlink" Target="#&apos;Water Source Type Details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Location Based Details&apos;!A1" TargetMode="External"/><Relationship Id="rId2" Type="http://schemas.openxmlformats.org/officeDocument/2006/relationships/hyperlink" Target="#&apos;Stove Details Unit Schema&apos;!A1" TargetMode="External"/><Relationship Id="rId3" Type="http://schemas.openxmlformats.org/officeDocument/2006/relationships/hyperlink" Target="#&apos;Unadjusted Quantity of Safe Dr&apos;!A1" TargetMode="External"/><Relationship Id="rId4" Type="http://schemas.openxmlformats.org/officeDocument/2006/relationships/hyperlink" Target="#&apos;Unadjusted Quantity of Safe 2&apos;!A1" TargetMode="External"/><Relationship Id="rId5" Type="http://schemas.openxmlformats.org/officeDocument/2006/relationships/hyperlink" Target="#&apos;Project Water Supply Premis 2&apos;!A1" TargetMode="External"/><Relationship Id="rId6" Type="http://schemas.openxmlformats.org/officeDocument/2006/relationships/hyperlink" Target="#&apos;Project Water Supply Premis 3&apos;!A1" TargetMode="External"/><Relationship Id="rId7" Type="http://schemas.openxmlformats.org/officeDocument/2006/relationships/hyperlink" Target="#&apos;Unadjusted Quantity of Safe 3&apos;!A1" TargetMode="External"/><Relationship Id="rId8" Type="http://schemas.openxmlformats.org/officeDocument/2006/relationships/hyperlink" Target="#&apos;Project Water Supply Premises&apos;!A1" TargetMode="External"/><Relationship Id="rId9" Type="http://schemas.openxmlformats.org/officeDocument/2006/relationships/hyperlink" Target="#&apos;Project Water Supply Premis 4&apos;!A1" TargetMode="External"/><Relationship Id="rId10" Type="http://schemas.openxmlformats.org/officeDocument/2006/relationships/hyperlink" Target="#&apos;Unadjusted Baseline Emission&apos;!A1" TargetMode="External"/><Relationship Id="rId11" Type="http://schemas.openxmlformats.org/officeDocument/2006/relationships/hyperlink" Target="#&apos;Adjustment for behavior and Co&apos;!A1" TargetMode="External"/><Relationship Id="rId12" Type="http://schemas.openxmlformats.org/officeDocument/2006/relationships/hyperlink" Target="#&apos;Adjusted quantity of safe drin&apos;!A1" TargetMode="External"/><Relationship Id="rId13" Type="http://schemas.openxmlformats.org/officeDocument/2006/relationships/hyperlink" Target="#&apos;Adjusted quantity of safe d 2&apos;!A1" TargetMode="External"/><Relationship Id="rId14" Type="http://schemas.openxmlformats.org/officeDocument/2006/relationships/hyperlink" Target="#&apos;Adjustment for ambition&apos;!A1" TargetMode="External"/><Relationship Id="rId15" Type="http://schemas.openxmlformats.org/officeDocument/2006/relationships/hyperlink" Target="#&apos;Activity Emission&apos;!A1" TargetMode="External"/><Relationship Id="rId16" Type="http://schemas.openxmlformats.org/officeDocument/2006/relationships/hyperlink" Target="#&apos;Emission by fuel&apos;!A1" TargetMode="External"/><Relationship Id="rId17" Type="http://schemas.openxmlformats.org/officeDocument/2006/relationships/hyperlink" Target="#&apos;Emission by Electricity&apos;!A1" TargetMode="External"/><Relationship Id="rId18" Type="http://schemas.openxmlformats.org/officeDocument/2006/relationships/hyperlink" Target="#&apos;Leakage Emission Calculation&apos;!A1" TargetMode="External"/><Relationship Id="rId19" Type="http://schemas.openxmlformats.org/officeDocument/2006/relationships/hyperlink" Target="#&apos;Embodied Emissions&apos;!A1" TargetMode="External"/><Relationship Id="rId20" Type="http://schemas.openxmlformats.org/officeDocument/2006/relationships/hyperlink" Target="#&apos;Deductions for Embodied Emissi&apos;!A1" TargetMode="External"/><Relationship Id="rId21" Type="http://schemas.openxmlformats.org/officeDocument/2006/relationships/hyperlink" Target="#&apos;Market and Behavioral Leakage&apos;!A1" TargetMode="External"/><Relationship Id="rId22" Type="http://schemas.openxmlformats.org/officeDocument/2006/relationships/hyperlink" Target="#&apos;Option 1 &#8211; Default 2% deductio&apos;!A1" TargetMode="External"/><Relationship Id="rId23" Type="http://schemas.openxmlformats.org/officeDocument/2006/relationships/hyperlink" Target="#&apos;Option 3 - Detailed assessment&apos;!A1" TargetMode="External"/><Relationship Id="rId24" Type="http://schemas.openxmlformats.org/officeDocument/2006/relationships/hyperlink" Target="#&apos;Leakage Emission Source Detail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Duration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Baseline Water Sources - Wrapp&apos;!A1" TargetMode="External"/><Relationship Id="rId2" Type="http://schemas.openxmlformats.org/officeDocument/2006/relationships/hyperlink" Target="#&apos;Baseline Water Sources&apos;!A1" TargetMode="External"/><Relationship Id="rId3" Type="http://schemas.openxmlformats.org/officeDocument/2006/relationships/hyperlink" Target="#&apos;Water Source Details Percentag&apos;!A1" TargetMode="External"/><Relationship Id="rId4" Type="http://schemas.openxmlformats.org/officeDocument/2006/relationships/hyperlink" Target="#&apos;Water Source Type Details&apos;!A1" TargetMode="External"/><Relationship Id="rId5" Type="http://schemas.openxmlformats.org/officeDocument/2006/relationships/hyperlink" Target="#&apos;Baseline Treatment Method - Wr&apos;!A1" TargetMode="External"/><Relationship Id="rId6" Type="http://schemas.openxmlformats.org/officeDocument/2006/relationships/hyperlink" Target="#&apos;Baseline Treatment Method - 2&apos;!A1" TargetMode="External"/><Relationship Id="rId7" Type="http://schemas.openxmlformats.org/officeDocument/2006/relationships/hyperlink" Target="#&apos;Baseline Treatment Method - It&apos;!A1" TargetMode="External"/><Relationship Id="rId8" Type="http://schemas.openxmlformats.org/officeDocument/2006/relationships/hyperlink" Target="#&apos;Stove Details - Wrapper&apos;!A1" TargetMode="External"/><Relationship Id="rId9" Type="http://schemas.openxmlformats.org/officeDocument/2006/relationships/hyperlink" Target="#&apos;Stove Details - Item with Loca&apos;!A1" TargetMode="External"/><Relationship Id="rId10" Type="http://schemas.openxmlformats.org/officeDocument/2006/relationships/hyperlink" Target="#&apos;Stove Details - Item&apos;!A1" TargetMode="External"/><Relationship Id="rId11" Type="http://schemas.openxmlformats.org/officeDocument/2006/relationships/hyperlink" Target="#&apos;Fraction of non-renewable biom&apos;!A1" TargetMode="External"/><Relationship Id="rId12" Type="http://schemas.openxmlformats.org/officeDocument/2006/relationships/hyperlink" Target="#&apos;Suppressed Demand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Description of Monitoring S 6&apos;!A1" TargetMode="External"/><Relationship Id="rId2" Type="http://schemas.openxmlformats.org/officeDocument/2006/relationships/hyperlink" Target="#&apos;Description of Monitoring Syst&apos;!A1" TargetMode="External"/><Relationship Id="rId3" Type="http://schemas.openxmlformats.org/officeDocument/2006/relationships/hyperlink" Target="#&apos;Description of Monitoring S 5&apos;!A1" TargetMode="External"/><Relationship Id="rId4" Type="http://schemas.openxmlformats.org/officeDocument/2006/relationships/hyperlink" Target="#&apos;Description of Monitoring S 3&apos;!A1" TargetMode="External"/><Relationship Id="rId5" Type="http://schemas.openxmlformats.org/officeDocument/2006/relationships/hyperlink" Target="#&apos;Description of Monitoring S 4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Project Crediting Period 2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Emission by fuel&apos;!A1" TargetMode="External"/><Relationship Id="rId2" Type="http://schemas.openxmlformats.org/officeDocument/2006/relationships/hyperlink" Target="#&apos;Emission by Electricity&apos;!A1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Project Water Supply Premis 4&apos;!A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Sustainable Development Goa 2&apos;!A1" TargetMode="External"/><Relationship Id="rId2" Type="http://schemas.openxmlformats.org/officeDocument/2006/relationships/hyperlink" Target="#&apos;Data and parameters fixed ex a&apos;!A1" TargetMode="External"/><Relationship Id="rId3" Type="http://schemas.openxmlformats.org/officeDocument/2006/relationships/hyperlink" Target="#&apos;Ex Ante Estimation of SDG Impa&apos;!A1" TargetMode="External"/><Relationship Id="rId4" Type="http://schemas.openxmlformats.org/officeDocument/2006/relationships/hyperlink" Target="#&apos;Sustainable Development Goa 3&apos;!A1" TargetMode="External"/><Relationship Id="rId5" Type="http://schemas.openxmlformats.org/officeDocument/2006/relationships/hyperlink" Target="#&apos;Data and parameters fixed ex a&apos;!A1" TargetMode="External"/><Relationship Id="rId6" Type="http://schemas.openxmlformats.org/officeDocument/2006/relationships/hyperlink" Target="#&apos;Ex Ante Estimation of SDG Impa&apos;!A1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Source&apos;!A1" TargetMode="External"/><Relationship Id="rId2" Type="http://schemas.openxmlformats.org/officeDocument/2006/relationships/hyperlink" Target="#&apos;GHG Details&apos;!A1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Source&apos;!A1" TargetMode="External"/><Relationship Id="rId2" Type="http://schemas.openxmlformats.org/officeDocument/2006/relationships/hyperlink" Target="#&apos;GHG Details&apos;!A1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#&apos;Data and parameters fixed ex a&apos;!A1" TargetMode="External"/><Relationship Id="rId2" Type="http://schemas.openxmlformats.org/officeDocument/2006/relationships/hyperlink" Target="#&apos;Ex Ante Estimation of SDG Impa&apos;!A1" TargetMode="Externa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hyperlink" Target="#&apos;Country&apos;!A1" TargetMode="Externa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hyperlink" Target="#&apos;Suppressed Demand&apos;!A1" TargetMode="Externa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hyperlink" Target="#&apos;Yes or no with comments&apos;!A1" TargetMode="External"/><Relationship Id="rId2" Type="http://schemas.openxmlformats.org/officeDocument/2006/relationships/hyperlink" Target="#&apos;Yes or no with comments&apos;!A1" TargetMode="External"/><Relationship Id="rId3" Type="http://schemas.openxmlformats.org/officeDocument/2006/relationships/hyperlink" Target="#&apos;Yes or no with comments&apos;!A1" TargetMode="External"/><Relationship Id="rId4" Type="http://schemas.openxmlformats.org/officeDocument/2006/relationships/hyperlink" Target="#&apos;Yes or no with comments&apos;!A1" TargetMode="External"/><Relationship Id="rId5" Type="http://schemas.openxmlformats.org/officeDocument/2006/relationships/hyperlink" Target="#&apos;Yes or no with comments&apos;!A1" TargetMode="External"/><Relationship Id="rId6" Type="http://schemas.openxmlformats.org/officeDocument/2006/relationships/hyperlink" Target="#&apos;Yes or no with comments&apos;!A1" TargetMode="External"/><Relationship Id="rId7" Type="http://schemas.openxmlformats.org/officeDocument/2006/relationships/hyperlink" Target="#&apos;Yes or no with comments&apos;!A1" TargetMode="Externa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hyperlink" Target="#&apos;Data and parameters fixed ex a&apos;!A1" TargetMode="External"/><Relationship Id="rId2" Type="http://schemas.openxmlformats.org/officeDocument/2006/relationships/hyperlink" Target="#&apos;Ex Ante Estimation of SDG Impa&apos;!A1" TargetMode="Externa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hyperlink" Target="#&apos;Stove Details Unit Schema&apos;!A1" TargetMode="External"/><Relationship Id="rId2" Type="http://schemas.openxmlformats.org/officeDocument/2006/relationships/hyperlink" Target="#&apos;Unadjusted Quantity of Safe Dr&apos;!A1" TargetMode="External"/><Relationship Id="rId3" Type="http://schemas.openxmlformats.org/officeDocument/2006/relationships/hyperlink" Target="#&apos;Unadjusted Quantity of Safe 2&apos;!A1" TargetMode="External"/><Relationship Id="rId4" Type="http://schemas.openxmlformats.org/officeDocument/2006/relationships/hyperlink" Target="#&apos;Project Water Supply Premis 2&apos;!A1" TargetMode="External"/><Relationship Id="rId5" Type="http://schemas.openxmlformats.org/officeDocument/2006/relationships/hyperlink" Target="#&apos;Project Water Supply Premis 3&apos;!A1" TargetMode="External"/><Relationship Id="rId6" Type="http://schemas.openxmlformats.org/officeDocument/2006/relationships/hyperlink" Target="#&apos;Unadjusted Quantity of Safe 3&apos;!A1" TargetMode="External"/><Relationship Id="rId7" Type="http://schemas.openxmlformats.org/officeDocument/2006/relationships/hyperlink" Target="#&apos;Project Water Supply Premises&apos;!A1" TargetMode="External"/><Relationship Id="rId8" Type="http://schemas.openxmlformats.org/officeDocument/2006/relationships/hyperlink" Target="#&apos;Project Water Supply Premis 4&apos;!A1" TargetMode="External"/><Relationship Id="rId9" Type="http://schemas.openxmlformats.org/officeDocument/2006/relationships/hyperlink" Target="#&apos;Unadjusted Baseline Emission&apos;!A1" TargetMode="External"/><Relationship Id="rId10" Type="http://schemas.openxmlformats.org/officeDocument/2006/relationships/hyperlink" Target="#&apos;Adjustment for behavior and Co&apos;!A1" TargetMode="External"/><Relationship Id="rId11" Type="http://schemas.openxmlformats.org/officeDocument/2006/relationships/hyperlink" Target="#&apos;Adjusted quantity of safe drin&apos;!A1" TargetMode="External"/><Relationship Id="rId12" Type="http://schemas.openxmlformats.org/officeDocument/2006/relationships/hyperlink" Target="#&apos;Adjusted quantity of safe d 2&apos;!A1" TargetMode="External"/><Relationship Id="rId13" Type="http://schemas.openxmlformats.org/officeDocument/2006/relationships/hyperlink" Target="#&apos;Adjustment for ambition&apos;!A1" TargetMode="External"/><Relationship Id="rId14" Type="http://schemas.openxmlformats.org/officeDocument/2006/relationships/hyperlink" Target="#&apos;Activity Emission&apos;!A1" TargetMode="External"/><Relationship Id="rId15" Type="http://schemas.openxmlformats.org/officeDocument/2006/relationships/hyperlink" Target="#&apos;Emission by fuel&apos;!A1" TargetMode="External"/><Relationship Id="rId16" Type="http://schemas.openxmlformats.org/officeDocument/2006/relationships/hyperlink" Target="#&apos;Emission by Electricity&apos;!A1" TargetMode="External"/><Relationship Id="rId17" Type="http://schemas.openxmlformats.org/officeDocument/2006/relationships/hyperlink" Target="#&apos;Leakage Emission Calculation&apos;!A1" TargetMode="External"/><Relationship Id="rId18" Type="http://schemas.openxmlformats.org/officeDocument/2006/relationships/hyperlink" Target="#&apos;Embodied Emissions&apos;!A1" TargetMode="External"/><Relationship Id="rId19" Type="http://schemas.openxmlformats.org/officeDocument/2006/relationships/hyperlink" Target="#&apos;Deductions for Embodied Emissi&apos;!A1" TargetMode="External"/><Relationship Id="rId20" Type="http://schemas.openxmlformats.org/officeDocument/2006/relationships/hyperlink" Target="#&apos;Market and Behavioral Leakage&apos;!A1" TargetMode="External"/><Relationship Id="rId21" Type="http://schemas.openxmlformats.org/officeDocument/2006/relationships/hyperlink" Target="#&apos;Option 1 &#8211; Default 2% deductio&apos;!A1" TargetMode="External"/><Relationship Id="rId22" Type="http://schemas.openxmlformats.org/officeDocument/2006/relationships/hyperlink" Target="#&apos;Option 3 - Detailed assessment&apos;!A1" TargetMode="External"/><Relationship Id="rId23" Type="http://schemas.openxmlformats.org/officeDocument/2006/relationships/hyperlink" Target="#&apos;Leakage Emission Source Detail&apos;!A1" TargetMode="Externa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hyperlink" Target="#&apos;GHG Details&apos;!A1" TargetMode="Externa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hyperlink" Target="#&apos;Country 2&apos;!A1" TargetMode="Externa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hyperlink" Target="#&apos;Maintenance Plan for CWTCWS&apos;!A1" TargetMode="Externa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hyperlink" Target="#&apos;Yes or no with comments&apos;!A1" TargetMode="External"/><Relationship Id="rId2" Type="http://schemas.openxmlformats.org/officeDocument/2006/relationships/hyperlink" Target="#&apos;Yes or no with comments&apos;!A1" TargetMode="External"/><Relationship Id="rId3" Type="http://schemas.openxmlformats.org/officeDocument/2006/relationships/hyperlink" Target="#&apos;Yes or no with comments&apos;!A1" TargetMode="External"/><Relationship Id="rId4" Type="http://schemas.openxmlformats.org/officeDocument/2006/relationships/hyperlink" Target="#&apos;Yes or no with comments&apos;!A1" TargetMode="External"/><Relationship Id="rId5" Type="http://schemas.openxmlformats.org/officeDocument/2006/relationships/hyperlink" Target="#&apos;Yes or no with comments&apos;!A1" TargetMode="External"/><Relationship Id="rId6" Type="http://schemas.openxmlformats.org/officeDocument/2006/relationships/hyperlink" Target="#&apos;Yes or no with comments&apos;!A1" TargetMode="External"/><Relationship Id="rId7" Type="http://schemas.openxmlformats.org/officeDocument/2006/relationships/hyperlink" Target="#&apos;Yes or no with comments&apos;!A1" TargetMode="External"/><Relationship Id="rId8" Type="http://schemas.openxmlformats.org/officeDocument/2006/relationships/hyperlink" Target="#&apos;Yes or no with comments&apos;!A1" TargetMode="External"/><Relationship Id="rId9" Type="http://schemas.openxmlformats.org/officeDocument/2006/relationships/hyperlink" Target="#&apos;Yes or no with comments&apos;!A1" TargetMode="External"/><Relationship Id="rId10" Type="http://schemas.openxmlformats.org/officeDocument/2006/relationships/hyperlink" Target="#&apos;Yes or no with comments&apos;!A1" TargetMode="External"/><Relationship Id="rId11" Type="http://schemas.openxmlformats.org/officeDocument/2006/relationships/hyperlink" Target="#&apos;Yes or no with comments&apos;!A1" TargetMode="External"/><Relationship Id="rId12" Type="http://schemas.openxmlformats.org/officeDocument/2006/relationships/hyperlink" Target="#&apos;Yes or no with comments&apos;!A1" TargetMode="External"/><Relationship Id="rId13" Type="http://schemas.openxmlformats.org/officeDocument/2006/relationships/hyperlink" Target="#&apos;Yes or no with comments&apos;!A1" TargetMode="External"/><Relationship Id="rId14" Type="http://schemas.openxmlformats.org/officeDocument/2006/relationships/hyperlink" Target="#&apos;Yes or no with comments&apos;!A1" TargetMode="Externa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hyperlink" Target="#&apos;Baseline Treatment Method - 2&apos;!A1" TargetMode="External"/><Relationship Id="rId2" Type="http://schemas.openxmlformats.org/officeDocument/2006/relationships/hyperlink" Target="#&apos;Baseline Treatment Method - It&apos;!A1" TargetMode="Externa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hyperlink" Target="#&apos;Yes or no with comments&apos;!A1" TargetMode="External"/><Relationship Id="rId2" Type="http://schemas.openxmlformats.org/officeDocument/2006/relationships/hyperlink" Target="#&apos;Yes or no with comments&apos;!A1" TargetMode="External"/><Relationship Id="rId3" Type="http://schemas.openxmlformats.org/officeDocument/2006/relationships/hyperlink" Target="#&apos;Yes or no with comments&apos;!A1" TargetMode="External"/><Relationship Id="rId4" Type="http://schemas.openxmlformats.org/officeDocument/2006/relationships/hyperlink" Target="#&apos;Yes or no with comments&apos;!A1" TargetMode="External"/><Relationship Id="rId5" Type="http://schemas.openxmlformats.org/officeDocument/2006/relationships/hyperlink" Target="#&apos;Yes or no with comments&apos;!A1" TargetMode="External"/><Relationship Id="rId6" Type="http://schemas.openxmlformats.org/officeDocument/2006/relationships/hyperlink" Target="#&apos;Yes or no with comments&apos;!A1" TargetMode="External"/><Relationship Id="rId7" Type="http://schemas.openxmlformats.org/officeDocument/2006/relationships/hyperlink" Target="#&apos;Yes or no with comments&apos;!A1" TargetMode="External"/><Relationship Id="rId8" Type="http://schemas.openxmlformats.org/officeDocument/2006/relationships/hyperlink" Target="#&apos;Yes or no with comments&apos;!A1" TargetMode="Externa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hyperlink" Target="#&apos;Baseline Scenario - Sources&apos;!A1" TargetMode="External"/><Relationship Id="rId2" Type="http://schemas.openxmlformats.org/officeDocument/2006/relationships/hyperlink" Target="#&apos;Source&apos;!A1" TargetMode="External"/><Relationship Id="rId3" Type="http://schemas.openxmlformats.org/officeDocument/2006/relationships/hyperlink" Target="#&apos;GHG Details&apos;!A1" TargetMode="External"/><Relationship Id="rId4" Type="http://schemas.openxmlformats.org/officeDocument/2006/relationships/hyperlink" Target="#&apos;Project Scenario - Sources&apos;!A1" TargetMode="External"/><Relationship Id="rId5" Type="http://schemas.openxmlformats.org/officeDocument/2006/relationships/hyperlink" Target="#&apos;Source&apos;!A1" TargetMode="External"/><Relationship Id="rId6" Type="http://schemas.openxmlformats.org/officeDocument/2006/relationships/hyperlink" Target="#&apos;GHG Details&apos;!A1" TargetMode="External"/><Relationship Id="rId7" Type="http://schemas.openxmlformats.org/officeDocument/2006/relationships/hyperlink" Target="#&apos;Leakage Emissions - Sources&apos;!A1" TargetMode="External"/><Relationship Id="rId8" Type="http://schemas.openxmlformats.org/officeDocument/2006/relationships/hyperlink" Target="#&apos;Source&apos;!A1" TargetMode="External"/><Relationship Id="rId9" Type="http://schemas.openxmlformats.org/officeDocument/2006/relationships/hyperlink" Target="#&apos;GHG Details&apos;!A1" TargetMode="External"/><Relationship Id="rId10" Type="http://schemas.openxmlformats.org/officeDocument/2006/relationships/hyperlink" Target="#&apos;Demonstration Additionality&apos;!A1" TargetMode="External"/><Relationship Id="rId11" Type="http://schemas.openxmlformats.org/officeDocument/2006/relationships/hyperlink" Target="#&apos;Maintenance and Operation Plan&apos;!A1" TargetMode="External"/><Relationship Id="rId12" Type="http://schemas.openxmlformats.org/officeDocument/2006/relationships/hyperlink" Target="#&apos;Hygiene Campaign Plan&apos;!A1" TargetMode="Externa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hyperlink" Target="#&apos;Yes or no with comments&apos;!A1" TargetMode="External"/><Relationship Id="rId2" Type="http://schemas.openxmlformats.org/officeDocument/2006/relationships/hyperlink" Target="#&apos;Yes or no with comments&apos;!A1" TargetMode="External"/><Relationship Id="rId3" Type="http://schemas.openxmlformats.org/officeDocument/2006/relationships/hyperlink" Target="#&apos;Yes or no with comments&apos;!A1" TargetMode="External"/><Relationship Id="rId4" Type="http://schemas.openxmlformats.org/officeDocument/2006/relationships/hyperlink" Target="#&apos;Yes or no with comments&apos;!A1" TargetMode="Externa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hyperlink" Target="#&apos;Baseline Water Sources&apos;!A1" TargetMode="External"/><Relationship Id="rId2" Type="http://schemas.openxmlformats.org/officeDocument/2006/relationships/hyperlink" Target="#&apos;Water Source Details Percentag&apos;!A1" TargetMode="External"/><Relationship Id="rId3" Type="http://schemas.openxmlformats.org/officeDocument/2006/relationships/hyperlink" Target="#&apos;Water Source Type Details&apos;!A1" TargetMode="Externa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hyperlink" Target="#&apos;Duration&apos;!A1" TargetMode="Externa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hyperlink" Target="#&apos;Data and Parameters to Be M 2&apos;!A1" TargetMode="External"/><Relationship Id="rId2" Type="http://schemas.openxmlformats.org/officeDocument/2006/relationships/hyperlink" Target="#&apos;Monitoring Parameter - Item&apos;!A1" TargetMode="External"/><Relationship Id="rId3" Type="http://schemas.openxmlformats.org/officeDocument/2006/relationships/hyperlink" Target="#&apos;Data and Parameters to Be Moni&apos;!A1" TargetMode="External"/><Relationship Id="rId4" Type="http://schemas.openxmlformats.org/officeDocument/2006/relationships/hyperlink" Target="#&apos;Monitoring Parameter - Item&apos;!A1" TargetMode="Externa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hyperlink" Target="#&apos;Yes or no with comments&apos;!A1" TargetMode="External"/><Relationship Id="rId2" Type="http://schemas.openxmlformats.org/officeDocument/2006/relationships/hyperlink" Target="#&apos;Yes or no with comments&apos;!A1" TargetMode="External"/><Relationship Id="rId3" Type="http://schemas.openxmlformats.org/officeDocument/2006/relationships/hyperlink" Target="#&apos;Yes or no with comments&apos;!A1" TargetMode="External"/><Relationship Id="rId4" Type="http://schemas.openxmlformats.org/officeDocument/2006/relationships/hyperlink" Target="#&apos;Yes or no with comments&apos;!A1" TargetMode="External"/><Relationship Id="rId5" Type="http://schemas.openxmlformats.org/officeDocument/2006/relationships/hyperlink" Target="#&apos;Yes or no with comments&apos;!A1" TargetMode="Externa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hyperlink" Target="#&apos;Contribution of the Project to&apos;!A1" TargetMode="Externa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hyperlink" Target="#&apos;Treatment Technology Sub-type&apos;!A1" TargetMode="External"/><Relationship Id="rId2" Type="http://schemas.openxmlformats.org/officeDocument/2006/relationships/hyperlink" Target="#&apos;Treatment Technology Sub-ty 2&apos;!A1" TargetMode="Externa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hyperlink" Target="#&apos;Stove Details - Item with Loca&apos;!A1" TargetMode="External"/><Relationship Id="rId2" Type="http://schemas.openxmlformats.org/officeDocument/2006/relationships/hyperlink" Target="#&apos;Stove Details - Item&apos;!A1" TargetMode="External"/></Relationships>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hyperlink" Target="#&apos;Unadjusted Quantity of Safe 2&apos;!A1" TargetMode="External"/><Relationship Id="rId2" Type="http://schemas.openxmlformats.org/officeDocument/2006/relationships/hyperlink" Target="#&apos;Project Water Supply Premis 2&apos;!A1" TargetMode="External"/><Relationship Id="rId3" Type="http://schemas.openxmlformats.org/officeDocument/2006/relationships/hyperlink" Target="#&apos;Project Water Supply Premis 3&apos;!A1" TargetMode="External"/><Relationship Id="rId4" Type="http://schemas.openxmlformats.org/officeDocument/2006/relationships/hyperlink" Target="#&apos;Unadjusted Quantity of Safe 3&apos;!A1" TargetMode="External"/><Relationship Id="rId5" Type="http://schemas.openxmlformats.org/officeDocument/2006/relationships/hyperlink" Target="#&apos;Project Water Supply Premises&apos;!A1" TargetMode="External"/><Relationship Id="rId6" Type="http://schemas.openxmlformats.org/officeDocument/2006/relationships/hyperlink" Target="#&apos;Project Water Supply Premis 4&apos;!A1" TargetMode="Externa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hyperlink" Target="#&apos;Project Water Supply Premis 3&apos;!A1" TargetMode="Externa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hyperlink" Target="#&apos;Project Water Supply Premis 2&apos;!A1" TargetMode="External"/><Relationship Id="rId2" Type="http://schemas.openxmlformats.org/officeDocument/2006/relationships/hyperlink" Target="#&apos;Project Water Supply Premis 3&apos;!A1" TargetMode="Externa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hyperlink" Target="#&apos;Project Water Supply Premises&apos;!A1" TargetMode="External"/><Relationship Id="rId2" Type="http://schemas.openxmlformats.org/officeDocument/2006/relationships/hyperlink" Target="#&apos;Project Water Supply Premis 4&apos;!A1" TargetMode="External"/></Relationships>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hyperlink" Target="#&apos;Adjusted quantity of safe drin&apos;!A1" TargetMode="External"/><Relationship Id="rId2" Type="http://schemas.openxmlformats.org/officeDocument/2006/relationships/hyperlink" Target="#&apos;Adjusted quantity of safe d 2&apos;!A1" TargetMode="Externa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hyperlink" Target="#&apos;Deductions for Embodied Emissi&apos;!A1" TargetMode="External"/></Relationships>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hyperlink" Target="#&apos;Option 1 &#8211; Default 2% deductio&apos;!A1" TargetMode="External"/><Relationship Id="rId2" Type="http://schemas.openxmlformats.org/officeDocument/2006/relationships/hyperlink" Target="#&apos;Option 3 - Detailed assessment&apos;!A1" TargetMode="External"/><Relationship Id="rId3" Type="http://schemas.openxmlformats.org/officeDocument/2006/relationships/hyperlink" Target="#&apos;Leakage Emission Source Detail&apos;!A1" TargetMode="Externa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hyperlink" Target="#&apos;Leakage Emission Source Detail&apos;!A1" TargetMode="Externa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hyperlink" Target="#&apos;Embodied Emissions&apos;!A1" TargetMode="External"/><Relationship Id="rId2" Type="http://schemas.openxmlformats.org/officeDocument/2006/relationships/hyperlink" Target="#&apos;Deductions for Embodied Emissi&apos;!A1" TargetMode="External"/><Relationship Id="rId3" Type="http://schemas.openxmlformats.org/officeDocument/2006/relationships/hyperlink" Target="#&apos;Market and Behavioral Leakage&apos;!A1" TargetMode="External"/><Relationship Id="rId4" Type="http://schemas.openxmlformats.org/officeDocument/2006/relationships/hyperlink" Target="#&apos;Option 1 &#8211; Default 2% deductio&apos;!A1" TargetMode="External"/><Relationship Id="rId5" Type="http://schemas.openxmlformats.org/officeDocument/2006/relationships/hyperlink" Target="#&apos;Option 3 - Detailed assessment&apos;!A1" TargetMode="External"/><Relationship Id="rId6" Type="http://schemas.openxmlformats.org/officeDocument/2006/relationships/hyperlink" Target="#&apos;Leakage Emission Source Detail&apos;!A1" TargetMode="Externa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hyperlink" Target="#&apos;Baseline Treatment Method - It&apos;!A1" TargetMode="External"/></Relationships>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hyperlink" Target="#&apos;Stove Details - Item&apos;!A1" TargetMode="External"/></Relationships>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hyperlink" Target="#&apos;SDG Co-Benefits&apos;!A1" TargetMode="External"/></Relationships>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hyperlink" Target="#&apos;Monitoring Parameter - Item&apos;!A1" TargetMode="External"/></Relationships>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hyperlink" Target="#&apos;Duration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5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16</v>
      </c>
      <c r="C5" s="5" t="s">
        <v>2</v>
      </c>
      <c r="D5" s="5"/>
      <c r="E5" s="5" t="s">
        <v>16</v>
      </c>
      <c r="F5" s="5" t="s">
        <v>17</v>
      </c>
      <c r="G5" s="5" t="s">
        <v>18</v>
      </c>
      <c r="H5" s="5" t="s">
        <v>2</v>
      </c>
      <c r="I5" s="5" t="s">
        <v>2</v>
      </c>
      <c r="J5" s="5" t="s">
        <v>19</v>
      </c>
    </row>
    <row r="6" spans="1:10" x14ac:dyDescent="0.25" outlineLevel="1" collapsed="1">
      <c r="A6" s="7" t="s">
        <v>15</v>
      </c>
      <c r="B6" s="7" t="s">
        <v>20</v>
      </c>
      <c r="C6" s="7" t="s">
        <v>2</v>
      </c>
      <c r="D6" s="7"/>
      <c r="E6" s="7" t="s">
        <v>21</v>
      </c>
      <c r="F6" s="7" t="s">
        <v>17</v>
      </c>
      <c r="G6" s="7" t="s">
        <v>22</v>
      </c>
      <c r="H6" s="7" t="s">
        <v>2</v>
      </c>
      <c r="I6" s="7" t="s">
        <v>2</v>
      </c>
      <c r="J6" s="7" t="s">
        <v>23</v>
      </c>
    </row>
    <row r="7" spans="1:10" x14ac:dyDescent="0.25" outlineLevel="1" collapsed="1">
      <c r="A7" s="7" t="s">
        <v>15</v>
      </c>
      <c r="B7" s="7" t="s">
        <v>20</v>
      </c>
      <c r="C7" s="7" t="s">
        <v>2</v>
      </c>
      <c r="D7" s="7"/>
      <c r="E7" s="7" t="s">
        <v>24</v>
      </c>
      <c r="F7" s="7" t="s">
        <v>17</v>
      </c>
      <c r="G7" s="7" t="s">
        <v>22</v>
      </c>
      <c r="H7" s="7" t="s">
        <v>2</v>
      </c>
      <c r="I7" s="7" t="s">
        <v>2</v>
      </c>
      <c r="J7" s="7" t="s">
        <v>25</v>
      </c>
    </row>
    <row r="8" spans="1:10" x14ac:dyDescent="0.25" outlineLevel="1" collapsed="1">
      <c r="A8" s="7" t="s">
        <v>15</v>
      </c>
      <c r="B8" s="7" t="s">
        <v>26</v>
      </c>
      <c r="C8" s="7" t="s">
        <v>2</v>
      </c>
      <c r="D8" s="7"/>
      <c r="E8" s="7" t="s">
        <v>27</v>
      </c>
      <c r="F8" s="7" t="s">
        <v>17</v>
      </c>
      <c r="G8" s="7" t="s">
        <v>28</v>
      </c>
      <c r="H8" s="7" t="s">
        <v>2</v>
      </c>
      <c r="I8" s="7" t="s">
        <v>2</v>
      </c>
      <c r="J8" s="7" t="s">
        <v>29</v>
      </c>
    </row>
    <row r="9" spans="1:10" x14ac:dyDescent="0.25" outlineLevel="1" collapsed="1">
      <c r="A9" s="7" t="s">
        <v>15</v>
      </c>
      <c r="B9" s="7" t="s">
        <v>20</v>
      </c>
      <c r="C9" s="7" t="s">
        <v>2</v>
      </c>
      <c r="D9" s="7"/>
      <c r="E9" s="7" t="s">
        <v>30</v>
      </c>
      <c r="F9" s="7" t="s">
        <v>17</v>
      </c>
      <c r="G9" s="7" t="s">
        <v>22</v>
      </c>
      <c r="H9" s="7" t="s">
        <v>2</v>
      </c>
      <c r="I9" s="7" t="s">
        <v>2</v>
      </c>
      <c r="J9" s="7" t="s">
        <v>31</v>
      </c>
    </row>
    <row r="10" spans="1:10" x14ac:dyDescent="0.25">
      <c r="A10" s="5" t="s">
        <v>15</v>
      </c>
      <c r="B10" s="6" t="s">
        <v>32</v>
      </c>
      <c r="C10" s="5" t="s">
        <v>2</v>
      </c>
      <c r="D10" s="5"/>
      <c r="E10" s="5" t="s">
        <v>32</v>
      </c>
      <c r="F10" s="5" t="s">
        <v>17</v>
      </c>
      <c r="G10" s="5" t="s">
        <v>2</v>
      </c>
      <c r="H10" s="5" t="s">
        <v>2</v>
      </c>
      <c r="I10" s="5" t="s">
        <v>2</v>
      </c>
      <c r="J10" s="5" t="s">
        <v>33</v>
      </c>
    </row>
    <row r="11" spans="1:10" x14ac:dyDescent="0.25" outlineLevel="1" collapsed="1">
      <c r="A11" s="8" t="s">
        <v>15</v>
      </c>
      <c r="B11" s="9" t="s">
        <v>34</v>
      </c>
      <c r="C11" s="8" t="s">
        <v>2</v>
      </c>
      <c r="D11" s="8"/>
      <c r="E11" s="8" t="s">
        <v>32</v>
      </c>
      <c r="F11" s="8" t="s">
        <v>17</v>
      </c>
      <c r="G11" s="8" t="s">
        <v>2</v>
      </c>
      <c r="H11" s="8" t="s">
        <v>2</v>
      </c>
      <c r="I11" s="8" t="s">
        <v>2</v>
      </c>
      <c r="J11" s="8" t="s">
        <v>35</v>
      </c>
    </row>
    <row r="12" spans="1:10" x14ac:dyDescent="0.25" outlineLevel="2" collapsed="1">
      <c r="A12" s="7" t="s">
        <v>15</v>
      </c>
      <c r="B12" s="7" t="s">
        <v>26</v>
      </c>
      <c r="C12" s="7" t="s">
        <v>2</v>
      </c>
      <c r="D12" s="7"/>
      <c r="E12" s="7" t="s">
        <v>36</v>
      </c>
      <c r="F12" s="7" t="s">
        <v>17</v>
      </c>
      <c r="G12" s="7" t="s">
        <v>37</v>
      </c>
      <c r="H12" s="7" t="s">
        <v>2</v>
      </c>
      <c r="I12" s="7" t="s">
        <v>2</v>
      </c>
      <c r="J12" s="7" t="s">
        <v>38</v>
      </c>
    </row>
    <row r="13" spans="1:10" x14ac:dyDescent="0.25" outlineLevel="2" collapsed="1">
      <c r="A13" s="7" t="s">
        <v>15</v>
      </c>
      <c r="B13" s="7" t="s">
        <v>26</v>
      </c>
      <c r="C13" s="7" t="s">
        <v>2</v>
      </c>
      <c r="D13" s="7"/>
      <c r="E13" s="7" t="s">
        <v>39</v>
      </c>
      <c r="F13" s="7" t="s">
        <v>17</v>
      </c>
      <c r="G13" s="7" t="s">
        <v>37</v>
      </c>
      <c r="H13" s="7" t="s">
        <v>2</v>
      </c>
      <c r="I13" s="7" t="s">
        <v>2</v>
      </c>
      <c r="J13" s="7" t="s">
        <v>40</v>
      </c>
    </row>
    <row r="14" spans="1:10" x14ac:dyDescent="0.25">
      <c r="A14" s="5" t="s">
        <v>15</v>
      </c>
      <c r="B14" s="6" t="s">
        <v>41</v>
      </c>
      <c r="C14" s="5" t="s">
        <v>2</v>
      </c>
      <c r="D14" s="5"/>
      <c r="E14" s="5" t="s">
        <v>41</v>
      </c>
      <c r="F14" s="5" t="s">
        <v>17</v>
      </c>
      <c r="G14" s="5" t="s">
        <v>42</v>
      </c>
      <c r="H14" s="5" t="s">
        <v>2</v>
      </c>
      <c r="I14" s="5" t="s">
        <v>2</v>
      </c>
      <c r="J14" s="5" t="s">
        <v>43</v>
      </c>
    </row>
    <row r="15" spans="1:10" x14ac:dyDescent="0.25" outlineLevel="1" collapsed="1">
      <c r="A15" s="7" t="s">
        <v>15</v>
      </c>
      <c r="B15" s="7" t="s">
        <v>44</v>
      </c>
      <c r="C15" s="10" t="s">
        <v>45</v>
      </c>
      <c r="D15" s="7"/>
      <c r="E15" s="7" t="s">
        <v>41</v>
      </c>
      <c r="F15" s="7" t="s">
        <v>15</v>
      </c>
      <c r="G15" s="7" t="s">
        <v>46</v>
      </c>
      <c r="H15" s="7" t="s">
        <v>2</v>
      </c>
      <c r="I15" s="7" t="s">
        <v>2</v>
      </c>
      <c r="J15" s="7" t="s">
        <v>43</v>
      </c>
    </row>
    <row r="16" spans="1:10" x14ac:dyDescent="0.25" outlineLevel="1" collapsed="1">
      <c r="A16" s="7" t="s">
        <v>15</v>
      </c>
      <c r="B16" s="7" t="s">
        <v>47</v>
      </c>
      <c r="C16" s="7" t="s">
        <v>2</v>
      </c>
      <c r="D16" s="7"/>
      <c r="E16" s="7" t="s">
        <v>48</v>
      </c>
      <c r="F16" s="7" t="s">
        <v>17</v>
      </c>
      <c r="G16" s="7" t="s">
        <v>15</v>
      </c>
      <c r="H16" s="7" t="s">
        <v>2</v>
      </c>
      <c r="I16" s="7" t="s">
        <v>2</v>
      </c>
      <c r="J16" s="7" t="s">
        <v>49</v>
      </c>
    </row>
    <row r="17" spans="1:10" x14ac:dyDescent="0.25" outlineLevel="1" collapsed="1">
      <c r="A17" s="7" t="s">
        <v>15</v>
      </c>
      <c r="B17" s="7" t="s">
        <v>26</v>
      </c>
      <c r="C17" s="7" t="s">
        <v>2</v>
      </c>
      <c r="D17" s="7"/>
      <c r="E17" s="7" t="s">
        <v>50</v>
      </c>
      <c r="F17" s="7" t="s">
        <v>17</v>
      </c>
      <c r="G17" s="7" t="s">
        <v>51</v>
      </c>
      <c r="H17" s="7" t="s">
        <v>2</v>
      </c>
      <c r="I17" s="7" t="s">
        <v>2</v>
      </c>
      <c r="J17" s="7" t="s">
        <v>52</v>
      </c>
    </row>
    <row r="18" spans="1:10" x14ac:dyDescent="0.25" outlineLevel="1" collapsed="1">
      <c r="A18" s="7" t="s">
        <v>15</v>
      </c>
      <c r="B18" s="7" t="s">
        <v>53</v>
      </c>
      <c r="C18" s="7" t="s">
        <v>2</v>
      </c>
      <c r="D18" s="7"/>
      <c r="E18" s="7" t="s">
        <v>54</v>
      </c>
      <c r="F18" s="7" t="s">
        <v>17</v>
      </c>
      <c r="G18" s="7">
        <v>320</v>
      </c>
      <c r="H18" s="7" t="s">
        <v>2</v>
      </c>
      <c r="I18" s="7" t="s">
        <v>2</v>
      </c>
      <c r="J18" s="7" t="s">
        <v>55</v>
      </c>
    </row>
    <row r="19" spans="1:10" x14ac:dyDescent="0.25" outlineLevel="1" collapsed="1">
      <c r="A19" s="7" t="s">
        <v>15</v>
      </c>
      <c r="B19" s="7" t="s">
        <v>53</v>
      </c>
      <c r="C19" s="7" t="s">
        <v>2</v>
      </c>
      <c r="D19" s="7"/>
      <c r="E19" s="7" t="s">
        <v>56</v>
      </c>
      <c r="F19" s="7" t="s">
        <v>17</v>
      </c>
      <c r="G19" s="7">
        <v>30</v>
      </c>
      <c r="H19" s="7" t="s">
        <v>2</v>
      </c>
      <c r="I19" s="7" t="s">
        <v>2</v>
      </c>
      <c r="J19" s="7" t="s">
        <v>57</v>
      </c>
    </row>
    <row r="20" spans="1:10" x14ac:dyDescent="0.25" outlineLevel="1" collapsed="1">
      <c r="A20" s="7" t="s">
        <v>15</v>
      </c>
      <c r="B20" s="7" t="s">
        <v>20</v>
      </c>
      <c r="C20" s="7" t="s">
        <v>2</v>
      </c>
      <c r="D20" s="7"/>
      <c r="E20" s="7" t="s">
        <v>58</v>
      </c>
      <c r="F20" s="7" t="s">
        <v>17</v>
      </c>
      <c r="G20" s="7" t="s">
        <v>59</v>
      </c>
      <c r="H20" s="7" t="s">
        <v>2</v>
      </c>
      <c r="I20" s="7" t="s">
        <v>2</v>
      </c>
      <c r="J20" s="7" t="s">
        <v>60</v>
      </c>
    </row>
    <row r="21" spans="1:10" x14ac:dyDescent="0.25">
      <c r="A21" s="5" t="s">
        <v>15</v>
      </c>
      <c r="B21" s="6" t="s">
        <v>61</v>
      </c>
      <c r="C21" s="5" t="s">
        <v>2</v>
      </c>
      <c r="D21" s="5"/>
      <c r="E21" s="5" t="s">
        <v>61</v>
      </c>
      <c r="F21" s="5" t="s">
        <v>17</v>
      </c>
      <c r="G21" s="5" t="s">
        <v>62</v>
      </c>
      <c r="H21" s="5" t="s">
        <v>2</v>
      </c>
      <c r="I21" s="5" t="s">
        <v>2</v>
      </c>
      <c r="J21" s="5" t="s">
        <v>63</v>
      </c>
    </row>
    <row r="22" spans="1:10" x14ac:dyDescent="0.25" outlineLevel="1" collapsed="1">
      <c r="A22" s="7" t="s">
        <v>15</v>
      </c>
      <c r="B22" s="7" t="s">
        <v>53</v>
      </c>
      <c r="C22" s="7" t="s">
        <v>2</v>
      </c>
      <c r="D22" s="7"/>
      <c r="E22" s="7" t="s">
        <v>64</v>
      </c>
      <c r="F22" s="7" t="s">
        <v>17</v>
      </c>
      <c r="G22" s="7">
        <v>0.85</v>
      </c>
      <c r="H22" s="7" t="s">
        <v>2</v>
      </c>
      <c r="I22" s="7" t="s">
        <v>2</v>
      </c>
      <c r="J22" s="7" t="s">
        <v>65</v>
      </c>
    </row>
    <row r="23" spans="1:10" x14ac:dyDescent="0.25" outlineLevel="1" collapsed="1">
      <c r="A23" s="7" t="s">
        <v>15</v>
      </c>
      <c r="B23" s="7" t="s">
        <v>53</v>
      </c>
      <c r="C23" s="7" t="s">
        <v>2</v>
      </c>
      <c r="D23" s="7"/>
      <c r="E23" s="7" t="s">
        <v>66</v>
      </c>
      <c r="F23" s="7" t="s">
        <v>17</v>
      </c>
      <c r="G23" s="7">
        <v>0.82</v>
      </c>
      <c r="H23" s="7" t="s">
        <v>2</v>
      </c>
      <c r="I23" s="7" t="s">
        <v>2</v>
      </c>
      <c r="J23" s="7" t="s">
        <v>67</v>
      </c>
    </row>
    <row r="24" spans="1:10" x14ac:dyDescent="0.25" outlineLevel="1" collapsed="1">
      <c r="A24" s="7" t="s">
        <v>15</v>
      </c>
      <c r="B24" s="7" t="s">
        <v>20</v>
      </c>
      <c r="C24" s="7" t="s">
        <v>2</v>
      </c>
      <c r="D24" s="7"/>
      <c r="E24" s="7" t="s">
        <v>68</v>
      </c>
      <c r="F24" s="7" t="s">
        <v>17</v>
      </c>
      <c r="G24" s="7" t="s">
        <v>69</v>
      </c>
      <c r="H24" s="7" t="s">
        <v>2</v>
      </c>
      <c r="I24" s="7" t="s">
        <v>2</v>
      </c>
      <c r="J24" s="7" t="s">
        <v>70</v>
      </c>
    </row>
    <row r="25" spans="1:10" x14ac:dyDescent="0.25" outlineLevel="1" collapsed="1">
      <c r="A25" s="7" t="s">
        <v>15</v>
      </c>
      <c r="B25" s="7" t="s">
        <v>20</v>
      </c>
      <c r="C25" s="7" t="s">
        <v>2</v>
      </c>
      <c r="D25" s="7"/>
      <c r="E25" s="7" t="s">
        <v>71</v>
      </c>
      <c r="F25" s="7" t="s">
        <v>17</v>
      </c>
      <c r="G25" s="7" t="s">
        <v>72</v>
      </c>
      <c r="H25" s="7" t="s">
        <v>2</v>
      </c>
      <c r="I25" s="7" t="s">
        <v>2</v>
      </c>
      <c r="J25" s="7" t="s">
        <v>73</v>
      </c>
    </row>
    <row r="26" spans="1:10" x14ac:dyDescent="0.25" outlineLevel="1" collapsed="1">
      <c r="A26" s="7" t="s">
        <v>15</v>
      </c>
      <c r="B26" s="7" t="s">
        <v>53</v>
      </c>
      <c r="C26" s="7" t="s">
        <v>2</v>
      </c>
      <c r="D26" s="7"/>
      <c r="E26" s="7" t="s">
        <v>74</v>
      </c>
      <c r="F26" s="7" t="s">
        <v>17</v>
      </c>
      <c r="G26" s="7">
        <v>0.82</v>
      </c>
      <c r="H26" s="7" t="s">
        <v>2</v>
      </c>
      <c r="I26" s="7" t="s">
        <v>2</v>
      </c>
      <c r="J26" s="7" t="s">
        <v>75</v>
      </c>
    </row>
    <row r="27" spans="1:10" x14ac:dyDescent="0.25" outlineLevel="1" collapsed="1">
      <c r="A27" s="7" t="s">
        <v>17</v>
      </c>
      <c r="B27" s="7" t="s">
        <v>20</v>
      </c>
      <c r="C27" s="7" t="s">
        <v>2</v>
      </c>
      <c r="D27" s="7"/>
      <c r="E27" s="7" t="s">
        <v>76</v>
      </c>
      <c r="F27" s="7" t="s">
        <v>17</v>
      </c>
      <c r="G27" s="7" t="s">
        <v>77</v>
      </c>
      <c r="H27" s="7" t="s">
        <v>2</v>
      </c>
      <c r="I27" s="7" t="s">
        <v>2</v>
      </c>
      <c r="J27" s="7" t="s">
        <v>78</v>
      </c>
    </row>
    <row r="28" spans="1:10" x14ac:dyDescent="0.25">
      <c r="A28" s="5" t="s">
        <v>15</v>
      </c>
      <c r="B28" s="6" t="s">
        <v>79</v>
      </c>
      <c r="C28" s="5" t="s">
        <v>2</v>
      </c>
      <c r="D28" s="5"/>
      <c r="E28" s="5" t="s">
        <v>79</v>
      </c>
      <c r="F28" s="5" t="s">
        <v>17</v>
      </c>
      <c r="G28" s="5" t="s">
        <v>80</v>
      </c>
      <c r="H28" s="5" t="s">
        <v>2</v>
      </c>
      <c r="I28" s="5" t="s">
        <v>2</v>
      </c>
      <c r="J28" s="5" t="s">
        <v>81</v>
      </c>
    </row>
    <row r="29" spans="1:10" x14ac:dyDescent="0.25" outlineLevel="1" collapsed="1">
      <c r="A29" s="7" t="s">
        <v>15</v>
      </c>
      <c r="B29" s="7" t="s">
        <v>53</v>
      </c>
      <c r="C29" s="7" t="s">
        <v>2</v>
      </c>
      <c r="D29" s="7"/>
      <c r="E29" s="7" t="s">
        <v>82</v>
      </c>
      <c r="F29" s="7" t="s">
        <v>17</v>
      </c>
      <c r="G29" s="7">
        <v>1</v>
      </c>
      <c r="H29" s="7" t="s">
        <v>2</v>
      </c>
      <c r="I29" s="7" t="s">
        <v>2</v>
      </c>
      <c r="J29" s="7" t="s">
        <v>83</v>
      </c>
    </row>
    <row r="30" spans="1:10" x14ac:dyDescent="0.25" outlineLevel="1" collapsed="1">
      <c r="A30" s="7" t="s">
        <v>15</v>
      </c>
      <c r="B30" s="7" t="s">
        <v>53</v>
      </c>
      <c r="C30" s="7" t="s">
        <v>2</v>
      </c>
      <c r="D30" s="7"/>
      <c r="E30" s="7" t="s">
        <v>84</v>
      </c>
      <c r="F30" s="7" t="s">
        <v>17</v>
      </c>
      <c r="G30" s="7">
        <v>1</v>
      </c>
      <c r="H30" s="7" t="s">
        <v>2</v>
      </c>
      <c r="I30" s="7" t="s">
        <v>2</v>
      </c>
      <c r="J30" s="7" t="s">
        <v>85</v>
      </c>
    </row>
    <row r="31" spans="1:10" x14ac:dyDescent="0.25" outlineLevel="1" collapsed="1">
      <c r="A31" s="7" t="s">
        <v>15</v>
      </c>
      <c r="B31" s="7" t="s">
        <v>53</v>
      </c>
      <c r="C31" s="7" t="s">
        <v>2</v>
      </c>
      <c r="D31" s="7"/>
      <c r="E31" s="7" t="s">
        <v>86</v>
      </c>
      <c r="F31" s="7" t="s">
        <v>17</v>
      </c>
      <c r="G31" s="7">
        <v>1</v>
      </c>
      <c r="H31" s="7" t="s">
        <v>2</v>
      </c>
      <c r="I31" s="7" t="s">
        <v>2</v>
      </c>
      <c r="J31" s="7" t="s">
        <v>87</v>
      </c>
    </row>
    <row r="32" spans="1:10" x14ac:dyDescent="0.25" outlineLevel="1" collapsed="1">
      <c r="A32" s="7" t="s">
        <v>17</v>
      </c>
      <c r="B32" s="7" t="s">
        <v>53</v>
      </c>
      <c r="C32" s="7" t="s">
        <v>2</v>
      </c>
      <c r="D32" s="7"/>
      <c r="E32" s="7" t="s">
        <v>88</v>
      </c>
      <c r="F32" s="7" t="s">
        <v>17</v>
      </c>
      <c r="G32" s="7" t="s">
        <v>89</v>
      </c>
      <c r="H32" s="7" t="s">
        <v>2</v>
      </c>
      <c r="I32" s="7" t="s">
        <v>2</v>
      </c>
      <c r="J32" s="7" t="s">
        <v>90</v>
      </c>
    </row>
    <row r="33" spans="1:10" x14ac:dyDescent="0.25" outlineLevel="1" collapsed="1">
      <c r="A33" s="7" t="s">
        <v>15</v>
      </c>
      <c r="B33" s="7" t="s">
        <v>53</v>
      </c>
      <c r="C33" s="7" t="s">
        <v>2</v>
      </c>
      <c r="D33" s="7"/>
      <c r="E33" s="7" t="s">
        <v>91</v>
      </c>
      <c r="F33" s="7" t="s">
        <v>17</v>
      </c>
      <c r="G33" s="7">
        <v>1</v>
      </c>
      <c r="H33" s="7" t="s">
        <v>2</v>
      </c>
      <c r="I33" s="7" t="s">
        <v>2</v>
      </c>
      <c r="J33" s="7" t="s">
        <v>92</v>
      </c>
    </row>
    <row r="34" spans="1:10" x14ac:dyDescent="0.25" outlineLevel="1" collapsed="1">
      <c r="A34" s="7" t="s">
        <v>17</v>
      </c>
      <c r="B34" s="7" t="s">
        <v>53</v>
      </c>
      <c r="C34" s="7" t="s">
        <v>2</v>
      </c>
      <c r="D34" s="7"/>
      <c r="E34" s="7" t="s">
        <v>93</v>
      </c>
      <c r="F34" s="7" t="s">
        <v>17</v>
      </c>
      <c r="G34" s="7">
        <v>1</v>
      </c>
      <c r="H34" s="7" t="s">
        <v>2</v>
      </c>
      <c r="I34" s="7" t="s">
        <v>2</v>
      </c>
      <c r="J34" s="7" t="s">
        <v>94</v>
      </c>
    </row>
    <row r="35" spans="1:10" x14ac:dyDescent="0.25" outlineLevel="1" collapsed="1">
      <c r="A35" s="7" t="s">
        <v>15</v>
      </c>
      <c r="B35" s="7" t="s">
        <v>47</v>
      </c>
      <c r="C35" s="7" t="s">
        <v>2</v>
      </c>
      <c r="D35" s="7"/>
      <c r="E35" s="7" t="s">
        <v>95</v>
      </c>
      <c r="F35" s="7" t="s">
        <v>17</v>
      </c>
      <c r="G35" s="7" t="s">
        <v>15</v>
      </c>
      <c r="H35" s="7" t="s">
        <v>2</v>
      </c>
      <c r="I35" s="7" t="s">
        <v>2</v>
      </c>
      <c r="J35" s="7" t="s">
        <v>96</v>
      </c>
    </row>
    <row r="36" spans="1:10" x14ac:dyDescent="0.25" outlineLevel="1" collapsed="1">
      <c r="A36" s="7" t="s">
        <v>15</v>
      </c>
      <c r="B36" s="7" t="s">
        <v>20</v>
      </c>
      <c r="C36" s="7" t="s">
        <v>2</v>
      </c>
      <c r="D36" s="7"/>
      <c r="E36" s="7" t="s">
        <v>97</v>
      </c>
      <c r="F36" s="7" t="s">
        <v>17</v>
      </c>
      <c r="G36" s="7" t="s">
        <v>22</v>
      </c>
      <c r="H36" s="7" t="s">
        <v>2</v>
      </c>
      <c r="I36" s="7" t="s">
        <v>2</v>
      </c>
      <c r="J36" s="7" t="s">
        <v>98</v>
      </c>
    </row>
    <row r="37" spans="1:10" x14ac:dyDescent="0.25" outlineLevel="1" collapsed="1">
      <c r="A37" s="7" t="s">
        <v>15</v>
      </c>
      <c r="B37" s="7" t="s">
        <v>47</v>
      </c>
      <c r="C37" s="7" t="s">
        <v>2</v>
      </c>
      <c r="D37" s="7"/>
      <c r="E37" s="7" t="s">
        <v>99</v>
      </c>
      <c r="F37" s="7" t="s">
        <v>17</v>
      </c>
      <c r="G37" s="7" t="s">
        <v>15</v>
      </c>
      <c r="H37" s="7" t="s">
        <v>2</v>
      </c>
      <c r="I37" s="7" t="s">
        <v>2</v>
      </c>
      <c r="J37" s="7" t="s">
        <v>100</v>
      </c>
    </row>
    <row r="38" spans="1:10" x14ac:dyDescent="0.25" outlineLevel="1" collapsed="1">
      <c r="A38" s="7" t="s">
        <v>15</v>
      </c>
      <c r="B38" s="7" t="s">
        <v>20</v>
      </c>
      <c r="C38" s="7" t="s">
        <v>2</v>
      </c>
      <c r="D38" s="7"/>
      <c r="E38" s="7" t="s">
        <v>101</v>
      </c>
      <c r="F38" s="7" t="s">
        <v>17</v>
      </c>
      <c r="G38" s="7" t="s">
        <v>22</v>
      </c>
      <c r="H38" s="7" t="s">
        <v>2</v>
      </c>
      <c r="I38" s="7" t="s">
        <v>2</v>
      </c>
      <c r="J38" s="7" t="s">
        <v>102</v>
      </c>
    </row>
    <row r="39" spans="1:10" x14ac:dyDescent="0.25" outlineLevel="1" collapsed="1">
      <c r="A39" s="8" t="s">
        <v>15</v>
      </c>
      <c r="B39" s="9" t="s">
        <v>103</v>
      </c>
      <c r="C39" s="8" t="s">
        <v>2</v>
      </c>
      <c r="D39" s="8"/>
      <c r="E39" s="8" t="s">
        <v>103</v>
      </c>
      <c r="F39" s="8" t="s">
        <v>17</v>
      </c>
      <c r="G39" s="8" t="s">
        <v>2</v>
      </c>
      <c r="H39" s="8" t="s">
        <v>2</v>
      </c>
      <c r="I39" s="8" t="s">
        <v>2</v>
      </c>
      <c r="J39" s="8" t="s">
        <v>104</v>
      </c>
    </row>
    <row r="40" spans="1:10" x14ac:dyDescent="0.25" outlineLevel="2" collapsed="1">
      <c r="A40" s="7" t="s">
        <v>15</v>
      </c>
      <c r="B40" s="7" t="s">
        <v>20</v>
      </c>
      <c r="C40" s="7" t="s">
        <v>2</v>
      </c>
      <c r="D40" s="7"/>
      <c r="E40" s="7" t="s">
        <v>105</v>
      </c>
      <c r="F40" s="7" t="s">
        <v>17</v>
      </c>
      <c r="G40" s="7" t="s">
        <v>22</v>
      </c>
      <c r="H40" s="7" t="s">
        <v>2</v>
      </c>
      <c r="I40" s="7" t="s">
        <v>2</v>
      </c>
      <c r="J40" s="7" t="s">
        <v>106</v>
      </c>
    </row>
    <row r="41" spans="1:10" x14ac:dyDescent="0.25" outlineLevel="2" collapsed="1">
      <c r="A41" s="7" t="s">
        <v>15</v>
      </c>
      <c r="B41" s="7" t="s">
        <v>20</v>
      </c>
      <c r="C41" s="7" t="s">
        <v>2</v>
      </c>
      <c r="D41" s="7"/>
      <c r="E41" s="7" t="s">
        <v>107</v>
      </c>
      <c r="F41" s="7" t="s">
        <v>17</v>
      </c>
      <c r="G41" s="7" t="s">
        <v>22</v>
      </c>
      <c r="H41" s="7" t="s">
        <v>2</v>
      </c>
      <c r="I41" s="7" t="s">
        <v>2</v>
      </c>
      <c r="J41" s="7" t="s">
        <v>108</v>
      </c>
    </row>
    <row r="42" spans="1:10" x14ac:dyDescent="0.25" outlineLevel="2" collapsed="1">
      <c r="A42" s="7" t="s">
        <v>15</v>
      </c>
      <c r="B42" s="7" t="s">
        <v>26</v>
      </c>
      <c r="C42" s="7" t="s">
        <v>2</v>
      </c>
      <c r="D42" s="7"/>
      <c r="E42" s="7" t="s">
        <v>109</v>
      </c>
      <c r="F42" s="7" t="s">
        <v>17</v>
      </c>
      <c r="G42" s="7" t="s">
        <v>37</v>
      </c>
      <c r="H42" s="7" t="s">
        <v>2</v>
      </c>
      <c r="I42" s="7" t="s">
        <v>2</v>
      </c>
      <c r="J42" s="7" t="s">
        <v>110</v>
      </c>
    </row>
    <row r="43" spans="1:10" x14ac:dyDescent="0.25">
      <c r="A43" s="5" t="s">
        <v>17</v>
      </c>
      <c r="B43" s="5" t="s">
        <v>20</v>
      </c>
      <c r="C43" s="5" t="s">
        <v>2</v>
      </c>
      <c r="D43" s="5"/>
      <c r="E43" s="5" t="s">
        <v>111</v>
      </c>
      <c r="F43" s="5" t="s">
        <v>17</v>
      </c>
      <c r="G43" s="5" t="s">
        <v>22</v>
      </c>
      <c r="H43" s="5" t="s">
        <v>2</v>
      </c>
      <c r="I43" s="5" t="s">
        <v>2</v>
      </c>
      <c r="J43" s="5" t="s">
        <v>112</v>
      </c>
    </row>
    <row r="44" spans="1:10" x14ac:dyDescent="0.25">
      <c r="A44" s="5" t="s">
        <v>15</v>
      </c>
      <c r="B44" s="6" t="s">
        <v>113</v>
      </c>
      <c r="C44" s="5" t="s">
        <v>2</v>
      </c>
      <c r="D44" s="5"/>
      <c r="E44" s="5" t="s">
        <v>114</v>
      </c>
      <c r="F44" s="5" t="s">
        <v>17</v>
      </c>
      <c r="G44" s="5" t="s">
        <v>115</v>
      </c>
      <c r="H44" s="5" t="s">
        <v>2</v>
      </c>
      <c r="I44" s="5" t="s">
        <v>2</v>
      </c>
      <c r="J44" s="5" t="s">
        <v>116</v>
      </c>
    </row>
    <row r="45" spans="1:10" x14ac:dyDescent="0.25" outlineLevel="1" collapsed="1">
      <c r="A45" s="7" t="s">
        <v>15</v>
      </c>
      <c r="B45" s="7" t="s">
        <v>20</v>
      </c>
      <c r="C45" s="7" t="s">
        <v>2</v>
      </c>
      <c r="D45" s="7"/>
      <c r="E45" s="7" t="s">
        <v>117</v>
      </c>
      <c r="F45" s="7" t="s">
        <v>17</v>
      </c>
      <c r="G45" s="7" t="s">
        <v>22</v>
      </c>
      <c r="H45" s="7" t="s">
        <v>2</v>
      </c>
      <c r="I45" s="7" t="s">
        <v>2</v>
      </c>
      <c r="J45" s="7" t="s">
        <v>118</v>
      </c>
    </row>
    <row r="46" spans="1:10" x14ac:dyDescent="0.25" outlineLevel="1" collapsed="1">
      <c r="A46" s="8" t="s">
        <v>15</v>
      </c>
      <c r="B46" s="9" t="s">
        <v>34</v>
      </c>
      <c r="C46" s="8" t="s">
        <v>2</v>
      </c>
      <c r="D46" s="8"/>
      <c r="E46" s="8" t="s">
        <v>32</v>
      </c>
      <c r="F46" s="8" t="s">
        <v>17</v>
      </c>
      <c r="G46" s="8" t="s">
        <v>2</v>
      </c>
      <c r="H46" s="8" t="s">
        <v>2</v>
      </c>
      <c r="I46" s="8" t="s">
        <v>2</v>
      </c>
      <c r="J46" s="8" t="s">
        <v>33</v>
      </c>
    </row>
    <row r="47" spans="1:10" x14ac:dyDescent="0.25" outlineLevel="2" collapsed="1">
      <c r="A47" s="7" t="s">
        <v>15</v>
      </c>
      <c r="B47" s="7" t="s">
        <v>26</v>
      </c>
      <c r="C47" s="7" t="s">
        <v>2</v>
      </c>
      <c r="D47" s="7"/>
      <c r="E47" s="7" t="s">
        <v>36</v>
      </c>
      <c r="F47" s="7" t="s">
        <v>17</v>
      </c>
      <c r="G47" s="7" t="s">
        <v>37</v>
      </c>
      <c r="H47" s="7" t="s">
        <v>2</v>
      </c>
      <c r="I47" s="7" t="s">
        <v>2</v>
      </c>
      <c r="J47" s="7" t="s">
        <v>38</v>
      </c>
    </row>
    <row r="48" spans="1:10" x14ac:dyDescent="0.25" outlineLevel="2" collapsed="1">
      <c r="A48" s="7" t="s">
        <v>15</v>
      </c>
      <c r="B48" s="7" t="s">
        <v>26</v>
      </c>
      <c r="C48" s="7" t="s">
        <v>2</v>
      </c>
      <c r="D48" s="7"/>
      <c r="E48" s="7" t="s">
        <v>39</v>
      </c>
      <c r="F48" s="7" t="s">
        <v>17</v>
      </c>
      <c r="G48" s="7" t="s">
        <v>37</v>
      </c>
      <c r="H48" s="7" t="s">
        <v>2</v>
      </c>
      <c r="I48" s="7" t="s">
        <v>2</v>
      </c>
      <c r="J48" s="7" t="s">
        <v>40</v>
      </c>
    </row>
    <row r="49" spans="1:10" x14ac:dyDescent="0.25" outlineLevel="1" collapsed="1">
      <c r="A49" s="7" t="s">
        <v>15</v>
      </c>
      <c r="B49" s="7" t="s">
        <v>20</v>
      </c>
      <c r="C49" s="7" t="s">
        <v>2</v>
      </c>
      <c r="D49" s="7"/>
      <c r="E49" s="7" t="s">
        <v>119</v>
      </c>
      <c r="F49" s="7" t="s">
        <v>17</v>
      </c>
      <c r="G49" s="7" t="s">
        <v>22</v>
      </c>
      <c r="H49" s="7" t="s">
        <v>2</v>
      </c>
      <c r="I49" s="7" t="s">
        <v>2</v>
      </c>
      <c r="J49" s="7" t="s">
        <v>120</v>
      </c>
    </row>
    <row r="50" spans="1:10" x14ac:dyDescent="0.25" outlineLevel="1" collapsed="1">
      <c r="A50" s="7" t="s">
        <v>15</v>
      </c>
      <c r="B50" s="7" t="s">
        <v>20</v>
      </c>
      <c r="C50" s="7" t="s">
        <v>2</v>
      </c>
      <c r="D50" s="7"/>
      <c r="E50" s="7" t="s">
        <v>121</v>
      </c>
      <c r="F50" s="7" t="s">
        <v>17</v>
      </c>
      <c r="G50" s="7" t="s">
        <v>22</v>
      </c>
      <c r="H50" s="7" t="s">
        <v>2</v>
      </c>
      <c r="I50" s="7" t="s">
        <v>2</v>
      </c>
      <c r="J50" s="7" t="s">
        <v>122</v>
      </c>
    </row>
    <row r="51" spans="1:10" x14ac:dyDescent="0.25" outlineLevel="1" collapsed="1">
      <c r="A51" s="7" t="s">
        <v>15</v>
      </c>
      <c r="B51" s="7" t="s">
        <v>53</v>
      </c>
      <c r="C51" s="7" t="s">
        <v>2</v>
      </c>
      <c r="D51" s="7"/>
      <c r="E51" s="7" t="s">
        <v>123</v>
      </c>
      <c r="F51" s="7" t="s">
        <v>17</v>
      </c>
      <c r="G51" s="7">
        <v>1</v>
      </c>
      <c r="H51" s="7" t="s">
        <v>2</v>
      </c>
      <c r="I51" s="7" t="s">
        <v>2</v>
      </c>
      <c r="J51" s="7" t="s">
        <v>124</v>
      </c>
    </row>
    <row r="52" spans="1:10" x14ac:dyDescent="0.25" outlineLevel="1" collapsed="1">
      <c r="A52" s="7" t="s">
        <v>17</v>
      </c>
      <c r="B52" s="7" t="s">
        <v>125</v>
      </c>
      <c r="C52" s="7" t="s">
        <v>2</v>
      </c>
      <c r="D52" s="7"/>
      <c r="E52" s="7" t="s">
        <v>126</v>
      </c>
      <c r="F52" s="7" t="s">
        <v>17</v>
      </c>
      <c r="G52" s="7" t="s">
        <v>127</v>
      </c>
      <c r="H52" s="7" t="s">
        <v>2</v>
      </c>
      <c r="I52" s="7" t="s">
        <v>2</v>
      </c>
      <c r="J52" s="7" t="s">
        <v>128</v>
      </c>
    </row>
  </sheetData>
  <mergeCells count="3">
    <mergeCell ref="A1:J1"/>
    <mergeCell ref="B2:J2"/>
    <mergeCell ref="B3:J3"/>
  </mergeCells>
  <hyperlinks>
    <hyperlink ref="B5" r:id="rId1" location="#'Basic Details'!A1"/>
    <hyperlink ref="B10" r:id="rId2" location="#'Monitoring Period'!A1"/>
    <hyperlink ref="B11" r:id="rId3" location="#'Duration'!A1"/>
    <hyperlink ref="B14" r:id="rId4" location="#'Means of Verification'!A1"/>
    <hyperlink ref="B21" r:id="rId5" location="#'Monitoring Verification'!A1"/>
    <hyperlink ref="B28" r:id="rId6" location="#'Verified Emissions'!A1"/>
    <hyperlink ref="B39" r:id="rId7" location="#'Certification Statement'!A1"/>
    <hyperlink ref="B44" r:id="rId8" location="#'Reversal Occurred'!A1"/>
    <hyperlink ref="B46" r:id="rId9" location="#'Duration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129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130</v>
      </c>
      <c r="C5" s="5" t="s">
        <v>2</v>
      </c>
      <c r="D5" s="5"/>
      <c r="E5" s="5" t="s">
        <v>130</v>
      </c>
      <c r="F5" s="5" t="s">
        <v>17</v>
      </c>
      <c r="G5" s="5" t="s">
        <v>131</v>
      </c>
      <c r="H5" s="5" t="s">
        <v>2</v>
      </c>
      <c r="I5" s="5" t="s">
        <v>2</v>
      </c>
      <c r="J5" s="5" t="s">
        <v>132</v>
      </c>
    </row>
    <row r="6" spans="1:10" x14ac:dyDescent="0.25" outlineLevel="1" collapsed="1">
      <c r="A6" s="7" t="s">
        <v>15</v>
      </c>
      <c r="B6" s="7" t="s">
        <v>133</v>
      </c>
      <c r="C6" s="7" t="s">
        <v>134</v>
      </c>
      <c r="D6" s="7"/>
      <c r="E6" s="7" t="s">
        <v>135</v>
      </c>
      <c r="F6" s="7" t="s">
        <v>17</v>
      </c>
      <c r="G6" s="7" t="s">
        <v>136</v>
      </c>
      <c r="H6" s="7" t="s">
        <v>2</v>
      </c>
      <c r="I6" s="7" t="s">
        <v>2</v>
      </c>
      <c r="J6" s="7" t="s">
        <v>137</v>
      </c>
    </row>
    <row r="7" spans="1:10" x14ac:dyDescent="0.25" outlineLevel="1" collapsed="1">
      <c r="A7" s="7" t="s">
        <v>15</v>
      </c>
      <c r="B7" s="7" t="s">
        <v>44</v>
      </c>
      <c r="C7" s="10" t="s">
        <v>138</v>
      </c>
      <c r="D7" s="7"/>
      <c r="E7" s="7" t="s">
        <v>139</v>
      </c>
      <c r="F7" s="7" t="s">
        <v>17</v>
      </c>
      <c r="G7" s="7" t="s">
        <v>140</v>
      </c>
      <c r="H7" s="7" t="s">
        <v>2</v>
      </c>
      <c r="I7" s="7" t="s">
        <v>2</v>
      </c>
      <c r="J7" s="7" t="s">
        <v>141</v>
      </c>
    </row>
    <row r="8" spans="1:10" x14ac:dyDescent="0.25" outlineLevel="1" collapsed="1">
      <c r="A8" s="7" t="s">
        <v>15</v>
      </c>
      <c r="B8" s="7" t="s">
        <v>133</v>
      </c>
      <c r="C8" s="7" t="s">
        <v>142</v>
      </c>
      <c r="D8" s="7"/>
      <c r="E8" s="7" t="s">
        <v>143</v>
      </c>
      <c r="F8" s="7" t="s">
        <v>17</v>
      </c>
      <c r="G8" s="7" t="s">
        <v>144</v>
      </c>
      <c r="H8" s="7" t="s">
        <v>2</v>
      </c>
      <c r="I8" s="7" t="s">
        <v>2</v>
      </c>
      <c r="J8" s="7" t="s">
        <v>145</v>
      </c>
    </row>
    <row r="9" spans="1:10" x14ac:dyDescent="0.25" outlineLevel="1" collapsed="1">
      <c r="A9" s="7" t="s">
        <v>15</v>
      </c>
      <c r="B9" s="7" t="s">
        <v>133</v>
      </c>
      <c r="C9" s="7" t="s">
        <v>146</v>
      </c>
      <c r="D9" s="7"/>
      <c r="E9" s="7" t="s">
        <v>147</v>
      </c>
      <c r="F9" s="7" t="s">
        <v>17</v>
      </c>
      <c r="G9" s="7" t="s">
        <v>148</v>
      </c>
      <c r="H9" s="7" t="s">
        <v>2</v>
      </c>
      <c r="I9" s="7" t="s">
        <v>2</v>
      </c>
      <c r="J9" s="7" t="s">
        <v>149</v>
      </c>
    </row>
    <row r="10" spans="1:10" x14ac:dyDescent="0.25">
      <c r="A10" s="5" t="s">
        <v>15</v>
      </c>
      <c r="B10" s="6" t="s">
        <v>150</v>
      </c>
      <c r="C10" s="5" t="s">
        <v>2</v>
      </c>
      <c r="D10" s="5"/>
      <c r="E10" s="5" t="s">
        <v>150</v>
      </c>
      <c r="F10" s="5" t="s">
        <v>17</v>
      </c>
      <c r="G10" s="5" t="s">
        <v>151</v>
      </c>
      <c r="H10" s="5" t="s">
        <v>2</v>
      </c>
      <c r="I10" s="5" t="s">
        <v>2</v>
      </c>
      <c r="J10" s="5" t="s">
        <v>152</v>
      </c>
    </row>
    <row r="11" spans="1:10" x14ac:dyDescent="0.25" outlineLevel="1" collapsed="1">
      <c r="A11" s="7" t="s">
        <v>15</v>
      </c>
      <c r="B11" s="7" t="s">
        <v>133</v>
      </c>
      <c r="C11" s="7" t="s">
        <v>153</v>
      </c>
      <c r="D11" s="7"/>
      <c r="E11" s="7" t="s">
        <v>154</v>
      </c>
      <c r="F11" s="7" t="s">
        <v>17</v>
      </c>
      <c r="G11" s="7" t="s">
        <v>155</v>
      </c>
      <c r="H11" s="7" t="s">
        <v>2</v>
      </c>
      <c r="I11" s="7" t="s">
        <v>2</v>
      </c>
      <c r="J11" s="7" t="s">
        <v>156</v>
      </c>
    </row>
    <row r="12" spans="1:10" x14ac:dyDescent="0.25" outlineLevel="1" collapsed="1">
      <c r="A12" s="7" t="s">
        <v>15</v>
      </c>
      <c r="B12" s="7" t="s">
        <v>133</v>
      </c>
      <c r="C12" s="7" t="s">
        <v>153</v>
      </c>
      <c r="D12" s="7"/>
      <c r="E12" s="7" t="s">
        <v>157</v>
      </c>
      <c r="F12" s="7" t="s">
        <v>17</v>
      </c>
      <c r="G12" s="7" t="s">
        <v>158</v>
      </c>
      <c r="H12" s="7" t="s">
        <v>2</v>
      </c>
      <c r="I12" s="7" t="s">
        <v>2</v>
      </c>
      <c r="J12" s="7" t="s">
        <v>159</v>
      </c>
    </row>
    <row r="13" spans="1:10" x14ac:dyDescent="0.25" outlineLevel="1" collapsed="1">
      <c r="A13" s="7" t="s">
        <v>15</v>
      </c>
      <c r="B13" s="7" t="s">
        <v>160</v>
      </c>
      <c r="C13" s="7" t="s">
        <v>2</v>
      </c>
      <c r="D13" s="7"/>
      <c r="E13" s="7" t="s">
        <v>161</v>
      </c>
      <c r="F13" s="7" t="s">
        <v>17</v>
      </c>
      <c r="G13" s="7" t="s">
        <v>162</v>
      </c>
      <c r="H13" s="7" t="s">
        <v>2</v>
      </c>
      <c r="I13" s="7" t="s">
        <v>2</v>
      </c>
      <c r="J13" s="7" t="s">
        <v>163</v>
      </c>
    </row>
    <row r="14" spans="1:10" x14ac:dyDescent="0.25" outlineLevel="1" collapsed="1">
      <c r="A14" s="7" t="s">
        <v>15</v>
      </c>
      <c r="B14" s="7" t="s">
        <v>133</v>
      </c>
      <c r="C14" s="7" t="s">
        <v>164</v>
      </c>
      <c r="D14" s="7"/>
      <c r="E14" s="7" t="s">
        <v>165</v>
      </c>
      <c r="F14" s="7" t="s">
        <v>17</v>
      </c>
      <c r="G14" s="7" t="s">
        <v>166</v>
      </c>
      <c r="H14" s="7" t="s">
        <v>2</v>
      </c>
      <c r="I14" s="7" t="s">
        <v>2</v>
      </c>
      <c r="J14" s="7" t="s">
        <v>167</v>
      </c>
    </row>
    <row r="15" spans="1:10" x14ac:dyDescent="0.25">
      <c r="A15" s="5" t="s">
        <v>15</v>
      </c>
      <c r="B15" s="6" t="s">
        <v>168</v>
      </c>
      <c r="C15" s="5" t="s">
        <v>2</v>
      </c>
      <c r="D15" s="5"/>
      <c r="E15" s="5" t="s">
        <v>168</v>
      </c>
      <c r="F15" s="5" t="s">
        <v>17</v>
      </c>
      <c r="G15" s="5" t="s">
        <v>169</v>
      </c>
      <c r="H15" s="5" t="s">
        <v>2</v>
      </c>
      <c r="I15" s="5" t="s">
        <v>2</v>
      </c>
      <c r="J15" s="5" t="s">
        <v>170</v>
      </c>
    </row>
    <row r="16" spans="1:10" x14ac:dyDescent="0.25" outlineLevel="1" collapsed="1">
      <c r="A16" s="7" t="s">
        <v>15</v>
      </c>
      <c r="B16" s="7" t="s">
        <v>133</v>
      </c>
      <c r="C16" s="7" t="s">
        <v>142</v>
      </c>
      <c r="D16" s="7"/>
      <c r="E16" s="7" t="s">
        <v>21</v>
      </c>
      <c r="F16" s="7" t="s">
        <v>17</v>
      </c>
      <c r="G16" s="7" t="s">
        <v>171</v>
      </c>
      <c r="H16" s="7" t="s">
        <v>2</v>
      </c>
      <c r="I16" s="7" t="s">
        <v>2</v>
      </c>
      <c r="J16" s="7" t="s">
        <v>23</v>
      </c>
    </row>
    <row r="17" spans="1:10" x14ac:dyDescent="0.25" outlineLevel="1" collapsed="1">
      <c r="A17" s="7" t="s">
        <v>15</v>
      </c>
      <c r="B17" s="7" t="s">
        <v>133</v>
      </c>
      <c r="C17" s="7" t="s">
        <v>142</v>
      </c>
      <c r="D17" s="7"/>
      <c r="E17" s="7" t="s">
        <v>172</v>
      </c>
      <c r="F17" s="7" t="s">
        <v>17</v>
      </c>
      <c r="G17" s="7" t="s">
        <v>173</v>
      </c>
      <c r="H17" s="7" t="s">
        <v>2</v>
      </c>
      <c r="I17" s="7" t="s">
        <v>2</v>
      </c>
      <c r="J17" s="7" t="s">
        <v>174</v>
      </c>
    </row>
    <row r="18" spans="1:10" x14ac:dyDescent="0.25">
      <c r="A18" s="5" t="s">
        <v>15</v>
      </c>
      <c r="B18" s="6" t="s">
        <v>175</v>
      </c>
      <c r="C18" s="5" t="s">
        <v>2</v>
      </c>
      <c r="D18" s="5"/>
      <c r="E18" s="5" t="s">
        <v>175</v>
      </c>
      <c r="F18" s="5" t="s">
        <v>17</v>
      </c>
      <c r="G18" s="5" t="s">
        <v>176</v>
      </c>
      <c r="H18" s="5" t="s">
        <v>2</v>
      </c>
      <c r="I18" s="5" t="s">
        <v>2</v>
      </c>
      <c r="J18" s="5" t="s">
        <v>177</v>
      </c>
    </row>
    <row r="19" spans="1:10" x14ac:dyDescent="0.25" outlineLevel="1" collapsed="1">
      <c r="A19" s="7" t="s">
        <v>17</v>
      </c>
      <c r="B19" s="7" t="s">
        <v>125</v>
      </c>
      <c r="C19" s="7" t="s">
        <v>2</v>
      </c>
      <c r="D19" s="7"/>
      <c r="E19" s="7" t="s">
        <v>178</v>
      </c>
      <c r="F19" s="7" t="s">
        <v>15</v>
      </c>
      <c r="G19" s="7" t="s">
        <v>179</v>
      </c>
      <c r="H19" s="7" t="s">
        <v>2</v>
      </c>
      <c r="I19" s="7" t="s">
        <v>2</v>
      </c>
      <c r="J19" s="7" t="s">
        <v>180</v>
      </c>
    </row>
  </sheetData>
  <mergeCells count="3">
    <mergeCell ref="A1:J1"/>
    <mergeCell ref="B2:J2"/>
    <mergeCell ref="B3:J3"/>
  </mergeCells>
  <dataValidations count="1">
    <dataValidation type="list" allowBlank="1" sqref="G7:I7">
      <formula1>'Enums'!C1829:C1833</formula1>
    </dataValidation>
  </dataValidations>
  <hyperlinks>
    <hyperlink ref="B5" r:id="rId1" location="#'Entity Information'!A1"/>
    <hyperlink ref="B10" r:id="rId2" location="#'Contact Person Details'!A1"/>
    <hyperlink ref="B15" r:id="rId3" location="#'Project Related Information'!A1"/>
    <hyperlink ref="B18" r:id="rId4" location="#'Additional Information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6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181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17</v>
      </c>
      <c r="B5" s="5" t="s">
        <v>20</v>
      </c>
      <c r="C5" s="5" t="s">
        <v>2</v>
      </c>
      <c r="D5" s="5"/>
      <c r="E5" s="5" t="s">
        <v>182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183</v>
      </c>
    </row>
    <row r="6" spans="1:10" x14ac:dyDescent="0.25">
      <c r="A6" s="5" t="s">
        <v>15</v>
      </c>
      <c r="B6" s="6" t="s">
        <v>184</v>
      </c>
      <c r="C6" s="5" t="s">
        <v>2</v>
      </c>
      <c r="D6" s="5"/>
      <c r="E6" s="5" t="s">
        <v>185</v>
      </c>
      <c r="F6" s="5" t="s">
        <v>17</v>
      </c>
      <c r="G6" s="5" t="s">
        <v>186</v>
      </c>
      <c r="H6" s="5" t="s">
        <v>2</v>
      </c>
      <c r="I6" s="5" t="s">
        <v>2</v>
      </c>
      <c r="J6" s="5" t="s">
        <v>19</v>
      </c>
    </row>
    <row r="7" spans="1:10" x14ac:dyDescent="0.25" outlineLevel="1" collapsed="1">
      <c r="A7" s="7" t="s">
        <v>15</v>
      </c>
      <c r="B7" s="7" t="s">
        <v>133</v>
      </c>
      <c r="C7" s="7" t="s">
        <v>187</v>
      </c>
      <c r="D7" s="7"/>
      <c r="E7" s="7" t="s">
        <v>21</v>
      </c>
      <c r="F7" s="7" t="s">
        <v>17</v>
      </c>
      <c r="G7" s="7" t="s">
        <v>188</v>
      </c>
      <c r="H7" s="7" t="s">
        <v>2</v>
      </c>
      <c r="I7" s="7" t="s">
        <v>2</v>
      </c>
      <c r="J7" s="7" t="s">
        <v>23</v>
      </c>
    </row>
    <row r="8" spans="1:10" x14ac:dyDescent="0.25">
      <c r="A8" s="5" t="s">
        <v>15</v>
      </c>
      <c r="B8" s="6" t="s">
        <v>189</v>
      </c>
      <c r="C8" s="5" t="s">
        <v>2</v>
      </c>
      <c r="D8" s="5"/>
      <c r="E8" s="5" t="s">
        <v>190</v>
      </c>
      <c r="F8" s="5" t="s">
        <v>17</v>
      </c>
      <c r="G8" s="5" t="s">
        <v>191</v>
      </c>
      <c r="H8" s="5" t="s">
        <v>2</v>
      </c>
      <c r="I8" s="5" t="s">
        <v>2</v>
      </c>
      <c r="J8" s="5" t="s">
        <v>192</v>
      </c>
    </row>
    <row r="9" spans="1:10" x14ac:dyDescent="0.25" outlineLevel="1" collapsed="1">
      <c r="A9" s="7" t="s">
        <v>15</v>
      </c>
      <c r="B9" s="7" t="s">
        <v>20</v>
      </c>
      <c r="C9" s="7" t="s">
        <v>2</v>
      </c>
      <c r="D9" s="7"/>
      <c r="E9" s="7" t="s">
        <v>193</v>
      </c>
      <c r="F9" s="7" t="s">
        <v>17</v>
      </c>
      <c r="G9" s="7" t="s">
        <v>22</v>
      </c>
      <c r="H9" s="7" t="s">
        <v>2</v>
      </c>
      <c r="I9" s="7" t="s">
        <v>2</v>
      </c>
      <c r="J9" s="7" t="s">
        <v>104</v>
      </c>
    </row>
    <row r="10" spans="1:10" x14ac:dyDescent="0.25" outlineLevel="1" collapsed="1">
      <c r="A10" s="7" t="s">
        <v>15</v>
      </c>
      <c r="B10" s="7" t="s">
        <v>194</v>
      </c>
      <c r="C10" s="7" t="s">
        <v>2</v>
      </c>
      <c r="D10" s="7"/>
      <c r="E10" s="7" t="s">
        <v>195</v>
      </c>
      <c r="F10" s="7" t="s">
        <v>17</v>
      </c>
      <c r="G10" s="7">
        <v>1</v>
      </c>
      <c r="H10" s="7" t="s">
        <v>2</v>
      </c>
      <c r="I10" s="7" t="s">
        <v>2</v>
      </c>
      <c r="J10" s="7" t="s">
        <v>196</v>
      </c>
    </row>
    <row r="11" spans="1:10" x14ac:dyDescent="0.25" outlineLevel="1" collapsed="1">
      <c r="A11" s="8" t="s">
        <v>15</v>
      </c>
      <c r="B11" s="9" t="s">
        <v>34</v>
      </c>
      <c r="C11" s="8" t="s">
        <v>2</v>
      </c>
      <c r="D11" s="8"/>
      <c r="E11" s="8" t="s">
        <v>197</v>
      </c>
      <c r="F11" s="8" t="s">
        <v>17</v>
      </c>
      <c r="G11" s="8" t="s">
        <v>2</v>
      </c>
      <c r="H11" s="8" t="s">
        <v>2</v>
      </c>
      <c r="I11" s="8" t="s">
        <v>2</v>
      </c>
      <c r="J11" s="8" t="s">
        <v>35</v>
      </c>
    </row>
    <row r="12" spans="1:10" x14ac:dyDescent="0.25" outlineLevel="2" collapsed="1">
      <c r="A12" s="7" t="s">
        <v>15</v>
      </c>
      <c r="B12" s="7" t="s">
        <v>26</v>
      </c>
      <c r="C12" s="7" t="s">
        <v>2</v>
      </c>
      <c r="D12" s="7"/>
      <c r="E12" s="7" t="s">
        <v>36</v>
      </c>
      <c r="F12" s="7" t="s">
        <v>17</v>
      </c>
      <c r="G12" s="7" t="s">
        <v>37</v>
      </c>
      <c r="H12" s="7" t="s">
        <v>2</v>
      </c>
      <c r="I12" s="7" t="s">
        <v>2</v>
      </c>
      <c r="J12" s="7" t="s">
        <v>38</v>
      </c>
    </row>
    <row r="13" spans="1:10" x14ac:dyDescent="0.25" outlineLevel="2" collapsed="1">
      <c r="A13" s="7" t="s">
        <v>15</v>
      </c>
      <c r="B13" s="7" t="s">
        <v>26</v>
      </c>
      <c r="C13" s="7" t="s">
        <v>2</v>
      </c>
      <c r="D13" s="7"/>
      <c r="E13" s="7" t="s">
        <v>39</v>
      </c>
      <c r="F13" s="7" t="s">
        <v>17</v>
      </c>
      <c r="G13" s="7" t="s">
        <v>37</v>
      </c>
      <c r="H13" s="7" t="s">
        <v>2</v>
      </c>
      <c r="I13" s="7" t="s">
        <v>2</v>
      </c>
      <c r="J13" s="7" t="s">
        <v>40</v>
      </c>
    </row>
    <row r="14" spans="1:10" x14ac:dyDescent="0.25" outlineLevel="1" collapsed="1">
      <c r="A14" s="7" t="s">
        <v>15</v>
      </c>
      <c r="B14" s="7" t="s">
        <v>194</v>
      </c>
      <c r="C14" s="7" t="s">
        <v>2</v>
      </c>
      <c r="D14" s="7"/>
      <c r="E14" s="7" t="s">
        <v>198</v>
      </c>
      <c r="F14" s="7" t="s">
        <v>17</v>
      </c>
      <c r="G14" s="7">
        <v>1</v>
      </c>
      <c r="H14" s="7" t="s">
        <v>2</v>
      </c>
      <c r="I14" s="7" t="s">
        <v>2</v>
      </c>
      <c r="J14" s="7" t="s">
        <v>199</v>
      </c>
    </row>
    <row r="15" spans="1:10" x14ac:dyDescent="0.25" outlineLevel="1" collapsed="1">
      <c r="A15" s="7" t="s">
        <v>15</v>
      </c>
      <c r="B15" s="7" t="s">
        <v>20</v>
      </c>
      <c r="C15" s="7" t="s">
        <v>2</v>
      </c>
      <c r="D15" s="7"/>
      <c r="E15" s="7" t="s">
        <v>200</v>
      </c>
      <c r="F15" s="7" t="s">
        <v>17</v>
      </c>
      <c r="G15" s="7" t="s">
        <v>22</v>
      </c>
      <c r="H15" s="7" t="s">
        <v>2</v>
      </c>
      <c r="I15" s="7" t="s">
        <v>2</v>
      </c>
      <c r="J15" s="7" t="s">
        <v>201</v>
      </c>
    </row>
    <row r="16" spans="1:10" x14ac:dyDescent="0.25" outlineLevel="1" collapsed="1">
      <c r="A16" s="7" t="s">
        <v>15</v>
      </c>
      <c r="B16" s="7" t="s">
        <v>20</v>
      </c>
      <c r="C16" s="7" t="s">
        <v>2</v>
      </c>
      <c r="D16" s="7"/>
      <c r="E16" s="7" t="s">
        <v>202</v>
      </c>
      <c r="F16" s="7" t="s">
        <v>17</v>
      </c>
      <c r="G16" s="7" t="s">
        <v>22</v>
      </c>
      <c r="H16" s="7" t="s">
        <v>2</v>
      </c>
      <c r="I16" s="7" t="s">
        <v>2</v>
      </c>
      <c r="J16" s="7" t="s">
        <v>203</v>
      </c>
    </row>
    <row r="17" spans="1:10" x14ac:dyDescent="0.25" outlineLevel="1" collapsed="1">
      <c r="A17" s="7" t="s">
        <v>15</v>
      </c>
      <c r="B17" s="7" t="s">
        <v>20</v>
      </c>
      <c r="C17" s="7" t="s">
        <v>2</v>
      </c>
      <c r="D17" s="7"/>
      <c r="E17" s="7" t="s">
        <v>204</v>
      </c>
      <c r="F17" s="7" t="s">
        <v>17</v>
      </c>
      <c r="G17" s="7" t="s">
        <v>22</v>
      </c>
      <c r="H17" s="7" t="s">
        <v>2</v>
      </c>
      <c r="I17" s="7" t="s">
        <v>2</v>
      </c>
      <c r="J17" s="7" t="s">
        <v>205</v>
      </c>
    </row>
    <row r="18" spans="1:10" x14ac:dyDescent="0.25">
      <c r="A18" s="5" t="s">
        <v>15</v>
      </c>
      <c r="B18" s="6" t="s">
        <v>206</v>
      </c>
      <c r="C18" s="5" t="s">
        <v>2</v>
      </c>
      <c r="D18" s="5"/>
      <c r="E18" s="5" t="s">
        <v>207</v>
      </c>
      <c r="F18" s="5" t="s">
        <v>17</v>
      </c>
      <c r="G18" s="5" t="s">
        <v>208</v>
      </c>
      <c r="H18" s="5" t="s">
        <v>2</v>
      </c>
      <c r="I18" s="5" t="s">
        <v>2</v>
      </c>
      <c r="J18" s="5" t="s">
        <v>209</v>
      </c>
    </row>
    <row r="19" spans="1:10" x14ac:dyDescent="0.25" outlineLevel="1" collapsed="1">
      <c r="A19" s="7" t="s">
        <v>15</v>
      </c>
      <c r="B19" s="7" t="s">
        <v>20</v>
      </c>
      <c r="C19" s="7" t="s">
        <v>2</v>
      </c>
      <c r="D19" s="7"/>
      <c r="E19" s="7" t="s">
        <v>135</v>
      </c>
      <c r="F19" s="7" t="s">
        <v>17</v>
      </c>
      <c r="G19" s="7" t="s">
        <v>22</v>
      </c>
      <c r="H19" s="7" t="s">
        <v>2</v>
      </c>
      <c r="I19" s="7" t="s">
        <v>2</v>
      </c>
      <c r="J19" s="7" t="s">
        <v>210</v>
      </c>
    </row>
    <row r="20" spans="1:10" x14ac:dyDescent="0.25" outlineLevel="1" collapsed="1">
      <c r="A20" s="7" t="s">
        <v>15</v>
      </c>
      <c r="B20" s="7" t="s">
        <v>160</v>
      </c>
      <c r="C20" s="7" t="s">
        <v>2</v>
      </c>
      <c r="D20" s="7"/>
      <c r="E20" s="7" t="s">
        <v>211</v>
      </c>
      <c r="F20" s="7" t="s">
        <v>17</v>
      </c>
      <c r="G20" s="7" t="s">
        <v>162</v>
      </c>
      <c r="H20" s="7" t="s">
        <v>2</v>
      </c>
      <c r="I20" s="7" t="s">
        <v>2</v>
      </c>
      <c r="J20" s="7" t="s">
        <v>212</v>
      </c>
    </row>
    <row r="21" spans="1:10" x14ac:dyDescent="0.25" outlineLevel="1" collapsed="1">
      <c r="A21" s="7" t="s">
        <v>15</v>
      </c>
      <c r="B21" s="7" t="s">
        <v>20</v>
      </c>
      <c r="C21" s="7" t="s">
        <v>2</v>
      </c>
      <c r="D21" s="7"/>
      <c r="E21" s="7" t="s">
        <v>213</v>
      </c>
      <c r="F21" s="7" t="s">
        <v>17</v>
      </c>
      <c r="G21" s="7" t="s">
        <v>22</v>
      </c>
      <c r="H21" s="7" t="s">
        <v>2</v>
      </c>
      <c r="I21" s="7" t="s">
        <v>2</v>
      </c>
      <c r="J21" s="7" t="s">
        <v>214</v>
      </c>
    </row>
    <row r="22" spans="1:10" x14ac:dyDescent="0.25" outlineLevel="1" collapsed="1">
      <c r="A22" s="7" t="s">
        <v>15</v>
      </c>
      <c r="B22" s="7" t="s">
        <v>133</v>
      </c>
      <c r="C22" s="7" t="s">
        <v>215</v>
      </c>
      <c r="D22" s="7"/>
      <c r="E22" s="7" t="s">
        <v>216</v>
      </c>
      <c r="F22" s="7" t="s">
        <v>17</v>
      </c>
      <c r="G22" s="7" t="s">
        <v>217</v>
      </c>
      <c r="H22" s="7" t="s">
        <v>2</v>
      </c>
      <c r="I22" s="7" t="s">
        <v>2</v>
      </c>
      <c r="J22" s="7" t="s">
        <v>218</v>
      </c>
    </row>
    <row r="23" spans="1:10" x14ac:dyDescent="0.25" outlineLevel="1" collapsed="1">
      <c r="A23" s="7" t="s">
        <v>17</v>
      </c>
      <c r="B23" s="7" t="s">
        <v>133</v>
      </c>
      <c r="C23" s="7" t="s">
        <v>215</v>
      </c>
      <c r="D23" s="7"/>
      <c r="E23" s="7" t="s">
        <v>219</v>
      </c>
      <c r="F23" s="7" t="s">
        <v>17</v>
      </c>
      <c r="G23" s="7" t="s">
        <v>220</v>
      </c>
      <c r="H23" s="7" t="s">
        <v>2</v>
      </c>
      <c r="I23" s="7" t="s">
        <v>2</v>
      </c>
      <c r="J23" s="7" t="s">
        <v>221</v>
      </c>
    </row>
    <row r="24" spans="1:10" x14ac:dyDescent="0.25" outlineLevel="1" collapsed="1">
      <c r="A24" s="7" t="s">
        <v>17</v>
      </c>
      <c r="B24" s="7" t="s">
        <v>20</v>
      </c>
      <c r="C24" s="7" t="s">
        <v>2</v>
      </c>
      <c r="D24" s="7"/>
      <c r="E24" s="7" t="s">
        <v>222</v>
      </c>
      <c r="F24" s="7" t="s">
        <v>17</v>
      </c>
      <c r="G24" s="7" t="s">
        <v>22</v>
      </c>
      <c r="H24" s="7" t="s">
        <v>2</v>
      </c>
      <c r="I24" s="7" t="s">
        <v>2</v>
      </c>
      <c r="J24" s="7" t="s">
        <v>223</v>
      </c>
    </row>
    <row r="25" spans="1:10" x14ac:dyDescent="0.25" outlineLevel="1" collapsed="1">
      <c r="A25" s="7" t="s">
        <v>17</v>
      </c>
      <c r="B25" s="7" t="s">
        <v>133</v>
      </c>
      <c r="C25" s="7" t="s">
        <v>146</v>
      </c>
      <c r="D25" s="7"/>
      <c r="E25" s="7" t="s">
        <v>147</v>
      </c>
      <c r="F25" s="7" t="s">
        <v>17</v>
      </c>
      <c r="G25" s="7" t="s">
        <v>224</v>
      </c>
      <c r="H25" s="7" t="s">
        <v>2</v>
      </c>
      <c r="I25" s="7" t="s">
        <v>2</v>
      </c>
      <c r="J25" s="7" t="s">
        <v>149</v>
      </c>
    </row>
    <row r="26" spans="1:10" x14ac:dyDescent="0.25" outlineLevel="1" collapsed="1">
      <c r="A26" s="7" t="s">
        <v>15</v>
      </c>
      <c r="B26" s="7" t="s">
        <v>53</v>
      </c>
      <c r="C26" s="7" t="s">
        <v>2</v>
      </c>
      <c r="D26" s="7"/>
      <c r="E26" s="7" t="s">
        <v>225</v>
      </c>
      <c r="F26" s="7" t="s">
        <v>17</v>
      </c>
      <c r="G26" s="7">
        <v>1</v>
      </c>
      <c r="H26" s="7" t="s">
        <v>2</v>
      </c>
      <c r="I26" s="7" t="s">
        <v>2</v>
      </c>
      <c r="J26" s="7" t="s">
        <v>226</v>
      </c>
    </row>
    <row r="27" spans="1:10" x14ac:dyDescent="0.25">
      <c r="A27" s="5" t="s">
        <v>15</v>
      </c>
      <c r="B27" s="6" t="s">
        <v>227</v>
      </c>
      <c r="C27" s="5" t="s">
        <v>2</v>
      </c>
      <c r="D27" s="5"/>
      <c r="E27" s="5" t="s">
        <v>227</v>
      </c>
      <c r="F27" s="5" t="s">
        <v>17</v>
      </c>
      <c r="G27" s="5" t="s">
        <v>228</v>
      </c>
      <c r="H27" s="5" t="s">
        <v>2</v>
      </c>
      <c r="I27" s="5" t="s">
        <v>2</v>
      </c>
      <c r="J27" s="5" t="s">
        <v>229</v>
      </c>
    </row>
    <row r="28" spans="1:10" x14ac:dyDescent="0.25" outlineLevel="1" collapsed="1">
      <c r="A28" s="8" t="s">
        <v>15</v>
      </c>
      <c r="B28" s="9" t="s">
        <v>230</v>
      </c>
      <c r="C28" s="8" t="s">
        <v>2</v>
      </c>
      <c r="D28" s="8"/>
      <c r="E28" s="8" t="s">
        <v>231</v>
      </c>
      <c r="F28" s="8" t="s">
        <v>17</v>
      </c>
      <c r="G28" s="8" t="s">
        <v>2</v>
      </c>
      <c r="H28" s="8" t="s">
        <v>2</v>
      </c>
      <c r="I28" s="8" t="s">
        <v>2</v>
      </c>
      <c r="J28" s="8" t="s">
        <v>232</v>
      </c>
    </row>
    <row r="29" spans="1:10" x14ac:dyDescent="0.25" outlineLevel="2" collapsed="1">
      <c r="A29" s="7" t="s">
        <v>15</v>
      </c>
      <c r="B29" s="7" t="s">
        <v>44</v>
      </c>
      <c r="C29" s="10" t="s">
        <v>233</v>
      </c>
      <c r="D29" s="7"/>
      <c r="E29" s="7" t="s">
        <v>231</v>
      </c>
      <c r="F29" s="7" t="s">
        <v>17</v>
      </c>
      <c r="G29" s="7" t="s">
        <v>234</v>
      </c>
      <c r="H29" s="7" t="s">
        <v>2</v>
      </c>
      <c r="I29" s="7" t="s">
        <v>2</v>
      </c>
      <c r="J29" s="7" t="s">
        <v>232</v>
      </c>
    </row>
    <row r="30" spans="1:10" x14ac:dyDescent="0.25" outlineLevel="2" collapsed="1">
      <c r="A30" s="8" t="s">
        <v>17</v>
      </c>
      <c r="B30" s="9" t="s">
        <v>235</v>
      </c>
      <c r="C30" s="8" t="s">
        <v>2</v>
      </c>
      <c r="D30" s="8">
        <f>EXACT(G29,"HWT, IWT, CWT")</f>
      </c>
      <c r="E30" s="8" t="s">
        <v>235</v>
      </c>
      <c r="F30" s="8" t="s">
        <v>17</v>
      </c>
      <c r="G30" s="8" t="s">
        <v>2</v>
      </c>
      <c r="H30" s="8" t="s">
        <v>2</v>
      </c>
      <c r="I30" s="8" t="s">
        <v>2</v>
      </c>
      <c r="J30" s="8" t="s">
        <v>236</v>
      </c>
    </row>
    <row r="31" spans="1:10" x14ac:dyDescent="0.25" outlineLevel="3" collapsed="1">
      <c r="A31" s="7" t="s">
        <v>15</v>
      </c>
      <c r="B31" s="7" t="s">
        <v>44</v>
      </c>
      <c r="C31" s="10" t="s">
        <v>237</v>
      </c>
      <c r="D31" s="7"/>
      <c r="E31" s="7" t="s">
        <v>235</v>
      </c>
      <c r="F31" s="7" t="s">
        <v>17</v>
      </c>
      <c r="G31" s="7" t="s">
        <v>238</v>
      </c>
      <c r="H31" s="7" t="s">
        <v>2</v>
      </c>
      <c r="I31" s="7" t="s">
        <v>2</v>
      </c>
      <c r="J31" s="7" t="s">
        <v>239</v>
      </c>
    </row>
    <row r="32" spans="1:10" x14ac:dyDescent="0.25" outlineLevel="3" collapsed="1">
      <c r="A32" s="7" t="s">
        <v>17</v>
      </c>
      <c r="B32" s="7" t="s">
        <v>20</v>
      </c>
      <c r="C32" s="7" t="s">
        <v>2</v>
      </c>
      <c r="D32" s="7">
        <f>EXACT(G31,"Other (Specify)")</f>
      </c>
      <c r="E32" s="7" t="s">
        <v>240</v>
      </c>
      <c r="F32" s="7" t="s">
        <v>17</v>
      </c>
      <c r="G32" s="7" t="s">
        <v>22</v>
      </c>
      <c r="H32" s="7" t="s">
        <v>2</v>
      </c>
      <c r="I32" s="7" t="s">
        <v>2</v>
      </c>
      <c r="J32" s="7" t="s">
        <v>241</v>
      </c>
    </row>
    <row r="33" spans="1:10" x14ac:dyDescent="0.25" outlineLevel="2" collapsed="1">
      <c r="A33" s="8" t="s">
        <v>17</v>
      </c>
      <c r="B33" s="9" t="s">
        <v>242</v>
      </c>
      <c r="C33" s="8" t="s">
        <v>2</v>
      </c>
      <c r="D33" s="8">
        <f>EXACT(G29,"CWS")</f>
      </c>
      <c r="E33" s="8" t="s">
        <v>235</v>
      </c>
      <c r="F33" s="8" t="s">
        <v>17</v>
      </c>
      <c r="G33" s="8" t="s">
        <v>2</v>
      </c>
      <c r="H33" s="8" t="s">
        <v>2</v>
      </c>
      <c r="I33" s="8" t="s">
        <v>2</v>
      </c>
      <c r="J33" s="8" t="s">
        <v>243</v>
      </c>
    </row>
    <row r="34" spans="1:10" x14ac:dyDescent="0.25" outlineLevel="3" collapsed="1">
      <c r="A34" s="7" t="s">
        <v>15</v>
      </c>
      <c r="B34" s="7" t="s">
        <v>44</v>
      </c>
      <c r="C34" s="10" t="s">
        <v>244</v>
      </c>
      <c r="D34" s="7"/>
      <c r="E34" s="7" t="s">
        <v>235</v>
      </c>
      <c r="F34" s="7" t="s">
        <v>17</v>
      </c>
      <c r="G34" s="7" t="s">
        <v>245</v>
      </c>
      <c r="H34" s="7" t="s">
        <v>2</v>
      </c>
      <c r="I34" s="7" t="s">
        <v>2</v>
      </c>
      <c r="J34" s="7" t="s">
        <v>246</v>
      </c>
    </row>
    <row r="35" spans="1:10" x14ac:dyDescent="0.25" outlineLevel="3" collapsed="1">
      <c r="A35" s="7" t="s">
        <v>17</v>
      </c>
      <c r="B35" s="7" t="s">
        <v>20</v>
      </c>
      <c r="C35" s="7" t="s">
        <v>2</v>
      </c>
      <c r="D35" s="7">
        <f>EXACT(G34,"Other (Specify)")</f>
      </c>
      <c r="E35" s="7" t="s">
        <v>240</v>
      </c>
      <c r="F35" s="7" t="s">
        <v>17</v>
      </c>
      <c r="G35" s="7" t="s">
        <v>22</v>
      </c>
      <c r="H35" s="7" t="s">
        <v>2</v>
      </c>
      <c r="I35" s="7" t="s">
        <v>2</v>
      </c>
      <c r="J35" s="7" t="s">
        <v>241</v>
      </c>
    </row>
    <row r="36" spans="1:10" x14ac:dyDescent="0.25" outlineLevel="1" collapsed="1">
      <c r="A36" s="7" t="s">
        <v>15</v>
      </c>
      <c r="B36" s="7" t="s">
        <v>20</v>
      </c>
      <c r="C36" s="7" t="s">
        <v>2</v>
      </c>
      <c r="D36" s="7"/>
      <c r="E36" s="7" t="s">
        <v>247</v>
      </c>
      <c r="F36" s="7" t="s">
        <v>17</v>
      </c>
      <c r="G36" s="7" t="s">
        <v>22</v>
      </c>
      <c r="H36" s="7" t="s">
        <v>2</v>
      </c>
      <c r="I36" s="7" t="s">
        <v>2</v>
      </c>
      <c r="J36" s="7" t="s">
        <v>248</v>
      </c>
    </row>
    <row r="37" spans="1:10" x14ac:dyDescent="0.25" outlineLevel="1" collapsed="1">
      <c r="A37" s="7" t="s">
        <v>15</v>
      </c>
      <c r="B37" s="7" t="s">
        <v>44</v>
      </c>
      <c r="C37" s="10" t="s">
        <v>249</v>
      </c>
      <c r="D37" s="7"/>
      <c r="E37" s="7" t="s">
        <v>250</v>
      </c>
      <c r="F37" s="7" t="s">
        <v>17</v>
      </c>
      <c r="G37" s="7" t="s">
        <v>251</v>
      </c>
      <c r="H37" s="7" t="s">
        <v>2</v>
      </c>
      <c r="I37" s="7" t="s">
        <v>2</v>
      </c>
      <c r="J37" s="7" t="s">
        <v>252</v>
      </c>
    </row>
    <row r="38" spans="1:10" x14ac:dyDescent="0.25" outlineLevel="1" collapsed="1">
      <c r="A38" s="7" t="s">
        <v>17</v>
      </c>
      <c r="B38" s="7" t="s">
        <v>125</v>
      </c>
      <c r="C38" s="7" t="s">
        <v>2</v>
      </c>
      <c r="D38" s="7">
        <f>EXACT(G37,"CWT, CWS")</f>
      </c>
      <c r="E38" s="7" t="s">
        <v>253</v>
      </c>
      <c r="F38" s="7" t="s">
        <v>17</v>
      </c>
      <c r="G38" s="7" t="s">
        <v>254</v>
      </c>
      <c r="H38" s="7" t="s">
        <v>2</v>
      </c>
      <c r="I38" s="7" t="s">
        <v>2</v>
      </c>
      <c r="J38" s="7" t="s">
        <v>255</v>
      </c>
    </row>
    <row r="39" spans="1:10" x14ac:dyDescent="0.25" outlineLevel="1" collapsed="1">
      <c r="A39" s="7" t="s">
        <v>17</v>
      </c>
      <c r="B39" s="7" t="s">
        <v>133</v>
      </c>
      <c r="C39" s="7" t="s">
        <v>256</v>
      </c>
      <c r="D39" s="7">
        <f>EXACT(G37,"CWT, CWS")</f>
      </c>
      <c r="E39" s="7" t="s">
        <v>257</v>
      </c>
      <c r="F39" s="7" t="s">
        <v>17</v>
      </c>
      <c r="G39" s="7" t="s">
        <v>258</v>
      </c>
      <c r="H39" s="7" t="s">
        <v>2</v>
      </c>
      <c r="I39" s="7" t="s">
        <v>2</v>
      </c>
      <c r="J39" s="7" t="s">
        <v>259</v>
      </c>
    </row>
    <row r="40" spans="1:10" x14ac:dyDescent="0.25" outlineLevel="1" collapsed="1">
      <c r="A40" s="7" t="s">
        <v>17</v>
      </c>
      <c r="B40" s="7" t="s">
        <v>133</v>
      </c>
      <c r="C40" s="7" t="s">
        <v>256</v>
      </c>
      <c r="D40" s="7">
        <f>EXACT(G37,"CWT, CWS")</f>
      </c>
      <c r="E40" s="7" t="s">
        <v>260</v>
      </c>
      <c r="F40" s="7" t="s">
        <v>17</v>
      </c>
      <c r="G40" s="7" t="s">
        <v>261</v>
      </c>
      <c r="H40" s="7" t="s">
        <v>2</v>
      </c>
      <c r="I40" s="7" t="s">
        <v>2</v>
      </c>
      <c r="J40" s="7" t="s">
        <v>262</v>
      </c>
    </row>
    <row r="41" spans="1:10" x14ac:dyDescent="0.25" outlineLevel="1" collapsed="1">
      <c r="A41" s="7" t="s">
        <v>17</v>
      </c>
      <c r="B41" s="7" t="s">
        <v>47</v>
      </c>
      <c r="C41" s="7" t="s">
        <v>2</v>
      </c>
      <c r="D41" s="7">
        <f>EXACT(G37,"CWT, CWS")</f>
      </c>
      <c r="E41" s="7" t="s">
        <v>263</v>
      </c>
      <c r="F41" s="7" t="s">
        <v>17</v>
      </c>
      <c r="G41" s="7" t="b">
        <v>1</v>
      </c>
      <c r="H41" s="7" t="s">
        <v>2</v>
      </c>
      <c r="I41" s="7" t="s">
        <v>2</v>
      </c>
      <c r="J41" s="7" t="s">
        <v>264</v>
      </c>
    </row>
    <row r="42" spans="1:10" x14ac:dyDescent="0.25" outlineLevel="1" collapsed="1">
      <c r="A42" s="7" t="s">
        <v>17</v>
      </c>
      <c r="B42" s="7" t="s">
        <v>133</v>
      </c>
      <c r="C42" s="7" t="s">
        <v>256</v>
      </c>
      <c r="D42" s="7">
        <f>EXACT(G37,"CWT, CWS")</f>
      </c>
      <c r="E42" s="7" t="s">
        <v>265</v>
      </c>
      <c r="F42" s="7" t="s">
        <v>17</v>
      </c>
      <c r="G42" s="7" t="s">
        <v>266</v>
      </c>
      <c r="H42" s="7" t="s">
        <v>2</v>
      </c>
      <c r="I42" s="7" t="s">
        <v>2</v>
      </c>
      <c r="J42" s="7" t="s">
        <v>267</v>
      </c>
    </row>
    <row r="43" spans="1:10" x14ac:dyDescent="0.25" outlineLevel="1" collapsed="1">
      <c r="A43" s="7" t="s">
        <v>17</v>
      </c>
      <c r="B43" s="7" t="s">
        <v>133</v>
      </c>
      <c r="C43" s="7" t="s">
        <v>268</v>
      </c>
      <c r="D43" s="7">
        <f>EXACT(G37,"CWT, CWS")</f>
      </c>
      <c r="E43" s="7" t="s">
        <v>269</v>
      </c>
      <c r="F43" s="7" t="s">
        <v>17</v>
      </c>
      <c r="G43" s="7" t="s">
        <v>270</v>
      </c>
      <c r="H43" s="7" t="s">
        <v>2</v>
      </c>
      <c r="I43" s="7" t="s">
        <v>2</v>
      </c>
      <c r="J43" s="7" t="s">
        <v>271</v>
      </c>
    </row>
    <row r="44" spans="1:10" x14ac:dyDescent="0.25" outlineLevel="1" collapsed="1">
      <c r="A44" s="7" t="s">
        <v>17</v>
      </c>
      <c r="B44" s="7" t="s">
        <v>133</v>
      </c>
      <c r="C44" s="7" t="s">
        <v>256</v>
      </c>
      <c r="D44" s="7">
        <f>EXACT(G37,"CWT, CWS")</f>
      </c>
      <c r="E44" s="7" t="s">
        <v>272</v>
      </c>
      <c r="F44" s="7" t="s">
        <v>17</v>
      </c>
      <c r="G44" s="7" t="s">
        <v>273</v>
      </c>
      <c r="H44" s="7" t="s">
        <v>2</v>
      </c>
      <c r="I44" s="7" t="s">
        <v>2</v>
      </c>
      <c r="J44" s="7" t="s">
        <v>274</v>
      </c>
    </row>
    <row r="45" spans="1:10" x14ac:dyDescent="0.25" outlineLevel="1" collapsed="1">
      <c r="A45" s="7" t="s">
        <v>17</v>
      </c>
      <c r="B45" s="7" t="s">
        <v>194</v>
      </c>
      <c r="C45" s="7" t="s">
        <v>2</v>
      </c>
      <c r="D45" s="7">
        <f>EXACT(G37,"CWT, CWS")</f>
      </c>
      <c r="E45" s="7" t="s">
        <v>275</v>
      </c>
      <c r="F45" s="7" t="s">
        <v>17</v>
      </c>
      <c r="G45" s="7">
        <v>1</v>
      </c>
      <c r="H45" s="7" t="s">
        <v>2</v>
      </c>
      <c r="I45" s="7" t="s">
        <v>2</v>
      </c>
      <c r="J45" s="7" t="s">
        <v>276</v>
      </c>
    </row>
    <row r="46" spans="1:10" x14ac:dyDescent="0.25" outlineLevel="1" collapsed="1">
      <c r="A46" s="7" t="s">
        <v>17</v>
      </c>
      <c r="B46" s="7" t="s">
        <v>53</v>
      </c>
      <c r="C46" s="7" t="s">
        <v>2</v>
      </c>
      <c r="D46" s="7">
        <f>EXACT(G37,"CWT, CWS")</f>
      </c>
      <c r="E46" s="7" t="s">
        <v>277</v>
      </c>
      <c r="F46" s="7" t="s">
        <v>17</v>
      </c>
      <c r="G46" s="7">
        <v>1</v>
      </c>
      <c r="H46" s="7" t="s">
        <v>2</v>
      </c>
      <c r="I46" s="7" t="s">
        <v>2</v>
      </c>
      <c r="J46" s="7" t="s">
        <v>278</v>
      </c>
    </row>
    <row r="47" spans="1:10" x14ac:dyDescent="0.25" outlineLevel="1" collapsed="1">
      <c r="A47" s="7" t="s">
        <v>17</v>
      </c>
      <c r="B47" s="7" t="s">
        <v>194</v>
      </c>
      <c r="C47" s="7" t="s">
        <v>2</v>
      </c>
      <c r="D47" s="7">
        <f>EXACT(G37,"CWT, CWS")</f>
      </c>
      <c r="E47" s="7" t="s">
        <v>279</v>
      </c>
      <c r="F47" s="7" t="s">
        <v>17</v>
      </c>
      <c r="G47" s="7">
        <v>1</v>
      </c>
      <c r="H47" s="7" t="s">
        <v>2</v>
      </c>
      <c r="I47" s="7" t="s">
        <v>2</v>
      </c>
      <c r="J47" s="7" t="s">
        <v>280</v>
      </c>
    </row>
    <row r="48" spans="1:10" x14ac:dyDescent="0.25" outlineLevel="1" collapsed="1">
      <c r="A48" s="7" t="s">
        <v>17</v>
      </c>
      <c r="B48" s="7" t="s">
        <v>133</v>
      </c>
      <c r="C48" s="7" t="s">
        <v>281</v>
      </c>
      <c r="D48" s="7">
        <f>EXACT(G37,"CWT, CWS")</f>
      </c>
      <c r="E48" s="7" t="s">
        <v>282</v>
      </c>
      <c r="F48" s="7" t="s">
        <v>17</v>
      </c>
      <c r="G48" s="7" t="s">
        <v>283</v>
      </c>
      <c r="H48" s="7" t="s">
        <v>2</v>
      </c>
      <c r="I48" s="7" t="s">
        <v>2</v>
      </c>
      <c r="J48" s="7" t="s">
        <v>284</v>
      </c>
    </row>
    <row r="49" spans="1:10" x14ac:dyDescent="0.25" outlineLevel="1" collapsed="1">
      <c r="A49" s="7" t="s">
        <v>17</v>
      </c>
      <c r="B49" s="7" t="s">
        <v>133</v>
      </c>
      <c r="C49" s="7" t="s">
        <v>256</v>
      </c>
      <c r="D49" s="7">
        <f>EXACT(G37,"CWT, CWS")</f>
      </c>
      <c r="E49" s="7" t="s">
        <v>285</v>
      </c>
      <c r="F49" s="7" t="s">
        <v>17</v>
      </c>
      <c r="G49" s="7" t="s">
        <v>286</v>
      </c>
      <c r="H49" s="7" t="s">
        <v>2</v>
      </c>
      <c r="I49" s="7" t="s">
        <v>2</v>
      </c>
      <c r="J49" s="7" t="s">
        <v>287</v>
      </c>
    </row>
    <row r="50" spans="1:10" x14ac:dyDescent="0.25" outlineLevel="1" collapsed="1">
      <c r="A50" s="7" t="s">
        <v>17</v>
      </c>
      <c r="B50" s="7" t="s">
        <v>133</v>
      </c>
      <c r="C50" s="7" t="s">
        <v>256</v>
      </c>
      <c r="D50" s="7">
        <f>EXACT(G37,"CWT, CWS")</f>
      </c>
      <c r="E50" s="7" t="s">
        <v>288</v>
      </c>
      <c r="F50" s="7" t="s">
        <v>17</v>
      </c>
      <c r="G50" s="7" t="s">
        <v>289</v>
      </c>
      <c r="H50" s="7" t="s">
        <v>2</v>
      </c>
      <c r="I50" s="7" t="s">
        <v>2</v>
      </c>
      <c r="J50" s="7" t="s">
        <v>290</v>
      </c>
    </row>
    <row r="51" spans="1:10" x14ac:dyDescent="0.25" outlineLevel="1" collapsed="1">
      <c r="A51" s="8" t="s">
        <v>17</v>
      </c>
      <c r="B51" s="9" t="s">
        <v>291</v>
      </c>
      <c r="C51" s="8" t="s">
        <v>2</v>
      </c>
      <c r="D51" s="8">
        <f>EXACT(G37,"CWT, CWS")</f>
      </c>
      <c r="E51" s="8" t="s">
        <v>292</v>
      </c>
      <c r="F51" s="8" t="s">
        <v>17</v>
      </c>
      <c r="G51" s="8" t="s">
        <v>2</v>
      </c>
      <c r="H51" s="8" t="s">
        <v>2</v>
      </c>
      <c r="I51" s="8" t="s">
        <v>2</v>
      </c>
      <c r="J51" s="8" t="s">
        <v>293</v>
      </c>
    </row>
    <row r="52" spans="1:10" x14ac:dyDescent="0.25" outlineLevel="2" collapsed="1">
      <c r="A52" s="7" t="s">
        <v>15</v>
      </c>
      <c r="B52" s="7" t="s">
        <v>47</v>
      </c>
      <c r="C52" s="7" t="s">
        <v>2</v>
      </c>
      <c r="D52" s="7"/>
      <c r="E52" s="7" t="s">
        <v>294</v>
      </c>
      <c r="F52" s="7" t="s">
        <v>17</v>
      </c>
      <c r="G52" s="7" t="b">
        <v>1</v>
      </c>
      <c r="H52" s="7" t="s">
        <v>2</v>
      </c>
      <c r="I52" s="7" t="s">
        <v>2</v>
      </c>
      <c r="J52" s="7" t="s">
        <v>295</v>
      </c>
    </row>
    <row r="53" spans="1:10" x14ac:dyDescent="0.25" outlineLevel="2" collapsed="1">
      <c r="A53" s="7" t="s">
        <v>17</v>
      </c>
      <c r="B53" s="7" t="s">
        <v>26</v>
      </c>
      <c r="C53" s="7" t="s">
        <v>2</v>
      </c>
      <c r="D53" s="7">
        <f>EXACT(G52,true)</f>
      </c>
      <c r="E53" s="7" t="s">
        <v>296</v>
      </c>
      <c r="F53" s="7" t="s">
        <v>17</v>
      </c>
      <c r="G53" s="7" t="s">
        <v>37</v>
      </c>
      <c r="H53" s="7" t="s">
        <v>2</v>
      </c>
      <c r="I53" s="7" t="s">
        <v>2</v>
      </c>
      <c r="J53" s="7" t="s">
        <v>297</v>
      </c>
    </row>
    <row r="54" spans="1:10" x14ac:dyDescent="0.25" outlineLevel="2" collapsed="1">
      <c r="A54" s="7" t="s">
        <v>17</v>
      </c>
      <c r="B54" s="7" t="s">
        <v>133</v>
      </c>
      <c r="C54" s="7" t="s">
        <v>298</v>
      </c>
      <c r="D54" s="7">
        <f>EXACT(G52,true)</f>
      </c>
      <c r="E54" s="7" t="s">
        <v>299</v>
      </c>
      <c r="F54" s="7" t="s">
        <v>17</v>
      </c>
      <c r="G54" s="7" t="s">
        <v>300</v>
      </c>
      <c r="H54" s="7" t="s">
        <v>2</v>
      </c>
      <c r="I54" s="7" t="s">
        <v>2</v>
      </c>
      <c r="J54" s="7" t="s">
        <v>301</v>
      </c>
    </row>
    <row r="55" spans="1:10" x14ac:dyDescent="0.25" outlineLevel="2" collapsed="1">
      <c r="A55" s="7" t="s">
        <v>17</v>
      </c>
      <c r="B55" s="7" t="s">
        <v>26</v>
      </c>
      <c r="C55" s="7" t="s">
        <v>2</v>
      </c>
      <c r="D55" s="7">
        <f>EXACT(G52,true)</f>
      </c>
      <c r="E55" s="7" t="s">
        <v>302</v>
      </c>
      <c r="F55" s="7" t="s">
        <v>17</v>
      </c>
      <c r="G55" s="7" t="s">
        <v>37</v>
      </c>
      <c r="H55" s="7" t="s">
        <v>2</v>
      </c>
      <c r="I55" s="7" t="s">
        <v>2</v>
      </c>
      <c r="J55" s="7" t="s">
        <v>303</v>
      </c>
    </row>
    <row r="56" spans="1:10" x14ac:dyDescent="0.25" outlineLevel="2" collapsed="1">
      <c r="A56" s="7" t="s">
        <v>17</v>
      </c>
      <c r="B56" s="7" t="s">
        <v>125</v>
      </c>
      <c r="C56" s="7" t="s">
        <v>2</v>
      </c>
      <c r="D56" s="7">
        <f>EXACT(G52,true)</f>
      </c>
      <c r="E56" s="7" t="s">
        <v>304</v>
      </c>
      <c r="F56" s="7" t="s">
        <v>17</v>
      </c>
      <c r="G56" s="7" t="s">
        <v>305</v>
      </c>
      <c r="H56" s="7" t="s">
        <v>2</v>
      </c>
      <c r="I56" s="7" t="s">
        <v>2</v>
      </c>
      <c r="J56" s="7" t="s">
        <v>306</v>
      </c>
    </row>
    <row r="57" spans="1:10" x14ac:dyDescent="0.25" outlineLevel="2" collapsed="1">
      <c r="A57" s="7" t="s">
        <v>17</v>
      </c>
      <c r="B57" s="7" t="s">
        <v>125</v>
      </c>
      <c r="C57" s="7" t="s">
        <v>2</v>
      </c>
      <c r="D57" s="7">
        <f>EXACT(G52,true)</f>
      </c>
      <c r="E57" s="7" t="s">
        <v>307</v>
      </c>
      <c r="F57" s="7" t="s">
        <v>17</v>
      </c>
      <c r="G57" s="7" t="s">
        <v>308</v>
      </c>
      <c r="H57" s="7" t="s">
        <v>2</v>
      </c>
      <c r="I57" s="7" t="s">
        <v>2</v>
      </c>
      <c r="J57" s="7" t="s">
        <v>309</v>
      </c>
    </row>
    <row r="58" spans="1:10" x14ac:dyDescent="0.25" outlineLevel="1" collapsed="1">
      <c r="A58" s="7" t="s">
        <v>17</v>
      </c>
      <c r="B58" s="7" t="s">
        <v>125</v>
      </c>
      <c r="C58" s="7" t="s">
        <v>2</v>
      </c>
      <c r="D58" s="7">
        <f>EXACT(G37,"HWT, IWT")</f>
      </c>
      <c r="E58" s="7" t="s">
        <v>253</v>
      </c>
      <c r="F58" s="7" t="s">
        <v>17</v>
      </c>
      <c r="G58" s="7" t="s">
        <v>310</v>
      </c>
      <c r="H58" s="7" t="s">
        <v>2</v>
      </c>
      <c r="I58" s="7" t="s">
        <v>2</v>
      </c>
      <c r="J58" s="7" t="s">
        <v>311</v>
      </c>
    </row>
    <row r="59" spans="1:10" x14ac:dyDescent="0.25" outlineLevel="1" collapsed="1">
      <c r="A59" s="7" t="s">
        <v>17</v>
      </c>
      <c r="B59" s="7" t="s">
        <v>133</v>
      </c>
      <c r="C59" s="7" t="s">
        <v>268</v>
      </c>
      <c r="D59" s="7">
        <f>EXACT(G37,"HWT, IWT")</f>
      </c>
      <c r="E59" s="7" t="s">
        <v>312</v>
      </c>
      <c r="F59" s="7" t="s">
        <v>17</v>
      </c>
      <c r="G59" s="7" t="s">
        <v>313</v>
      </c>
      <c r="H59" s="7" t="s">
        <v>2</v>
      </c>
      <c r="I59" s="7" t="s">
        <v>2</v>
      </c>
      <c r="J59" s="7" t="s">
        <v>314</v>
      </c>
    </row>
    <row r="60" spans="1:10" x14ac:dyDescent="0.25" outlineLevel="1" collapsed="1">
      <c r="A60" s="7" t="s">
        <v>17</v>
      </c>
      <c r="B60" s="7" t="s">
        <v>133</v>
      </c>
      <c r="C60" s="7" t="s">
        <v>268</v>
      </c>
      <c r="D60" s="7">
        <f>EXACT(G37,"HWT, IWT")</f>
      </c>
      <c r="E60" s="7" t="s">
        <v>315</v>
      </c>
      <c r="F60" s="7" t="s">
        <v>17</v>
      </c>
      <c r="G60" s="7" t="s">
        <v>316</v>
      </c>
      <c r="H60" s="7" t="s">
        <v>2</v>
      </c>
      <c r="I60" s="7" t="s">
        <v>2</v>
      </c>
      <c r="J60" s="7" t="s">
        <v>317</v>
      </c>
    </row>
    <row r="61" spans="1:10" x14ac:dyDescent="0.25" outlineLevel="1" collapsed="1">
      <c r="A61" s="7" t="s">
        <v>17</v>
      </c>
      <c r="B61" s="7" t="s">
        <v>133</v>
      </c>
      <c r="C61" s="7" t="s">
        <v>268</v>
      </c>
      <c r="D61" s="7">
        <f>EXACT(G37,"HWT, IWT")</f>
      </c>
      <c r="E61" s="7" t="s">
        <v>318</v>
      </c>
      <c r="F61" s="7" t="s">
        <v>17</v>
      </c>
      <c r="G61" s="7" t="s">
        <v>319</v>
      </c>
      <c r="H61" s="7" t="s">
        <v>2</v>
      </c>
      <c r="I61" s="7" t="s">
        <v>2</v>
      </c>
      <c r="J61" s="7" t="s">
        <v>320</v>
      </c>
    </row>
    <row r="62" spans="1:10" x14ac:dyDescent="0.25" outlineLevel="1" collapsed="1">
      <c r="A62" s="7" t="s">
        <v>17</v>
      </c>
      <c r="B62" s="7" t="s">
        <v>53</v>
      </c>
      <c r="C62" s="7" t="s">
        <v>2</v>
      </c>
      <c r="D62" s="7">
        <f>EXACT(G37,"HWT, IWT")</f>
      </c>
      <c r="E62" s="7" t="s">
        <v>321</v>
      </c>
      <c r="F62" s="7" t="s">
        <v>17</v>
      </c>
      <c r="G62" s="7">
        <v>1</v>
      </c>
      <c r="H62" s="7" t="s">
        <v>2</v>
      </c>
      <c r="I62" s="7" t="s">
        <v>2</v>
      </c>
      <c r="J62" s="7" t="s">
        <v>322</v>
      </c>
    </row>
    <row r="63" spans="1:10" x14ac:dyDescent="0.25" outlineLevel="1" collapsed="1">
      <c r="A63" s="7" t="s">
        <v>17</v>
      </c>
      <c r="B63" s="7" t="s">
        <v>133</v>
      </c>
      <c r="C63" s="7" t="s">
        <v>268</v>
      </c>
      <c r="D63" s="7">
        <f>EXACT(G37,"HWT, IWT")</f>
      </c>
      <c r="E63" s="7" t="s">
        <v>269</v>
      </c>
      <c r="F63" s="7" t="s">
        <v>17</v>
      </c>
      <c r="G63" s="7" t="s">
        <v>323</v>
      </c>
      <c r="H63" s="7" t="s">
        <v>2</v>
      </c>
      <c r="I63" s="7" t="s">
        <v>2</v>
      </c>
      <c r="J63" s="7" t="s">
        <v>324</v>
      </c>
    </row>
    <row r="64" spans="1:10" x14ac:dyDescent="0.25" outlineLevel="1" collapsed="1">
      <c r="A64" s="7" t="s">
        <v>17</v>
      </c>
      <c r="B64" s="7" t="s">
        <v>133</v>
      </c>
      <c r="C64" s="7" t="s">
        <v>256</v>
      </c>
      <c r="D64" s="7">
        <f>EXACT(G37,"HWT, IWT")</f>
      </c>
      <c r="E64" s="7" t="s">
        <v>272</v>
      </c>
      <c r="F64" s="7" t="s">
        <v>17</v>
      </c>
      <c r="G64" s="7" t="s">
        <v>325</v>
      </c>
      <c r="H64" s="7" t="s">
        <v>2</v>
      </c>
      <c r="I64" s="7" t="s">
        <v>2</v>
      </c>
      <c r="J64" s="7" t="s">
        <v>326</v>
      </c>
    </row>
    <row r="65" spans="1:10" x14ac:dyDescent="0.25" outlineLevel="1" collapsed="1">
      <c r="A65" s="7" t="s">
        <v>17</v>
      </c>
      <c r="B65" s="7" t="s">
        <v>133</v>
      </c>
      <c r="C65" s="7" t="s">
        <v>256</v>
      </c>
      <c r="D65" s="7">
        <f>EXACT(G37,"HWT, IWT")</f>
      </c>
      <c r="E65" s="7" t="s">
        <v>327</v>
      </c>
      <c r="F65" s="7" t="s">
        <v>17</v>
      </c>
      <c r="G65" s="7" t="s">
        <v>328</v>
      </c>
      <c r="H65" s="7" t="s">
        <v>2</v>
      </c>
      <c r="I65" s="7" t="s">
        <v>2</v>
      </c>
      <c r="J65" s="7" t="s">
        <v>329</v>
      </c>
    </row>
    <row r="66" spans="1:10" x14ac:dyDescent="0.25" outlineLevel="1" collapsed="1">
      <c r="A66" s="7" t="s">
        <v>17</v>
      </c>
      <c r="B66" s="7" t="s">
        <v>133</v>
      </c>
      <c r="C66" s="7" t="s">
        <v>256</v>
      </c>
      <c r="D66" s="7">
        <f>EXACT(G37,"HWT, IWT")</f>
      </c>
      <c r="E66" s="7" t="s">
        <v>288</v>
      </c>
      <c r="F66" s="7" t="s">
        <v>17</v>
      </c>
      <c r="G66" s="7" t="s">
        <v>330</v>
      </c>
      <c r="H66" s="7" t="s">
        <v>2</v>
      </c>
      <c r="I66" s="7" t="s">
        <v>2</v>
      </c>
      <c r="J66" s="7" t="s">
        <v>331</v>
      </c>
    </row>
    <row r="67" spans="1:10" x14ac:dyDescent="0.25">
      <c r="A67" s="5" t="s">
        <v>15</v>
      </c>
      <c r="B67" s="6" t="s">
        <v>332</v>
      </c>
      <c r="C67" s="5" t="s">
        <v>2</v>
      </c>
      <c r="D67" s="5"/>
      <c r="E67" s="5" t="s">
        <v>333</v>
      </c>
      <c r="F67" s="5" t="s">
        <v>15</v>
      </c>
      <c r="G67" s="5" t="s">
        <v>334</v>
      </c>
      <c r="H67" s="5" t="s">
        <v>2</v>
      </c>
      <c r="I67" s="5" t="s">
        <v>2</v>
      </c>
      <c r="J67" s="5" t="s">
        <v>335</v>
      </c>
    </row>
    <row r="68" spans="1:10" x14ac:dyDescent="0.25" outlineLevel="1" collapsed="1">
      <c r="A68" s="8" t="s">
        <v>15</v>
      </c>
      <c r="B68" s="9" t="s">
        <v>336</v>
      </c>
      <c r="C68" s="8" t="s">
        <v>2</v>
      </c>
      <c r="D68" s="8"/>
      <c r="E68" s="8" t="s">
        <v>337</v>
      </c>
      <c r="F68" s="8" t="s">
        <v>17</v>
      </c>
      <c r="G68" s="8" t="s">
        <v>2</v>
      </c>
      <c r="H68" s="8" t="s">
        <v>2</v>
      </c>
      <c r="I68" s="8" t="s">
        <v>2</v>
      </c>
      <c r="J68" s="8" t="s">
        <v>338</v>
      </c>
    </row>
    <row r="69" spans="1:10" x14ac:dyDescent="0.25" outlineLevel="2" collapsed="1">
      <c r="A69" s="7" t="s">
        <v>15</v>
      </c>
      <c r="B69" s="7" t="s">
        <v>44</v>
      </c>
      <c r="C69" s="10" t="s">
        <v>339</v>
      </c>
      <c r="D69" s="7"/>
      <c r="E69" s="7" t="s">
        <v>337</v>
      </c>
      <c r="F69" s="7" t="s">
        <v>17</v>
      </c>
      <c r="G69" s="7" t="s">
        <v>340</v>
      </c>
      <c r="H69" s="7" t="s">
        <v>2</v>
      </c>
      <c r="I69" s="7" t="s">
        <v>2</v>
      </c>
      <c r="J69" s="7" t="s">
        <v>338</v>
      </c>
    </row>
    <row r="70" spans="1:10" x14ac:dyDescent="0.25" outlineLevel="1" collapsed="1">
      <c r="A70" s="7" t="s">
        <v>15</v>
      </c>
      <c r="B70" s="7" t="s">
        <v>133</v>
      </c>
      <c r="C70" s="7" t="s">
        <v>341</v>
      </c>
      <c r="D70" s="7"/>
      <c r="E70" s="7" t="s">
        <v>342</v>
      </c>
      <c r="F70" s="7" t="s">
        <v>17</v>
      </c>
      <c r="G70" s="7" t="s">
        <v>343</v>
      </c>
      <c r="H70" s="7" t="s">
        <v>2</v>
      </c>
      <c r="I70" s="7" t="s">
        <v>2</v>
      </c>
      <c r="J70" s="7" t="s">
        <v>344</v>
      </c>
    </row>
    <row r="71" spans="1:10" x14ac:dyDescent="0.25" outlineLevel="1" collapsed="1">
      <c r="A71" s="7" t="s">
        <v>15</v>
      </c>
      <c r="B71" s="7" t="s">
        <v>133</v>
      </c>
      <c r="C71" s="7" t="s">
        <v>268</v>
      </c>
      <c r="D71" s="7"/>
      <c r="E71" s="7" t="s">
        <v>345</v>
      </c>
      <c r="F71" s="7" t="s">
        <v>17</v>
      </c>
      <c r="G71" s="7" t="s">
        <v>346</v>
      </c>
      <c r="H71" s="7" t="s">
        <v>2</v>
      </c>
      <c r="I71" s="7" t="s">
        <v>2</v>
      </c>
      <c r="J71" s="7" t="s">
        <v>347</v>
      </c>
    </row>
    <row r="72" spans="1:10" x14ac:dyDescent="0.25" outlineLevel="1" collapsed="1">
      <c r="A72" s="7" t="s">
        <v>15</v>
      </c>
      <c r="B72" s="7" t="s">
        <v>133</v>
      </c>
      <c r="C72" s="7" t="s">
        <v>348</v>
      </c>
      <c r="D72" s="7"/>
      <c r="E72" s="7" t="s">
        <v>349</v>
      </c>
      <c r="F72" s="7" t="s">
        <v>17</v>
      </c>
      <c r="G72" s="7" t="s">
        <v>350</v>
      </c>
      <c r="H72" s="7" t="s">
        <v>2</v>
      </c>
      <c r="I72" s="7" t="s">
        <v>2</v>
      </c>
      <c r="J72" s="7" t="s">
        <v>351</v>
      </c>
    </row>
    <row r="73" spans="1:10" x14ac:dyDescent="0.25" outlineLevel="1" collapsed="1">
      <c r="A73" s="7" t="s">
        <v>15</v>
      </c>
      <c r="B73" s="7" t="s">
        <v>44</v>
      </c>
      <c r="C73" s="10" t="s">
        <v>352</v>
      </c>
      <c r="D73" s="7"/>
      <c r="E73" s="7" t="s">
        <v>353</v>
      </c>
      <c r="F73" s="7" t="s">
        <v>17</v>
      </c>
      <c r="G73" s="7" t="s">
        <v>354</v>
      </c>
      <c r="H73" s="7" t="s">
        <v>2</v>
      </c>
      <c r="I73" s="7" t="s">
        <v>2</v>
      </c>
      <c r="J73" s="7" t="s">
        <v>355</v>
      </c>
    </row>
    <row r="74" spans="1:10" x14ac:dyDescent="0.25" outlineLevel="1" collapsed="1">
      <c r="A74" s="7" t="s">
        <v>15</v>
      </c>
      <c r="B74" s="7" t="s">
        <v>356</v>
      </c>
      <c r="C74" s="7" t="s">
        <v>2</v>
      </c>
      <c r="D74" s="7"/>
      <c r="E74" s="7" t="s">
        <v>357</v>
      </c>
      <c r="F74" s="7" t="s">
        <v>17</v>
      </c>
      <c r="G74" s="7" t="s">
        <v>2</v>
      </c>
      <c r="H74" s="7" t="s">
        <v>2</v>
      </c>
      <c r="I74" s="7" t="s">
        <v>2</v>
      </c>
      <c r="J74" s="7" t="s">
        <v>335</v>
      </c>
    </row>
    <row r="75" spans="1:10" x14ac:dyDescent="0.25" outlineLevel="1" collapsed="1">
      <c r="A75" s="7" t="s">
        <v>15</v>
      </c>
      <c r="B75" s="7" t="s">
        <v>133</v>
      </c>
      <c r="C75" s="7" t="s">
        <v>358</v>
      </c>
      <c r="D75" s="7"/>
      <c r="E75" s="7" t="s">
        <v>359</v>
      </c>
      <c r="F75" s="7" t="s">
        <v>17</v>
      </c>
      <c r="G75" s="7" t="s">
        <v>360</v>
      </c>
      <c r="H75" s="7" t="s">
        <v>2</v>
      </c>
      <c r="I75" s="7" t="s">
        <v>2</v>
      </c>
      <c r="J75" s="7" t="s">
        <v>361</v>
      </c>
    </row>
    <row r="76" spans="1:10" x14ac:dyDescent="0.25" outlineLevel="1" collapsed="1">
      <c r="A76" s="7" t="s">
        <v>15</v>
      </c>
      <c r="B76" s="7" t="s">
        <v>133</v>
      </c>
      <c r="C76" s="7" t="s">
        <v>362</v>
      </c>
      <c r="D76" s="7"/>
      <c r="E76" s="7" t="s">
        <v>363</v>
      </c>
      <c r="F76" s="7" t="s">
        <v>17</v>
      </c>
      <c r="G76" s="7" t="s">
        <v>364</v>
      </c>
      <c r="H76" s="7" t="s">
        <v>2</v>
      </c>
      <c r="I76" s="7" t="s">
        <v>2</v>
      </c>
      <c r="J76" s="7" t="s">
        <v>365</v>
      </c>
    </row>
    <row r="77" spans="1:10" x14ac:dyDescent="0.25">
      <c r="A77" s="5" t="s">
        <v>15</v>
      </c>
      <c r="B77" s="6" t="s">
        <v>366</v>
      </c>
      <c r="C77" s="5" t="s">
        <v>2</v>
      </c>
      <c r="D77" s="5"/>
      <c r="E77" s="5" t="s">
        <v>366</v>
      </c>
      <c r="F77" s="5" t="s">
        <v>17</v>
      </c>
      <c r="G77" s="5" t="s">
        <v>367</v>
      </c>
      <c r="H77" s="5" t="s">
        <v>2</v>
      </c>
      <c r="I77" s="5" t="s">
        <v>2</v>
      </c>
      <c r="J77" s="5" t="s">
        <v>368</v>
      </c>
    </row>
    <row r="78" spans="1:10" x14ac:dyDescent="0.25" outlineLevel="1" collapsed="1">
      <c r="A78" s="7" t="s">
        <v>15</v>
      </c>
      <c r="B78" s="7" t="s">
        <v>20</v>
      </c>
      <c r="C78" s="7" t="s">
        <v>2</v>
      </c>
      <c r="D78" s="7"/>
      <c r="E78" s="7" t="s">
        <v>369</v>
      </c>
      <c r="F78" s="7" t="s">
        <v>17</v>
      </c>
      <c r="G78" s="7" t="s">
        <v>22</v>
      </c>
      <c r="H78" s="7" t="s">
        <v>2</v>
      </c>
      <c r="I78" s="7" t="s">
        <v>2</v>
      </c>
      <c r="J78" s="7" t="s">
        <v>370</v>
      </c>
    </row>
    <row r="79" spans="1:10" x14ac:dyDescent="0.25" outlineLevel="1" collapsed="1">
      <c r="A79" s="7" t="s">
        <v>15</v>
      </c>
      <c r="B79" s="7" t="s">
        <v>20</v>
      </c>
      <c r="C79" s="7" t="s">
        <v>2</v>
      </c>
      <c r="D79" s="7"/>
      <c r="E79" s="7" t="s">
        <v>371</v>
      </c>
      <c r="F79" s="7" t="s">
        <v>17</v>
      </c>
      <c r="G79" s="7" t="s">
        <v>22</v>
      </c>
      <c r="H79" s="7" t="s">
        <v>2</v>
      </c>
      <c r="I79" s="7" t="s">
        <v>2</v>
      </c>
      <c r="J79" s="7" t="s">
        <v>372</v>
      </c>
    </row>
    <row r="80" spans="1:10" x14ac:dyDescent="0.25" outlineLevel="1" collapsed="1">
      <c r="A80" s="7" t="s">
        <v>15</v>
      </c>
      <c r="B80" s="7" t="s">
        <v>20</v>
      </c>
      <c r="C80" s="7" t="s">
        <v>2</v>
      </c>
      <c r="D80" s="7"/>
      <c r="E80" s="7" t="s">
        <v>373</v>
      </c>
      <c r="F80" s="7" t="s">
        <v>17</v>
      </c>
      <c r="G80" s="7" t="s">
        <v>22</v>
      </c>
      <c r="H80" s="7" t="s">
        <v>2</v>
      </c>
      <c r="I80" s="7" t="s">
        <v>2</v>
      </c>
      <c r="J80" s="7" t="s">
        <v>374</v>
      </c>
    </row>
    <row r="81" spans="1:10" x14ac:dyDescent="0.25" outlineLevel="1" collapsed="1">
      <c r="A81" s="8" t="s">
        <v>15</v>
      </c>
      <c r="B81" s="9" t="s">
        <v>34</v>
      </c>
      <c r="C81" s="8" t="s">
        <v>2</v>
      </c>
      <c r="D81" s="8"/>
      <c r="E81" s="8" t="s">
        <v>375</v>
      </c>
      <c r="F81" s="8" t="s">
        <v>17</v>
      </c>
      <c r="G81" s="8" t="s">
        <v>2</v>
      </c>
      <c r="H81" s="8" t="s">
        <v>2</v>
      </c>
      <c r="I81" s="8" t="s">
        <v>2</v>
      </c>
      <c r="J81" s="8" t="s">
        <v>376</v>
      </c>
    </row>
    <row r="82" spans="1:10" x14ac:dyDescent="0.25" outlineLevel="2" collapsed="1">
      <c r="A82" s="7" t="s">
        <v>15</v>
      </c>
      <c r="B82" s="7" t="s">
        <v>26</v>
      </c>
      <c r="C82" s="7" t="s">
        <v>2</v>
      </c>
      <c r="D82" s="7"/>
      <c r="E82" s="7" t="s">
        <v>36</v>
      </c>
      <c r="F82" s="7" t="s">
        <v>17</v>
      </c>
      <c r="G82" s="7" t="s">
        <v>37</v>
      </c>
      <c r="H82" s="7" t="s">
        <v>2</v>
      </c>
      <c r="I82" s="7" t="s">
        <v>2</v>
      </c>
      <c r="J82" s="7" t="s">
        <v>38</v>
      </c>
    </row>
    <row r="83" spans="1:10" x14ac:dyDescent="0.25" outlineLevel="2" collapsed="1">
      <c r="A83" s="7" t="s">
        <v>15</v>
      </c>
      <c r="B83" s="7" t="s">
        <v>26</v>
      </c>
      <c r="C83" s="7" t="s">
        <v>2</v>
      </c>
      <c r="D83" s="7"/>
      <c r="E83" s="7" t="s">
        <v>39</v>
      </c>
      <c r="F83" s="7" t="s">
        <v>17</v>
      </c>
      <c r="G83" s="7" t="s">
        <v>37</v>
      </c>
      <c r="H83" s="7" t="s">
        <v>2</v>
      </c>
      <c r="I83" s="7" t="s">
        <v>2</v>
      </c>
      <c r="J83" s="7" t="s">
        <v>40</v>
      </c>
    </row>
    <row r="84" spans="1:10" x14ac:dyDescent="0.25">
      <c r="A84" s="5" t="s">
        <v>15</v>
      </c>
      <c r="B84" s="6" t="s">
        <v>377</v>
      </c>
      <c r="C84" s="5" t="s">
        <v>2</v>
      </c>
      <c r="D84" s="5"/>
      <c r="E84" s="5" t="s">
        <v>378</v>
      </c>
      <c r="F84" s="5" t="s">
        <v>17</v>
      </c>
      <c r="G84" s="5" t="s">
        <v>379</v>
      </c>
      <c r="H84" s="5" t="s">
        <v>2</v>
      </c>
      <c r="I84" s="5" t="s">
        <v>2</v>
      </c>
      <c r="J84" s="5" t="s">
        <v>380</v>
      </c>
    </row>
    <row r="85" spans="1:10" x14ac:dyDescent="0.25" outlineLevel="1" collapsed="1">
      <c r="A85" s="7" t="s">
        <v>15</v>
      </c>
      <c r="B85" s="7" t="s">
        <v>20</v>
      </c>
      <c r="C85" s="7" t="s">
        <v>2</v>
      </c>
      <c r="D85" s="7"/>
      <c r="E85" s="7" t="s">
        <v>381</v>
      </c>
      <c r="F85" s="7" t="s">
        <v>17</v>
      </c>
      <c r="G85" s="7" t="s">
        <v>22</v>
      </c>
      <c r="H85" s="7" t="s">
        <v>2</v>
      </c>
      <c r="I85" s="7" t="s">
        <v>2</v>
      </c>
      <c r="J85" s="7" t="s">
        <v>382</v>
      </c>
    </row>
    <row r="86" spans="1:10" x14ac:dyDescent="0.25" outlineLevel="1" collapsed="1">
      <c r="A86" s="7" t="s">
        <v>15</v>
      </c>
      <c r="B86" s="7" t="s">
        <v>20</v>
      </c>
      <c r="C86" s="7" t="s">
        <v>2</v>
      </c>
      <c r="D86" s="7"/>
      <c r="E86" s="7" t="s">
        <v>383</v>
      </c>
      <c r="F86" s="7" t="s">
        <v>17</v>
      </c>
      <c r="G86" s="7" t="s">
        <v>22</v>
      </c>
      <c r="H86" s="7" t="s">
        <v>2</v>
      </c>
      <c r="I86" s="7" t="s">
        <v>2</v>
      </c>
      <c r="J86" s="7" t="s">
        <v>384</v>
      </c>
    </row>
    <row r="87" spans="1:10" x14ac:dyDescent="0.25" outlineLevel="1" collapsed="1">
      <c r="A87" s="7" t="s">
        <v>15</v>
      </c>
      <c r="B87" s="7" t="s">
        <v>20</v>
      </c>
      <c r="C87" s="7" t="s">
        <v>2</v>
      </c>
      <c r="D87" s="7"/>
      <c r="E87" s="7" t="s">
        <v>385</v>
      </c>
      <c r="F87" s="7" t="s">
        <v>17</v>
      </c>
      <c r="G87" s="7" t="s">
        <v>22</v>
      </c>
      <c r="H87" s="7" t="s">
        <v>2</v>
      </c>
      <c r="I87" s="7" t="s">
        <v>2</v>
      </c>
      <c r="J87" s="7" t="s">
        <v>386</v>
      </c>
    </row>
    <row r="88" spans="1:10" x14ac:dyDescent="0.25" outlineLevel="1" collapsed="1">
      <c r="A88" s="7" t="s">
        <v>15</v>
      </c>
      <c r="B88" s="7" t="s">
        <v>20</v>
      </c>
      <c r="C88" s="7" t="s">
        <v>2</v>
      </c>
      <c r="D88" s="7"/>
      <c r="E88" s="7" t="s">
        <v>387</v>
      </c>
      <c r="F88" s="7" t="s">
        <v>17</v>
      </c>
      <c r="G88" s="7" t="s">
        <v>22</v>
      </c>
      <c r="H88" s="7" t="s">
        <v>2</v>
      </c>
      <c r="I88" s="7" t="s">
        <v>2</v>
      </c>
      <c r="J88" s="7" t="s">
        <v>388</v>
      </c>
    </row>
    <row r="89" spans="1:10" x14ac:dyDescent="0.25">
      <c r="A89" s="5" t="s">
        <v>15</v>
      </c>
      <c r="B89" s="6" t="s">
        <v>389</v>
      </c>
      <c r="C89" s="5" t="s">
        <v>2</v>
      </c>
      <c r="D89" s="5"/>
      <c r="E89" s="5" t="s">
        <v>390</v>
      </c>
      <c r="F89" s="5" t="s">
        <v>17</v>
      </c>
      <c r="G89" s="5" t="s">
        <v>391</v>
      </c>
      <c r="H89" s="5" t="s">
        <v>2</v>
      </c>
      <c r="I89" s="5" t="s">
        <v>2</v>
      </c>
      <c r="J89" s="5" t="s">
        <v>392</v>
      </c>
    </row>
    <row r="90" spans="1:10" x14ac:dyDescent="0.25" outlineLevel="1" collapsed="1">
      <c r="A90" s="7" t="s">
        <v>15</v>
      </c>
      <c r="B90" s="7" t="s">
        <v>20</v>
      </c>
      <c r="C90" s="7" t="s">
        <v>2</v>
      </c>
      <c r="D90" s="7"/>
      <c r="E90" s="7" t="s">
        <v>393</v>
      </c>
      <c r="F90" s="7" t="s">
        <v>17</v>
      </c>
      <c r="G90" s="7" t="s">
        <v>22</v>
      </c>
      <c r="H90" s="7" t="s">
        <v>2</v>
      </c>
      <c r="I90" s="7" t="s">
        <v>2</v>
      </c>
      <c r="J90" s="7" t="s">
        <v>104</v>
      </c>
    </row>
    <row r="91" spans="1:10" x14ac:dyDescent="0.25" outlineLevel="1" collapsed="1">
      <c r="A91" s="7" t="s">
        <v>17</v>
      </c>
      <c r="B91" s="7" t="s">
        <v>394</v>
      </c>
      <c r="C91" s="10" t="s">
        <v>395</v>
      </c>
      <c r="D91" s="7"/>
      <c r="E91" s="11" t="s">
        <v>396</v>
      </c>
      <c r="F91" s="7" t="s">
        <v>17</v>
      </c>
      <c r="G91" s="7" t="s">
        <v>2</v>
      </c>
      <c r="H91" s="7" t="s">
        <v>2</v>
      </c>
      <c r="I91" s="7" t="s">
        <v>2</v>
      </c>
      <c r="J91" s="7" t="s">
        <v>397</v>
      </c>
    </row>
    <row r="92" spans="1:10" x14ac:dyDescent="0.25" outlineLevel="1" collapsed="1">
      <c r="A92" s="8" t="s">
        <v>15</v>
      </c>
      <c r="B92" s="9" t="s">
        <v>398</v>
      </c>
      <c r="C92" s="8" t="s">
        <v>2</v>
      </c>
      <c r="D92" s="8"/>
      <c r="E92" s="8" t="s">
        <v>399</v>
      </c>
      <c r="F92" s="8" t="s">
        <v>15</v>
      </c>
      <c r="G92" s="8" t="s">
        <v>2</v>
      </c>
      <c r="H92" s="8" t="s">
        <v>2</v>
      </c>
      <c r="I92" s="8" t="s">
        <v>2</v>
      </c>
      <c r="J92" s="8" t="s">
        <v>400</v>
      </c>
    </row>
    <row r="93" spans="1:10" x14ac:dyDescent="0.25" outlineLevel="2" collapsed="1">
      <c r="A93" s="7" t="s">
        <v>15</v>
      </c>
      <c r="B93" s="7" t="s">
        <v>26</v>
      </c>
      <c r="C93" s="7" t="s">
        <v>2</v>
      </c>
      <c r="D93" s="7"/>
      <c r="E93" s="7" t="s">
        <v>401</v>
      </c>
      <c r="F93" s="7" t="s">
        <v>17</v>
      </c>
      <c r="G93" s="7" t="s">
        <v>37</v>
      </c>
      <c r="H93" s="7" t="s">
        <v>2</v>
      </c>
      <c r="I93" s="7" t="s">
        <v>2</v>
      </c>
      <c r="J93" s="7" t="s">
        <v>402</v>
      </c>
    </row>
    <row r="94" spans="1:10" x14ac:dyDescent="0.25" outlineLevel="2" collapsed="1">
      <c r="A94" s="7" t="s">
        <v>15</v>
      </c>
      <c r="B94" s="7" t="s">
        <v>20</v>
      </c>
      <c r="C94" s="7" t="s">
        <v>2</v>
      </c>
      <c r="D94" s="7"/>
      <c r="E94" s="7" t="s">
        <v>403</v>
      </c>
      <c r="F94" s="7" t="s">
        <v>17</v>
      </c>
      <c r="G94" s="7" t="s">
        <v>22</v>
      </c>
      <c r="H94" s="7" t="s">
        <v>2</v>
      </c>
      <c r="I94" s="7" t="s">
        <v>2</v>
      </c>
      <c r="J94" s="7" t="s">
        <v>404</v>
      </c>
    </row>
    <row r="95" spans="1:10" x14ac:dyDescent="0.25" outlineLevel="2" collapsed="1">
      <c r="A95" s="7" t="s">
        <v>15</v>
      </c>
      <c r="B95" s="7" t="s">
        <v>20</v>
      </c>
      <c r="C95" s="7" t="s">
        <v>2</v>
      </c>
      <c r="D95" s="7"/>
      <c r="E95" s="7" t="s">
        <v>405</v>
      </c>
      <c r="F95" s="7" t="s">
        <v>17</v>
      </c>
      <c r="G95" s="7" t="s">
        <v>22</v>
      </c>
      <c r="H95" s="7" t="s">
        <v>2</v>
      </c>
      <c r="I95" s="7" t="s">
        <v>2</v>
      </c>
      <c r="J95" s="7" t="s">
        <v>406</v>
      </c>
    </row>
    <row r="96" spans="1:10" x14ac:dyDescent="0.25" outlineLevel="2" collapsed="1">
      <c r="A96" s="7" t="s">
        <v>15</v>
      </c>
      <c r="B96" s="7" t="s">
        <v>20</v>
      </c>
      <c r="C96" s="7" t="s">
        <v>2</v>
      </c>
      <c r="D96" s="7"/>
      <c r="E96" s="7" t="s">
        <v>407</v>
      </c>
      <c r="F96" s="7" t="s">
        <v>17</v>
      </c>
      <c r="G96" s="7" t="s">
        <v>22</v>
      </c>
      <c r="H96" s="7" t="s">
        <v>2</v>
      </c>
      <c r="I96" s="7" t="s">
        <v>2</v>
      </c>
      <c r="J96" s="7" t="s">
        <v>408</v>
      </c>
    </row>
    <row r="97" spans="1:10" x14ac:dyDescent="0.25" outlineLevel="2" collapsed="1">
      <c r="A97" s="7" t="s">
        <v>15</v>
      </c>
      <c r="B97" s="7" t="s">
        <v>20</v>
      </c>
      <c r="C97" s="7" t="s">
        <v>2</v>
      </c>
      <c r="D97" s="7"/>
      <c r="E97" s="7" t="s">
        <v>409</v>
      </c>
      <c r="F97" s="7" t="s">
        <v>17</v>
      </c>
      <c r="G97" s="7" t="s">
        <v>22</v>
      </c>
      <c r="H97" s="7" t="s">
        <v>2</v>
      </c>
      <c r="I97" s="7" t="s">
        <v>2</v>
      </c>
      <c r="J97" s="7" t="s">
        <v>410</v>
      </c>
    </row>
    <row r="98" spans="1:10" x14ac:dyDescent="0.25" outlineLevel="2" collapsed="1">
      <c r="A98" s="7" t="s">
        <v>15</v>
      </c>
      <c r="B98" s="7" t="s">
        <v>20</v>
      </c>
      <c r="C98" s="7" t="s">
        <v>2</v>
      </c>
      <c r="D98" s="7"/>
      <c r="E98" s="7" t="s">
        <v>411</v>
      </c>
      <c r="F98" s="7" t="s">
        <v>17</v>
      </c>
      <c r="G98" s="7" t="s">
        <v>22</v>
      </c>
      <c r="H98" s="7" t="s">
        <v>2</v>
      </c>
      <c r="I98" s="7" t="s">
        <v>2</v>
      </c>
      <c r="J98" s="7" t="s">
        <v>412</v>
      </c>
    </row>
    <row r="99" spans="1:10" x14ac:dyDescent="0.25" outlineLevel="2" collapsed="1">
      <c r="A99" s="7" t="s">
        <v>15</v>
      </c>
      <c r="B99" s="7" t="s">
        <v>133</v>
      </c>
      <c r="C99" s="7" t="s">
        <v>413</v>
      </c>
      <c r="D99" s="7"/>
      <c r="E99" s="7" t="s">
        <v>414</v>
      </c>
      <c r="F99" s="7" t="s">
        <v>17</v>
      </c>
      <c r="G99" s="7" t="s">
        <v>415</v>
      </c>
      <c r="H99" s="7" t="s">
        <v>2</v>
      </c>
      <c r="I99" s="7" t="s">
        <v>2</v>
      </c>
      <c r="J99" s="7" t="s">
        <v>416</v>
      </c>
    </row>
    <row r="100" spans="1:10" x14ac:dyDescent="0.25" outlineLevel="2" collapsed="1">
      <c r="A100" s="7" t="s">
        <v>15</v>
      </c>
      <c r="B100" s="7" t="s">
        <v>194</v>
      </c>
      <c r="C100" s="7" t="s">
        <v>2</v>
      </c>
      <c r="D100" s="7"/>
      <c r="E100" s="7" t="s">
        <v>417</v>
      </c>
      <c r="F100" s="7" t="s">
        <v>17</v>
      </c>
      <c r="G100" s="7">
        <v>1</v>
      </c>
      <c r="H100" s="7" t="s">
        <v>2</v>
      </c>
      <c r="I100" s="7" t="s">
        <v>2</v>
      </c>
      <c r="J100" s="7" t="s">
        <v>418</v>
      </c>
    </row>
    <row r="101" spans="1:10" x14ac:dyDescent="0.25" outlineLevel="2" collapsed="1">
      <c r="A101" s="7" t="s">
        <v>15</v>
      </c>
      <c r="B101" s="7" t="s">
        <v>20</v>
      </c>
      <c r="C101" s="7" t="s">
        <v>2</v>
      </c>
      <c r="D101" s="7"/>
      <c r="E101" s="7" t="s">
        <v>419</v>
      </c>
      <c r="F101" s="7" t="s">
        <v>17</v>
      </c>
      <c r="G101" s="7" t="s">
        <v>22</v>
      </c>
      <c r="H101" s="7" t="s">
        <v>2</v>
      </c>
      <c r="I101" s="7" t="s">
        <v>2</v>
      </c>
      <c r="J101" s="7" t="s">
        <v>420</v>
      </c>
    </row>
    <row r="102" spans="1:10" x14ac:dyDescent="0.25" outlineLevel="2" collapsed="1">
      <c r="A102" s="7" t="s">
        <v>15</v>
      </c>
      <c r="B102" s="7" t="s">
        <v>125</v>
      </c>
      <c r="C102" s="7" t="s">
        <v>2</v>
      </c>
      <c r="D102" s="7"/>
      <c r="E102" s="7" t="s">
        <v>421</v>
      </c>
      <c r="F102" s="7" t="s">
        <v>17</v>
      </c>
      <c r="G102" s="7" t="s">
        <v>422</v>
      </c>
      <c r="H102" s="7" t="s">
        <v>2</v>
      </c>
      <c r="I102" s="7" t="s">
        <v>2</v>
      </c>
      <c r="J102" s="7" t="s">
        <v>423</v>
      </c>
    </row>
    <row r="103" spans="1:10" x14ac:dyDescent="0.25" outlineLevel="1" collapsed="1">
      <c r="A103" s="7" t="s">
        <v>15</v>
      </c>
      <c r="B103" s="7" t="s">
        <v>44</v>
      </c>
      <c r="C103" s="10" t="s">
        <v>424</v>
      </c>
      <c r="D103" s="7"/>
      <c r="E103" s="7" t="s">
        <v>231</v>
      </c>
      <c r="F103" s="7" t="s">
        <v>17</v>
      </c>
      <c r="G103" s="7" t="s">
        <v>251</v>
      </c>
      <c r="H103" s="7" t="s">
        <v>2</v>
      </c>
      <c r="I103" s="7" t="s">
        <v>2</v>
      </c>
      <c r="J103" s="7" t="s">
        <v>232</v>
      </c>
    </row>
    <row r="104" spans="1:10" x14ac:dyDescent="0.25" outlineLevel="1" collapsed="1">
      <c r="A104" s="8" t="s">
        <v>15</v>
      </c>
      <c r="B104" s="9" t="s">
        <v>425</v>
      </c>
      <c r="C104" s="8" t="s">
        <v>2</v>
      </c>
      <c r="D104" s="8"/>
      <c r="E104" s="8" t="s">
        <v>426</v>
      </c>
      <c r="F104" s="8" t="s">
        <v>15</v>
      </c>
      <c r="G104" s="8" t="s">
        <v>2</v>
      </c>
      <c r="H104" s="8" t="s">
        <v>2</v>
      </c>
      <c r="I104" s="8" t="s">
        <v>2</v>
      </c>
      <c r="J104" s="8" t="s">
        <v>427</v>
      </c>
    </row>
    <row r="105" spans="1:10" x14ac:dyDescent="0.25" outlineLevel="2" collapsed="1">
      <c r="A105" s="7" t="s">
        <v>15</v>
      </c>
      <c r="B105" s="7" t="s">
        <v>26</v>
      </c>
      <c r="C105" s="7" t="s">
        <v>2</v>
      </c>
      <c r="D105" s="7"/>
      <c r="E105" s="7" t="s">
        <v>428</v>
      </c>
      <c r="F105" s="7" t="s">
        <v>17</v>
      </c>
      <c r="G105" s="7" t="s">
        <v>37</v>
      </c>
      <c r="H105" s="7" t="s">
        <v>2</v>
      </c>
      <c r="I105" s="7" t="s">
        <v>2</v>
      </c>
      <c r="J105" s="7" t="s">
        <v>429</v>
      </c>
    </row>
    <row r="106" spans="1:10" x14ac:dyDescent="0.25" outlineLevel="2" collapsed="1">
      <c r="A106" s="7" t="s">
        <v>15</v>
      </c>
      <c r="B106" s="7" t="s">
        <v>20</v>
      </c>
      <c r="C106" s="7" t="s">
        <v>2</v>
      </c>
      <c r="D106" s="7"/>
      <c r="E106" s="7" t="s">
        <v>430</v>
      </c>
      <c r="F106" s="7" t="s">
        <v>17</v>
      </c>
      <c r="G106" s="7" t="s">
        <v>22</v>
      </c>
      <c r="H106" s="7" t="s">
        <v>2</v>
      </c>
      <c r="I106" s="7" t="s">
        <v>2</v>
      </c>
      <c r="J106" s="7" t="s">
        <v>431</v>
      </c>
    </row>
    <row r="107" spans="1:10" x14ac:dyDescent="0.25" outlineLevel="2" collapsed="1">
      <c r="A107" s="7" t="s">
        <v>15</v>
      </c>
      <c r="B107" s="7" t="s">
        <v>20</v>
      </c>
      <c r="C107" s="7" t="s">
        <v>2</v>
      </c>
      <c r="D107" s="7"/>
      <c r="E107" s="7" t="s">
        <v>432</v>
      </c>
      <c r="F107" s="7" t="s">
        <v>17</v>
      </c>
      <c r="G107" s="7" t="s">
        <v>22</v>
      </c>
      <c r="H107" s="7" t="s">
        <v>2</v>
      </c>
      <c r="I107" s="7" t="s">
        <v>2</v>
      </c>
      <c r="J107" s="7" t="s">
        <v>433</v>
      </c>
    </row>
    <row r="108" spans="1:10" x14ac:dyDescent="0.25" outlineLevel="2" collapsed="1">
      <c r="A108" s="7" t="s">
        <v>15</v>
      </c>
      <c r="B108" s="7" t="s">
        <v>125</v>
      </c>
      <c r="C108" s="7" t="s">
        <v>2</v>
      </c>
      <c r="D108" s="7"/>
      <c r="E108" s="7" t="s">
        <v>434</v>
      </c>
      <c r="F108" s="7" t="s">
        <v>17</v>
      </c>
      <c r="G108" s="7" t="s">
        <v>435</v>
      </c>
      <c r="H108" s="7" t="s">
        <v>2</v>
      </c>
      <c r="I108" s="7" t="s">
        <v>2</v>
      </c>
      <c r="J108" s="7" t="s">
        <v>436</v>
      </c>
    </row>
    <row r="109" spans="1:10" x14ac:dyDescent="0.25" outlineLevel="1" collapsed="1">
      <c r="A109" s="8" t="s">
        <v>17</v>
      </c>
      <c r="B109" s="9" t="s">
        <v>437</v>
      </c>
      <c r="C109" s="8" t="s">
        <v>2</v>
      </c>
      <c r="D109" s="8">
        <f>EXACT(G103,"HWT, IWT")</f>
      </c>
      <c r="E109" s="8" t="s">
        <v>438</v>
      </c>
      <c r="F109" s="8" t="s">
        <v>17</v>
      </c>
      <c r="G109" s="8" t="s">
        <v>2</v>
      </c>
      <c r="H109" s="8" t="s">
        <v>2</v>
      </c>
      <c r="I109" s="8" t="s">
        <v>2</v>
      </c>
      <c r="J109" s="8" t="s">
        <v>439</v>
      </c>
    </row>
    <row r="110" spans="1:10" x14ac:dyDescent="0.25" outlineLevel="2" collapsed="1">
      <c r="A110" s="7" t="s">
        <v>15</v>
      </c>
      <c r="B110" s="7" t="s">
        <v>47</v>
      </c>
      <c r="C110" s="7" t="s">
        <v>2</v>
      </c>
      <c r="D110" s="7"/>
      <c r="E110" s="7" t="s">
        <v>440</v>
      </c>
      <c r="F110" s="7" t="s">
        <v>17</v>
      </c>
      <c r="G110" s="7" t="b">
        <v>1</v>
      </c>
      <c r="H110" s="7" t="s">
        <v>2</v>
      </c>
      <c r="I110" s="7" t="s">
        <v>2</v>
      </c>
      <c r="J110" s="7" t="s">
        <v>441</v>
      </c>
    </row>
    <row r="111" spans="1:10" x14ac:dyDescent="0.25" outlineLevel="2" collapsed="1">
      <c r="A111" s="7" t="s">
        <v>15</v>
      </c>
      <c r="B111" s="7" t="s">
        <v>194</v>
      </c>
      <c r="C111" s="7" t="s">
        <v>2</v>
      </c>
      <c r="D111" s="7"/>
      <c r="E111" s="7" t="s">
        <v>442</v>
      </c>
      <c r="F111" s="7" t="s">
        <v>17</v>
      </c>
      <c r="G111" s="7">
        <v>1</v>
      </c>
      <c r="H111" s="7" t="s">
        <v>2</v>
      </c>
      <c r="I111" s="7" t="s">
        <v>2</v>
      </c>
      <c r="J111" s="7" t="s">
        <v>443</v>
      </c>
    </row>
    <row r="112" spans="1:10" x14ac:dyDescent="0.25" outlineLevel="2" collapsed="1">
      <c r="A112" s="7" t="s">
        <v>15</v>
      </c>
      <c r="B112" s="7" t="s">
        <v>133</v>
      </c>
      <c r="C112" s="7" t="s">
        <v>413</v>
      </c>
      <c r="D112" s="7"/>
      <c r="E112" s="7" t="s">
        <v>444</v>
      </c>
      <c r="F112" s="7" t="s">
        <v>17</v>
      </c>
      <c r="G112" s="7" t="s">
        <v>445</v>
      </c>
      <c r="H112" s="7" t="s">
        <v>2</v>
      </c>
      <c r="I112" s="7" t="s">
        <v>2</v>
      </c>
      <c r="J112" s="7" t="s">
        <v>446</v>
      </c>
    </row>
    <row r="113" spans="1:10" x14ac:dyDescent="0.25" outlineLevel="2" collapsed="1">
      <c r="A113" s="7" t="s">
        <v>15</v>
      </c>
      <c r="B113" s="7" t="s">
        <v>20</v>
      </c>
      <c r="C113" s="7" t="s">
        <v>2</v>
      </c>
      <c r="D113" s="7"/>
      <c r="E113" s="7" t="s">
        <v>447</v>
      </c>
      <c r="F113" s="7" t="s">
        <v>17</v>
      </c>
      <c r="G113" s="7" t="s">
        <v>22</v>
      </c>
      <c r="H113" s="7" t="s">
        <v>2</v>
      </c>
      <c r="I113" s="7" t="s">
        <v>2</v>
      </c>
      <c r="J113" s="7" t="s">
        <v>448</v>
      </c>
    </row>
    <row r="114" spans="1:10" x14ac:dyDescent="0.25" outlineLevel="2" collapsed="1">
      <c r="A114" s="7" t="s">
        <v>15</v>
      </c>
      <c r="B114" s="7" t="s">
        <v>20</v>
      </c>
      <c r="C114" s="7" t="s">
        <v>2</v>
      </c>
      <c r="D114" s="7"/>
      <c r="E114" s="7" t="s">
        <v>449</v>
      </c>
      <c r="F114" s="7" t="s">
        <v>17</v>
      </c>
      <c r="G114" s="7" t="s">
        <v>22</v>
      </c>
      <c r="H114" s="7" t="s">
        <v>2</v>
      </c>
      <c r="I114" s="7" t="s">
        <v>2</v>
      </c>
      <c r="J114" s="7" t="s">
        <v>450</v>
      </c>
    </row>
    <row r="115" spans="1:10" x14ac:dyDescent="0.25" outlineLevel="1" collapsed="1">
      <c r="A115" s="8" t="s">
        <v>17</v>
      </c>
      <c r="B115" s="9" t="s">
        <v>451</v>
      </c>
      <c r="C115" s="8" t="s">
        <v>2</v>
      </c>
      <c r="D115" s="8">
        <f>EXACT(G103,"CWT, CWS")</f>
      </c>
      <c r="E115" s="8" t="s">
        <v>452</v>
      </c>
      <c r="F115" s="8" t="s">
        <v>17</v>
      </c>
      <c r="G115" s="8" t="s">
        <v>2</v>
      </c>
      <c r="H115" s="8" t="s">
        <v>2</v>
      </c>
      <c r="I115" s="8" t="s">
        <v>2</v>
      </c>
      <c r="J115" s="8" t="s">
        <v>453</v>
      </c>
    </row>
    <row r="116" spans="1:10" x14ac:dyDescent="0.25" outlineLevel="2" collapsed="1">
      <c r="A116" s="7" t="s">
        <v>15</v>
      </c>
      <c r="B116" s="7" t="s">
        <v>20</v>
      </c>
      <c r="C116" s="7" t="s">
        <v>2</v>
      </c>
      <c r="D116" s="7"/>
      <c r="E116" s="7" t="s">
        <v>454</v>
      </c>
      <c r="F116" s="7" t="s">
        <v>17</v>
      </c>
      <c r="G116" s="7" t="s">
        <v>22</v>
      </c>
      <c r="H116" s="7" t="s">
        <v>2</v>
      </c>
      <c r="I116" s="7" t="s">
        <v>2</v>
      </c>
      <c r="J116" s="7" t="s">
        <v>455</v>
      </c>
    </row>
    <row r="117" spans="1:10" x14ac:dyDescent="0.25" outlineLevel="2" collapsed="1">
      <c r="A117" s="7" t="s">
        <v>15</v>
      </c>
      <c r="B117" s="7" t="s">
        <v>20</v>
      </c>
      <c r="C117" s="7" t="s">
        <v>2</v>
      </c>
      <c r="D117" s="7"/>
      <c r="E117" s="7" t="s">
        <v>456</v>
      </c>
      <c r="F117" s="7" t="s">
        <v>17</v>
      </c>
      <c r="G117" s="7" t="s">
        <v>22</v>
      </c>
      <c r="H117" s="7" t="s">
        <v>2</v>
      </c>
      <c r="I117" s="7" t="s">
        <v>2</v>
      </c>
      <c r="J117" s="7" t="s">
        <v>457</v>
      </c>
    </row>
    <row r="118" spans="1:10" x14ac:dyDescent="0.25" outlineLevel="2" collapsed="1">
      <c r="A118" s="7" t="s">
        <v>15</v>
      </c>
      <c r="B118" s="7" t="s">
        <v>194</v>
      </c>
      <c r="C118" s="7" t="s">
        <v>2</v>
      </c>
      <c r="D118" s="7"/>
      <c r="E118" s="7" t="s">
        <v>458</v>
      </c>
      <c r="F118" s="7" t="s">
        <v>17</v>
      </c>
      <c r="G118" s="7">
        <v>1</v>
      </c>
      <c r="H118" s="7" t="s">
        <v>2</v>
      </c>
      <c r="I118" s="7" t="s">
        <v>2</v>
      </c>
      <c r="J118" s="7" t="s">
        <v>459</v>
      </c>
    </row>
    <row r="119" spans="1:10" x14ac:dyDescent="0.25" outlineLevel="2" collapsed="1">
      <c r="A119" s="7" t="s">
        <v>15</v>
      </c>
      <c r="B119" s="7" t="s">
        <v>20</v>
      </c>
      <c r="C119" s="7" t="s">
        <v>2</v>
      </c>
      <c r="D119" s="7"/>
      <c r="E119" s="7" t="s">
        <v>460</v>
      </c>
      <c r="F119" s="7" t="s">
        <v>17</v>
      </c>
      <c r="G119" s="7" t="s">
        <v>22</v>
      </c>
      <c r="H119" s="7" t="s">
        <v>2</v>
      </c>
      <c r="I119" s="7" t="s">
        <v>2</v>
      </c>
      <c r="J119" s="7" t="s">
        <v>461</v>
      </c>
    </row>
    <row r="120" spans="1:10" x14ac:dyDescent="0.25" outlineLevel="2" collapsed="1">
      <c r="A120" s="7" t="s">
        <v>15</v>
      </c>
      <c r="B120" s="7" t="s">
        <v>20</v>
      </c>
      <c r="C120" s="7" t="s">
        <v>2</v>
      </c>
      <c r="D120" s="7"/>
      <c r="E120" s="7" t="s">
        <v>462</v>
      </c>
      <c r="F120" s="7" t="s">
        <v>17</v>
      </c>
      <c r="G120" s="7" t="s">
        <v>22</v>
      </c>
      <c r="H120" s="7" t="s">
        <v>2</v>
      </c>
      <c r="I120" s="7" t="s">
        <v>2</v>
      </c>
      <c r="J120" s="7" t="s">
        <v>463</v>
      </c>
    </row>
    <row r="121" spans="1:10" x14ac:dyDescent="0.25" outlineLevel="2" collapsed="1">
      <c r="A121" s="7" t="s">
        <v>15</v>
      </c>
      <c r="B121" s="7" t="s">
        <v>47</v>
      </c>
      <c r="C121" s="7" t="s">
        <v>2</v>
      </c>
      <c r="D121" s="7"/>
      <c r="E121" s="7" t="s">
        <v>464</v>
      </c>
      <c r="F121" s="7" t="s">
        <v>17</v>
      </c>
      <c r="G121" s="7" t="b">
        <v>1</v>
      </c>
      <c r="H121" s="7" t="s">
        <v>2</v>
      </c>
      <c r="I121" s="7" t="s">
        <v>2</v>
      </c>
      <c r="J121" s="7" t="s">
        <v>465</v>
      </c>
    </row>
    <row r="122" spans="1:10" x14ac:dyDescent="0.25" outlineLevel="2" collapsed="1">
      <c r="A122" s="7" t="s">
        <v>15</v>
      </c>
      <c r="B122" s="7" t="s">
        <v>20</v>
      </c>
      <c r="C122" s="7" t="s">
        <v>2</v>
      </c>
      <c r="D122" s="7"/>
      <c r="E122" s="7" t="s">
        <v>466</v>
      </c>
      <c r="F122" s="7" t="s">
        <v>17</v>
      </c>
      <c r="G122" s="7" t="s">
        <v>22</v>
      </c>
      <c r="H122" s="7" t="s">
        <v>2</v>
      </c>
      <c r="I122" s="7" t="s">
        <v>2</v>
      </c>
      <c r="J122" s="7" t="s">
        <v>467</v>
      </c>
    </row>
    <row r="123" spans="1:10" x14ac:dyDescent="0.25" outlineLevel="2" collapsed="1">
      <c r="A123" s="7" t="s">
        <v>15</v>
      </c>
      <c r="B123" s="7" t="s">
        <v>125</v>
      </c>
      <c r="C123" s="7" t="s">
        <v>2</v>
      </c>
      <c r="D123" s="7"/>
      <c r="E123" s="7" t="s">
        <v>468</v>
      </c>
      <c r="F123" s="7" t="s">
        <v>17</v>
      </c>
      <c r="G123" s="7" t="s">
        <v>469</v>
      </c>
      <c r="H123" s="7" t="s">
        <v>2</v>
      </c>
      <c r="I123" s="7" t="s">
        <v>2</v>
      </c>
      <c r="J123" s="7" t="s">
        <v>470</v>
      </c>
    </row>
    <row r="124" spans="1:10" x14ac:dyDescent="0.25" outlineLevel="1" collapsed="1">
      <c r="A124" s="8" t="s">
        <v>17</v>
      </c>
      <c r="B124" s="9" t="s">
        <v>471</v>
      </c>
      <c r="C124" s="8" t="s">
        <v>2</v>
      </c>
      <c r="D124" s="8">
        <f>EXACT(G103,"CWT, CWS")</f>
      </c>
      <c r="E124" s="8" t="s">
        <v>472</v>
      </c>
      <c r="F124" s="8" t="s">
        <v>17</v>
      </c>
      <c r="G124" s="8" t="s">
        <v>2</v>
      </c>
      <c r="H124" s="8" t="s">
        <v>2</v>
      </c>
      <c r="I124" s="8" t="s">
        <v>2</v>
      </c>
      <c r="J124" s="8" t="s">
        <v>473</v>
      </c>
    </row>
    <row r="125" spans="1:10" x14ac:dyDescent="0.25" outlineLevel="2" collapsed="1">
      <c r="A125" s="7" t="s">
        <v>15</v>
      </c>
      <c r="B125" s="7" t="s">
        <v>194</v>
      </c>
      <c r="C125" s="7" t="s">
        <v>2</v>
      </c>
      <c r="D125" s="7"/>
      <c r="E125" s="7" t="s">
        <v>474</v>
      </c>
      <c r="F125" s="7" t="s">
        <v>17</v>
      </c>
      <c r="G125" s="7">
        <v>1</v>
      </c>
      <c r="H125" s="7" t="s">
        <v>2</v>
      </c>
      <c r="I125" s="7" t="s">
        <v>2</v>
      </c>
      <c r="J125" s="7" t="s">
        <v>475</v>
      </c>
    </row>
    <row r="126" spans="1:10" x14ac:dyDescent="0.25" outlineLevel="2" collapsed="1">
      <c r="A126" s="7" t="s">
        <v>15</v>
      </c>
      <c r="B126" s="7" t="s">
        <v>194</v>
      </c>
      <c r="C126" s="7" t="s">
        <v>2</v>
      </c>
      <c r="D126" s="7"/>
      <c r="E126" s="7" t="s">
        <v>476</v>
      </c>
      <c r="F126" s="7" t="s">
        <v>17</v>
      </c>
      <c r="G126" s="7">
        <v>1</v>
      </c>
      <c r="H126" s="7" t="s">
        <v>2</v>
      </c>
      <c r="I126" s="7" t="s">
        <v>2</v>
      </c>
      <c r="J126" s="7" t="s">
        <v>477</v>
      </c>
    </row>
    <row r="127" spans="1:10" x14ac:dyDescent="0.25" outlineLevel="2" collapsed="1">
      <c r="A127" s="7" t="s">
        <v>15</v>
      </c>
      <c r="B127" s="7" t="s">
        <v>194</v>
      </c>
      <c r="C127" s="7" t="s">
        <v>2</v>
      </c>
      <c r="D127" s="7"/>
      <c r="E127" s="7" t="s">
        <v>478</v>
      </c>
      <c r="F127" s="7" t="s">
        <v>17</v>
      </c>
      <c r="G127" s="7">
        <v>1</v>
      </c>
      <c r="H127" s="7" t="s">
        <v>2</v>
      </c>
      <c r="I127" s="7" t="s">
        <v>2</v>
      </c>
      <c r="J127" s="7" t="s">
        <v>479</v>
      </c>
    </row>
    <row r="128" spans="1:10" x14ac:dyDescent="0.25" outlineLevel="2" collapsed="1">
      <c r="A128" s="7" t="s">
        <v>15</v>
      </c>
      <c r="B128" s="7" t="s">
        <v>53</v>
      </c>
      <c r="C128" s="7" t="s">
        <v>2</v>
      </c>
      <c r="D128" s="7"/>
      <c r="E128" s="7" t="s">
        <v>480</v>
      </c>
      <c r="F128" s="7" t="s">
        <v>17</v>
      </c>
      <c r="G128" s="7">
        <v>1</v>
      </c>
      <c r="H128" s="7" t="s">
        <v>2</v>
      </c>
      <c r="I128" s="7" t="s">
        <v>2</v>
      </c>
      <c r="J128" s="7" t="s">
        <v>481</v>
      </c>
    </row>
    <row r="129" spans="1:10" x14ac:dyDescent="0.25" outlineLevel="2" collapsed="1">
      <c r="A129" s="7" t="s">
        <v>15</v>
      </c>
      <c r="B129" s="7" t="s">
        <v>194</v>
      </c>
      <c r="C129" s="7" t="s">
        <v>2</v>
      </c>
      <c r="D129" s="7"/>
      <c r="E129" s="7" t="s">
        <v>482</v>
      </c>
      <c r="F129" s="7" t="s">
        <v>17</v>
      </c>
      <c r="G129" s="7">
        <v>1</v>
      </c>
      <c r="H129" s="7" t="s">
        <v>2</v>
      </c>
      <c r="I129" s="7" t="s">
        <v>2</v>
      </c>
      <c r="J129" s="7" t="s">
        <v>483</v>
      </c>
    </row>
    <row r="130" spans="1:10" x14ac:dyDescent="0.25">
      <c r="A130" s="5" t="s">
        <v>15</v>
      </c>
      <c r="B130" s="6" t="s">
        <v>484</v>
      </c>
      <c r="C130" s="5" t="s">
        <v>2</v>
      </c>
      <c r="D130" s="5"/>
      <c r="E130" s="5" t="s">
        <v>485</v>
      </c>
      <c r="F130" s="5" t="s">
        <v>17</v>
      </c>
      <c r="G130" s="5" t="s">
        <v>486</v>
      </c>
      <c r="H130" s="5" t="s">
        <v>2</v>
      </c>
      <c r="I130" s="5" t="s">
        <v>2</v>
      </c>
      <c r="J130" s="5" t="s">
        <v>487</v>
      </c>
    </row>
    <row r="131" spans="1:10" x14ac:dyDescent="0.25" outlineLevel="1" collapsed="1">
      <c r="A131" s="7" t="s">
        <v>15</v>
      </c>
      <c r="B131" s="7" t="s">
        <v>20</v>
      </c>
      <c r="C131" s="7" t="s">
        <v>2</v>
      </c>
      <c r="D131" s="7"/>
      <c r="E131" s="7" t="s">
        <v>488</v>
      </c>
      <c r="F131" s="7" t="s">
        <v>17</v>
      </c>
      <c r="G131" s="7" t="s">
        <v>22</v>
      </c>
      <c r="H131" s="7" t="s">
        <v>2</v>
      </c>
      <c r="I131" s="7" t="s">
        <v>2</v>
      </c>
      <c r="J131" s="7" t="s">
        <v>489</v>
      </c>
    </row>
    <row r="132" spans="1:10" x14ac:dyDescent="0.25" outlineLevel="1" collapsed="1">
      <c r="A132" s="7" t="s">
        <v>17</v>
      </c>
      <c r="B132" s="7" t="s">
        <v>125</v>
      </c>
      <c r="C132" s="7" t="s">
        <v>2</v>
      </c>
      <c r="D132" s="7"/>
      <c r="E132" s="7" t="s">
        <v>490</v>
      </c>
      <c r="F132" s="7" t="s">
        <v>15</v>
      </c>
      <c r="G132" s="7" t="s">
        <v>491</v>
      </c>
      <c r="H132" s="7" t="s">
        <v>2</v>
      </c>
      <c r="I132" s="7" t="s">
        <v>2</v>
      </c>
      <c r="J132" s="7" t="s">
        <v>492</v>
      </c>
    </row>
    <row r="133" spans="1:10" x14ac:dyDescent="0.25" outlineLevel="1" collapsed="1">
      <c r="A133" s="7" t="s">
        <v>15</v>
      </c>
      <c r="B133" s="7" t="s">
        <v>20</v>
      </c>
      <c r="C133" s="7" t="s">
        <v>2</v>
      </c>
      <c r="D133" s="7"/>
      <c r="E133" s="7" t="s">
        <v>493</v>
      </c>
      <c r="F133" s="7" t="s">
        <v>17</v>
      </c>
      <c r="G133" s="7" t="s">
        <v>22</v>
      </c>
      <c r="H133" s="7" t="s">
        <v>2</v>
      </c>
      <c r="I133" s="7" t="s">
        <v>2</v>
      </c>
      <c r="J133" s="7" t="s">
        <v>494</v>
      </c>
    </row>
    <row r="134" spans="1:10" x14ac:dyDescent="0.25" outlineLevel="1" collapsed="1">
      <c r="A134" s="7" t="s">
        <v>15</v>
      </c>
      <c r="B134" s="7" t="s">
        <v>20</v>
      </c>
      <c r="C134" s="7" t="s">
        <v>2</v>
      </c>
      <c r="D134" s="7"/>
      <c r="E134" s="7" t="s">
        <v>495</v>
      </c>
      <c r="F134" s="7" t="s">
        <v>17</v>
      </c>
      <c r="G134" s="7" t="s">
        <v>22</v>
      </c>
      <c r="H134" s="7" t="s">
        <v>2</v>
      </c>
      <c r="I134" s="7" t="s">
        <v>2</v>
      </c>
      <c r="J134" s="7" t="s">
        <v>496</v>
      </c>
    </row>
    <row r="135" spans="1:10" x14ac:dyDescent="0.25" outlineLevel="1" collapsed="1">
      <c r="A135" s="8" t="s">
        <v>15</v>
      </c>
      <c r="B135" s="9" t="s">
        <v>497</v>
      </c>
      <c r="C135" s="8" t="s">
        <v>2</v>
      </c>
      <c r="D135" s="8"/>
      <c r="E135" s="8" t="s">
        <v>497</v>
      </c>
      <c r="F135" s="8" t="s">
        <v>15</v>
      </c>
      <c r="G135" s="8" t="s">
        <v>2</v>
      </c>
      <c r="H135" s="8" t="s">
        <v>2</v>
      </c>
      <c r="I135" s="8" t="s">
        <v>2</v>
      </c>
      <c r="J135" s="8" t="s">
        <v>498</v>
      </c>
    </row>
    <row r="136" spans="1:10" x14ac:dyDescent="0.25" outlineLevel="2" collapsed="1">
      <c r="A136" s="7" t="s">
        <v>15</v>
      </c>
      <c r="B136" s="7" t="s">
        <v>356</v>
      </c>
      <c r="C136" s="7" t="s">
        <v>2</v>
      </c>
      <c r="D136" s="7"/>
      <c r="E136" s="7" t="s">
        <v>432</v>
      </c>
      <c r="F136" s="7" t="s">
        <v>17</v>
      </c>
      <c r="G136" s="7" t="s">
        <v>2</v>
      </c>
      <c r="H136" s="7" t="s">
        <v>2</v>
      </c>
      <c r="I136" s="7" t="s">
        <v>2</v>
      </c>
      <c r="J136" s="7" t="s">
        <v>433</v>
      </c>
    </row>
    <row r="137" spans="1:10" x14ac:dyDescent="0.25" outlineLevel="2" collapsed="1">
      <c r="A137" s="8" t="s">
        <v>15</v>
      </c>
      <c r="B137" s="9" t="s">
        <v>499</v>
      </c>
      <c r="C137" s="8" t="s">
        <v>2</v>
      </c>
      <c r="D137" s="8"/>
      <c r="E137" s="8" t="s">
        <v>500</v>
      </c>
      <c r="F137" s="8" t="s">
        <v>15</v>
      </c>
      <c r="G137" s="8" t="s">
        <v>2</v>
      </c>
      <c r="H137" s="8" t="s">
        <v>2</v>
      </c>
      <c r="I137" s="8" t="s">
        <v>2</v>
      </c>
      <c r="J137" s="8" t="s">
        <v>501</v>
      </c>
    </row>
    <row r="138" spans="1:10" x14ac:dyDescent="0.25" outlineLevel="3" collapsed="1">
      <c r="A138" s="7" t="s">
        <v>15</v>
      </c>
      <c r="B138" s="7" t="s">
        <v>20</v>
      </c>
      <c r="C138" s="7" t="s">
        <v>2</v>
      </c>
      <c r="D138" s="7"/>
      <c r="E138" s="7" t="s">
        <v>502</v>
      </c>
      <c r="F138" s="7" t="s">
        <v>17</v>
      </c>
      <c r="G138" s="7" t="s">
        <v>22</v>
      </c>
      <c r="H138" s="7" t="s">
        <v>2</v>
      </c>
      <c r="I138" s="7" t="s">
        <v>2</v>
      </c>
      <c r="J138" s="7" t="s">
        <v>503</v>
      </c>
    </row>
    <row r="139" spans="1:10" x14ac:dyDescent="0.25" outlineLevel="3" collapsed="1">
      <c r="A139" s="7" t="s">
        <v>15</v>
      </c>
      <c r="B139" s="7" t="s">
        <v>53</v>
      </c>
      <c r="C139" s="7" t="s">
        <v>2</v>
      </c>
      <c r="D139" s="7"/>
      <c r="E139" s="7" t="s">
        <v>504</v>
      </c>
      <c r="F139" s="7" t="s">
        <v>17</v>
      </c>
      <c r="G139" s="7">
        <v>1</v>
      </c>
      <c r="H139" s="7" t="s">
        <v>2</v>
      </c>
      <c r="I139" s="7" t="s">
        <v>2</v>
      </c>
      <c r="J139" s="7" t="s">
        <v>505</v>
      </c>
    </row>
    <row r="140" spans="1:10" x14ac:dyDescent="0.25" outlineLevel="3" collapsed="1">
      <c r="A140" s="7" t="s">
        <v>17</v>
      </c>
      <c r="B140" s="7" t="s">
        <v>53</v>
      </c>
      <c r="C140" s="7" t="s">
        <v>2</v>
      </c>
      <c r="D140" s="7" t="s">
        <v>506</v>
      </c>
      <c r="E140" s="7" t="s">
        <v>507</v>
      </c>
      <c r="F140" s="7" t="s">
        <v>17</v>
      </c>
      <c r="G140" s="7">
        <v>1</v>
      </c>
      <c r="H140" s="7" t="s">
        <v>2</v>
      </c>
      <c r="I140" s="7" t="s">
        <v>2</v>
      </c>
      <c r="J140" s="7" t="s">
        <v>508</v>
      </c>
    </row>
    <row r="141" spans="1:10" x14ac:dyDescent="0.25" outlineLevel="3" collapsed="1">
      <c r="A141" s="7" t="s">
        <v>15</v>
      </c>
      <c r="B141" s="7" t="s">
        <v>53</v>
      </c>
      <c r="C141" s="7" t="s">
        <v>2</v>
      </c>
      <c r="D141" s="7"/>
      <c r="E141" s="7" t="s">
        <v>509</v>
      </c>
      <c r="F141" s="7" t="s">
        <v>17</v>
      </c>
      <c r="G141" s="7">
        <v>1</v>
      </c>
      <c r="H141" s="7" t="s">
        <v>2</v>
      </c>
      <c r="I141" s="7" t="s">
        <v>2</v>
      </c>
      <c r="J141" s="7" t="s">
        <v>510</v>
      </c>
    </row>
    <row r="142" spans="1:10" x14ac:dyDescent="0.25" outlineLevel="3" collapsed="1">
      <c r="A142" s="7" t="s">
        <v>15</v>
      </c>
      <c r="B142" s="7" t="s">
        <v>53</v>
      </c>
      <c r="C142" s="7" t="s">
        <v>2</v>
      </c>
      <c r="D142" s="7"/>
      <c r="E142" s="7" t="s">
        <v>511</v>
      </c>
      <c r="F142" s="7" t="s">
        <v>17</v>
      </c>
      <c r="G142" s="7">
        <v>1</v>
      </c>
      <c r="H142" s="7" t="s">
        <v>2</v>
      </c>
      <c r="I142" s="7" t="s">
        <v>2</v>
      </c>
      <c r="J142" s="7" t="s">
        <v>512</v>
      </c>
    </row>
    <row r="143" spans="1:10" x14ac:dyDescent="0.25" outlineLevel="3" collapsed="1">
      <c r="A143" s="7" t="s">
        <v>15</v>
      </c>
      <c r="B143" s="7" t="s">
        <v>53</v>
      </c>
      <c r="C143" s="7" t="s">
        <v>2</v>
      </c>
      <c r="D143" s="7"/>
      <c r="E143" s="7" t="s">
        <v>513</v>
      </c>
      <c r="F143" s="7" t="s">
        <v>17</v>
      </c>
      <c r="G143" s="7">
        <v>1</v>
      </c>
      <c r="H143" s="7" t="s">
        <v>2</v>
      </c>
      <c r="I143" s="7" t="s">
        <v>2</v>
      </c>
      <c r="J143" s="7" t="s">
        <v>514</v>
      </c>
    </row>
    <row r="144" spans="1:10" x14ac:dyDescent="0.25" outlineLevel="3" collapsed="1">
      <c r="A144" s="7" t="s">
        <v>17</v>
      </c>
      <c r="B144" s="7" t="s">
        <v>53</v>
      </c>
      <c r="C144" s="7" t="s">
        <v>2</v>
      </c>
      <c r="D144" s="7" t="s">
        <v>506</v>
      </c>
      <c r="E144" s="7" t="s">
        <v>515</v>
      </c>
      <c r="F144" s="7" t="s">
        <v>17</v>
      </c>
      <c r="G144" s="7">
        <v>1</v>
      </c>
      <c r="H144" s="7" t="s">
        <v>2</v>
      </c>
      <c r="I144" s="7" t="s">
        <v>2</v>
      </c>
      <c r="J144" s="7" t="s">
        <v>516</v>
      </c>
    </row>
    <row r="145" spans="1:10" x14ac:dyDescent="0.25" outlineLevel="3" collapsed="1">
      <c r="A145" s="7" t="s">
        <v>15</v>
      </c>
      <c r="B145" s="7" t="s">
        <v>53</v>
      </c>
      <c r="C145" s="7" t="s">
        <v>2</v>
      </c>
      <c r="D145" s="7"/>
      <c r="E145" s="7" t="s">
        <v>517</v>
      </c>
      <c r="F145" s="7" t="s">
        <v>17</v>
      </c>
      <c r="G145" s="7">
        <v>1</v>
      </c>
      <c r="H145" s="7" t="s">
        <v>2</v>
      </c>
      <c r="I145" s="7" t="s">
        <v>2</v>
      </c>
      <c r="J145" s="7" t="s">
        <v>518</v>
      </c>
    </row>
    <row r="146" spans="1:10" x14ac:dyDescent="0.25" outlineLevel="3" collapsed="1">
      <c r="A146" s="7" t="s">
        <v>17</v>
      </c>
      <c r="B146" s="7" t="s">
        <v>20</v>
      </c>
      <c r="C146" s="7" t="s">
        <v>2</v>
      </c>
      <c r="D146" s="7"/>
      <c r="E146" s="7" t="s">
        <v>519</v>
      </c>
      <c r="F146" s="7" t="s">
        <v>17</v>
      </c>
      <c r="G146" s="7" t="s">
        <v>22</v>
      </c>
      <c r="H146" s="7" t="s">
        <v>2</v>
      </c>
      <c r="I146" s="7" t="s">
        <v>2</v>
      </c>
      <c r="J146" s="7" t="s">
        <v>520</v>
      </c>
    </row>
    <row r="147" spans="1:10" x14ac:dyDescent="0.25" outlineLevel="3" collapsed="1">
      <c r="A147" s="7" t="s">
        <v>15</v>
      </c>
      <c r="B147" s="7" t="s">
        <v>125</v>
      </c>
      <c r="C147" s="7" t="s">
        <v>2</v>
      </c>
      <c r="D147" s="7"/>
      <c r="E147" s="7" t="s">
        <v>521</v>
      </c>
      <c r="F147" s="7" t="s">
        <v>17</v>
      </c>
      <c r="G147" s="7" t="s">
        <v>522</v>
      </c>
      <c r="H147" s="7" t="s">
        <v>2</v>
      </c>
      <c r="I147" s="7" t="s">
        <v>2</v>
      </c>
      <c r="J147" s="7" t="s">
        <v>523</v>
      </c>
    </row>
    <row r="148" spans="1:10" x14ac:dyDescent="0.25" outlineLevel="2" collapsed="1">
      <c r="A148" s="7" t="s">
        <v>17</v>
      </c>
      <c r="B148" s="7" t="s">
        <v>53</v>
      </c>
      <c r="C148" s="7" t="s">
        <v>2</v>
      </c>
      <c r="D148" s="7" t="s">
        <v>506</v>
      </c>
      <c r="E148" s="7" t="s">
        <v>524</v>
      </c>
      <c r="F148" s="7" t="s">
        <v>17</v>
      </c>
      <c r="G148" s="7">
        <v>1</v>
      </c>
      <c r="H148" s="7" t="s">
        <v>2</v>
      </c>
      <c r="I148" s="7" t="s">
        <v>2</v>
      </c>
      <c r="J148" s="7" t="s">
        <v>525</v>
      </c>
    </row>
    <row r="149" spans="1:10" x14ac:dyDescent="0.25" outlineLevel="2" collapsed="1">
      <c r="A149" s="8" t="s">
        <v>15</v>
      </c>
      <c r="B149" s="9" t="s">
        <v>526</v>
      </c>
      <c r="C149" s="8" t="s">
        <v>2</v>
      </c>
      <c r="D149" s="8"/>
      <c r="E149" s="8" t="s">
        <v>527</v>
      </c>
      <c r="F149" s="8" t="s">
        <v>17</v>
      </c>
      <c r="G149" s="8" t="s">
        <v>2</v>
      </c>
      <c r="H149" s="8" t="s">
        <v>2</v>
      </c>
      <c r="I149" s="8" t="s">
        <v>2</v>
      </c>
      <c r="J149" s="8" t="s">
        <v>528</v>
      </c>
    </row>
    <row r="150" spans="1:10" x14ac:dyDescent="0.25" outlineLevel="3" collapsed="1">
      <c r="A150" s="7" t="s">
        <v>15</v>
      </c>
      <c r="B150" s="7" t="s">
        <v>44</v>
      </c>
      <c r="C150" s="10" t="s">
        <v>529</v>
      </c>
      <c r="D150" s="7"/>
      <c r="E150" s="7" t="s">
        <v>231</v>
      </c>
      <c r="F150" s="7" t="s">
        <v>17</v>
      </c>
      <c r="G150" s="7" t="s">
        <v>251</v>
      </c>
      <c r="H150" s="7" t="s">
        <v>2</v>
      </c>
      <c r="I150" s="7" t="s">
        <v>2</v>
      </c>
      <c r="J150" s="7" t="s">
        <v>530</v>
      </c>
    </row>
    <row r="151" spans="1:10" x14ac:dyDescent="0.25" outlineLevel="3" collapsed="1">
      <c r="A151" s="7" t="s">
        <v>17</v>
      </c>
      <c r="B151" s="7" t="s">
        <v>20</v>
      </c>
      <c r="C151" s="7" t="s">
        <v>2</v>
      </c>
      <c r="D151" s="7"/>
      <c r="E151" s="7" t="s">
        <v>76</v>
      </c>
      <c r="F151" s="7" t="s">
        <v>17</v>
      </c>
      <c r="G151" s="7" t="s">
        <v>22</v>
      </c>
      <c r="H151" s="7" t="s">
        <v>2</v>
      </c>
      <c r="I151" s="7" t="s">
        <v>2</v>
      </c>
      <c r="J151" s="7" t="s">
        <v>78</v>
      </c>
    </row>
    <row r="152" spans="1:10" x14ac:dyDescent="0.25" outlineLevel="3" collapsed="1">
      <c r="A152" s="8" t="s">
        <v>17</v>
      </c>
      <c r="B152" s="9" t="s">
        <v>531</v>
      </c>
      <c r="C152" s="8" t="s">
        <v>2</v>
      </c>
      <c r="D152" s="8">
        <f>EXACT(G150,"CWT, CWS")</f>
      </c>
      <c r="E152" s="8" t="s">
        <v>532</v>
      </c>
      <c r="F152" s="8" t="s">
        <v>17</v>
      </c>
      <c r="G152" s="8" t="s">
        <v>2</v>
      </c>
      <c r="H152" s="8" t="s">
        <v>2</v>
      </c>
      <c r="I152" s="8" t="s">
        <v>2</v>
      </c>
      <c r="J152" s="8" t="s">
        <v>533</v>
      </c>
    </row>
    <row r="153" spans="1:10" x14ac:dyDescent="0.25" outlineLevel="4" collapsed="1">
      <c r="A153" s="7" t="s">
        <v>17</v>
      </c>
      <c r="B153" s="7" t="s">
        <v>53</v>
      </c>
      <c r="C153" s="7" t="s">
        <v>2</v>
      </c>
      <c r="D153" s="7" t="s">
        <v>506</v>
      </c>
      <c r="E153" s="7" t="s">
        <v>534</v>
      </c>
      <c r="F153" s="7" t="s">
        <v>17</v>
      </c>
      <c r="G153" s="7">
        <v>1</v>
      </c>
      <c r="H153" s="7" t="s">
        <v>2</v>
      </c>
      <c r="I153" s="7" t="s">
        <v>2</v>
      </c>
      <c r="J153" s="7" t="s">
        <v>535</v>
      </c>
    </row>
    <row r="154" spans="1:10" x14ac:dyDescent="0.25" outlineLevel="4" collapsed="1">
      <c r="A154" s="7" t="s">
        <v>17</v>
      </c>
      <c r="B154" s="7" t="s">
        <v>53</v>
      </c>
      <c r="C154" s="7" t="s">
        <v>2</v>
      </c>
      <c r="D154" s="7" t="s">
        <v>506</v>
      </c>
      <c r="E154" s="7" t="s">
        <v>536</v>
      </c>
      <c r="F154" s="7" t="s">
        <v>17</v>
      </c>
      <c r="G154" s="7">
        <v>1</v>
      </c>
      <c r="H154" s="7" t="s">
        <v>2</v>
      </c>
      <c r="I154" s="7" t="s">
        <v>2</v>
      </c>
      <c r="J154" s="7" t="s">
        <v>537</v>
      </c>
    </row>
    <row r="155" spans="1:10" x14ac:dyDescent="0.25" outlineLevel="4" collapsed="1">
      <c r="A155" s="8" t="s">
        <v>15</v>
      </c>
      <c r="B155" s="9" t="s">
        <v>538</v>
      </c>
      <c r="C155" s="8" t="s">
        <v>2</v>
      </c>
      <c r="D155" s="8"/>
      <c r="E155" s="8" t="s">
        <v>539</v>
      </c>
      <c r="F155" s="8" t="s">
        <v>15</v>
      </c>
      <c r="G155" s="8" t="s">
        <v>2</v>
      </c>
      <c r="H155" s="8" t="s">
        <v>2</v>
      </c>
      <c r="I155" s="8" t="s">
        <v>2</v>
      </c>
      <c r="J155" s="8" t="s">
        <v>540</v>
      </c>
    </row>
    <row r="156" spans="1:10" x14ac:dyDescent="0.25" outlineLevel="5" collapsed="1">
      <c r="A156" s="7" t="s">
        <v>15</v>
      </c>
      <c r="B156" s="7" t="s">
        <v>20</v>
      </c>
      <c r="C156" s="7" t="s">
        <v>2</v>
      </c>
      <c r="D156" s="7"/>
      <c r="E156" s="7" t="s">
        <v>541</v>
      </c>
      <c r="F156" s="7" t="s">
        <v>17</v>
      </c>
      <c r="G156" s="7" t="s">
        <v>22</v>
      </c>
      <c r="H156" s="7" t="s">
        <v>2</v>
      </c>
      <c r="I156" s="7" t="s">
        <v>2</v>
      </c>
      <c r="J156" s="7" t="s">
        <v>406</v>
      </c>
    </row>
    <row r="157" spans="1:10" x14ac:dyDescent="0.25" outlineLevel="5" collapsed="1">
      <c r="A157" s="7" t="s">
        <v>15</v>
      </c>
      <c r="B157" s="7" t="s">
        <v>194</v>
      </c>
      <c r="C157" s="7" t="s">
        <v>2</v>
      </c>
      <c r="D157" s="7"/>
      <c r="E157" s="7" t="s">
        <v>542</v>
      </c>
      <c r="F157" s="7" t="s">
        <v>17</v>
      </c>
      <c r="G157" s="7">
        <v>1</v>
      </c>
      <c r="H157" s="7" t="s">
        <v>2</v>
      </c>
      <c r="I157" s="7" t="s">
        <v>2</v>
      </c>
      <c r="J157" s="7" t="s">
        <v>543</v>
      </c>
    </row>
    <row r="158" spans="1:10" x14ac:dyDescent="0.25" outlineLevel="5" collapsed="1">
      <c r="A158" s="8" t="s">
        <v>15</v>
      </c>
      <c r="B158" s="9" t="s">
        <v>544</v>
      </c>
      <c r="C158" s="8" t="s">
        <v>2</v>
      </c>
      <c r="D158" s="8"/>
      <c r="E158" s="8" t="s">
        <v>545</v>
      </c>
      <c r="F158" s="8" t="s">
        <v>15</v>
      </c>
      <c r="G158" s="8" t="s">
        <v>2</v>
      </c>
      <c r="H158" s="8" t="s">
        <v>2</v>
      </c>
      <c r="I158" s="8" t="s">
        <v>2</v>
      </c>
      <c r="J158" s="8" t="s">
        <v>546</v>
      </c>
    </row>
    <row r="159" spans="1:10" x14ac:dyDescent="0.25" outlineLevel="6" collapsed="1">
      <c r="A159" s="7" t="s">
        <v>15</v>
      </c>
      <c r="B159" s="7" t="s">
        <v>20</v>
      </c>
      <c r="C159" s="7" t="s">
        <v>2</v>
      </c>
      <c r="D159" s="7"/>
      <c r="E159" s="7" t="s">
        <v>545</v>
      </c>
      <c r="F159" s="7" t="s">
        <v>17</v>
      </c>
      <c r="G159" s="7" t="s">
        <v>22</v>
      </c>
      <c r="H159" s="7" t="s">
        <v>2</v>
      </c>
      <c r="I159" s="7" t="s">
        <v>2</v>
      </c>
      <c r="J159" s="7" t="s">
        <v>546</v>
      </c>
    </row>
    <row r="160" spans="1:10" x14ac:dyDescent="0.25" outlineLevel="6" collapsed="1">
      <c r="A160" s="7" t="s">
        <v>15</v>
      </c>
      <c r="B160" s="7" t="s">
        <v>194</v>
      </c>
      <c r="C160" s="7" t="s">
        <v>2</v>
      </c>
      <c r="D160" s="7"/>
      <c r="E160" s="7" t="s">
        <v>547</v>
      </c>
      <c r="F160" s="7" t="s">
        <v>17</v>
      </c>
      <c r="G160" s="7">
        <v>1</v>
      </c>
      <c r="H160" s="7" t="s">
        <v>2</v>
      </c>
      <c r="I160" s="7" t="s">
        <v>2</v>
      </c>
      <c r="J160" s="7" t="s">
        <v>548</v>
      </c>
    </row>
    <row r="161" spans="1:10" x14ac:dyDescent="0.25" outlineLevel="6" collapsed="1">
      <c r="A161" s="7" t="s">
        <v>15</v>
      </c>
      <c r="B161" s="7" t="s">
        <v>53</v>
      </c>
      <c r="C161" s="7" t="s">
        <v>2</v>
      </c>
      <c r="D161" s="7"/>
      <c r="E161" s="7" t="s">
        <v>549</v>
      </c>
      <c r="F161" s="7" t="s">
        <v>17</v>
      </c>
      <c r="G161" s="7">
        <v>1</v>
      </c>
      <c r="H161" s="7" t="s">
        <v>2</v>
      </c>
      <c r="I161" s="7" t="s">
        <v>2</v>
      </c>
      <c r="J161" s="7" t="s">
        <v>550</v>
      </c>
    </row>
    <row r="162" spans="1:10" x14ac:dyDescent="0.25" outlineLevel="5" collapsed="1">
      <c r="A162" s="7" t="s">
        <v>17</v>
      </c>
      <c r="B162" s="7" t="s">
        <v>53</v>
      </c>
      <c r="C162" s="7" t="s">
        <v>2</v>
      </c>
      <c r="D162" s="7" t="s">
        <v>506</v>
      </c>
      <c r="E162" s="7" t="s">
        <v>551</v>
      </c>
      <c r="F162" s="7" t="s">
        <v>17</v>
      </c>
      <c r="G162" s="7">
        <v>1</v>
      </c>
      <c r="H162" s="7" t="s">
        <v>2</v>
      </c>
      <c r="I162" s="7" t="s">
        <v>2</v>
      </c>
      <c r="J162" s="7" t="s">
        <v>552</v>
      </c>
    </row>
    <row r="163" spans="1:10" x14ac:dyDescent="0.25" outlineLevel="5" collapsed="1">
      <c r="A163" s="7" t="s">
        <v>15</v>
      </c>
      <c r="B163" s="7" t="s">
        <v>194</v>
      </c>
      <c r="C163" s="7" t="s">
        <v>2</v>
      </c>
      <c r="D163" s="7"/>
      <c r="E163" s="7" t="s">
        <v>553</v>
      </c>
      <c r="F163" s="7" t="s">
        <v>17</v>
      </c>
      <c r="G163" s="7">
        <v>1</v>
      </c>
      <c r="H163" s="7" t="s">
        <v>2</v>
      </c>
      <c r="I163" s="7" t="s">
        <v>2</v>
      </c>
      <c r="J163" s="7" t="s">
        <v>554</v>
      </c>
    </row>
    <row r="164" spans="1:10" x14ac:dyDescent="0.25" outlineLevel="5" collapsed="1">
      <c r="A164" s="7" t="s">
        <v>17</v>
      </c>
      <c r="B164" s="7" t="s">
        <v>20</v>
      </c>
      <c r="C164" s="7" t="s">
        <v>2</v>
      </c>
      <c r="D164" s="7"/>
      <c r="E164" s="7" t="s">
        <v>519</v>
      </c>
      <c r="F164" s="7" t="s">
        <v>17</v>
      </c>
      <c r="G164" s="7" t="s">
        <v>22</v>
      </c>
      <c r="H164" s="7" t="s">
        <v>2</v>
      </c>
      <c r="I164" s="7" t="s">
        <v>2</v>
      </c>
      <c r="J164" s="7" t="s">
        <v>520</v>
      </c>
    </row>
    <row r="165" spans="1:10" x14ac:dyDescent="0.25" outlineLevel="5" collapsed="1">
      <c r="A165" s="7" t="s">
        <v>15</v>
      </c>
      <c r="B165" s="7" t="s">
        <v>125</v>
      </c>
      <c r="C165" s="7" t="s">
        <v>2</v>
      </c>
      <c r="D165" s="7"/>
      <c r="E165" s="7" t="s">
        <v>555</v>
      </c>
      <c r="F165" s="7" t="s">
        <v>17</v>
      </c>
      <c r="G165" s="7" t="s">
        <v>556</v>
      </c>
      <c r="H165" s="7" t="s">
        <v>2</v>
      </c>
      <c r="I165" s="7" t="s">
        <v>2</v>
      </c>
      <c r="J165" s="7" t="s">
        <v>557</v>
      </c>
    </row>
    <row r="166" spans="1:10" x14ac:dyDescent="0.25" outlineLevel="4" collapsed="1">
      <c r="A166" s="7" t="s">
        <v>15</v>
      </c>
      <c r="B166" s="7" t="s">
        <v>125</v>
      </c>
      <c r="C166" s="7" t="s">
        <v>2</v>
      </c>
      <c r="D166" s="7"/>
      <c r="E166" s="7" t="s">
        <v>555</v>
      </c>
      <c r="F166" s="7" t="s">
        <v>17</v>
      </c>
      <c r="G166" s="7" t="s">
        <v>558</v>
      </c>
      <c r="H166" s="7" t="s">
        <v>2</v>
      </c>
      <c r="I166" s="7" t="s">
        <v>2</v>
      </c>
      <c r="J166" s="7" t="s">
        <v>557</v>
      </c>
    </row>
    <row r="167" spans="1:10" x14ac:dyDescent="0.25" outlineLevel="4" collapsed="1">
      <c r="A167" s="7" t="s">
        <v>17</v>
      </c>
      <c r="B167" s="7" t="s">
        <v>20</v>
      </c>
      <c r="C167" s="7" t="s">
        <v>2</v>
      </c>
      <c r="D167" s="7"/>
      <c r="E167" s="7" t="s">
        <v>519</v>
      </c>
      <c r="F167" s="7" t="s">
        <v>17</v>
      </c>
      <c r="G167" s="7" t="s">
        <v>22</v>
      </c>
      <c r="H167" s="7" t="s">
        <v>2</v>
      </c>
      <c r="I167" s="7" t="s">
        <v>2</v>
      </c>
      <c r="J167" s="7" t="s">
        <v>520</v>
      </c>
    </row>
    <row r="168" spans="1:10" x14ac:dyDescent="0.25" outlineLevel="4" collapsed="1">
      <c r="A168" s="7" t="s">
        <v>15</v>
      </c>
      <c r="B168" s="7" t="s">
        <v>53</v>
      </c>
      <c r="C168" s="7" t="s">
        <v>2</v>
      </c>
      <c r="D168" s="7"/>
      <c r="E168" s="7" t="s">
        <v>559</v>
      </c>
      <c r="F168" s="7" t="s">
        <v>17</v>
      </c>
      <c r="G168" s="7">
        <v>1</v>
      </c>
      <c r="H168" s="7" t="s">
        <v>2</v>
      </c>
      <c r="I168" s="7" t="s">
        <v>2</v>
      </c>
      <c r="J168" s="7" t="s">
        <v>560</v>
      </c>
    </row>
    <row r="169" spans="1:10" x14ac:dyDescent="0.25" outlineLevel="3" collapsed="1">
      <c r="A169" s="8" t="s">
        <v>17</v>
      </c>
      <c r="B169" s="9" t="s">
        <v>561</v>
      </c>
      <c r="C169" s="8" t="s">
        <v>2</v>
      </c>
      <c r="D169" s="8">
        <f>EXACT(G150,"HWT, IWT")</f>
      </c>
      <c r="E169" s="8" t="s">
        <v>562</v>
      </c>
      <c r="F169" s="8" t="s">
        <v>17</v>
      </c>
      <c r="G169" s="8" t="s">
        <v>2</v>
      </c>
      <c r="H169" s="8" t="s">
        <v>2</v>
      </c>
      <c r="I169" s="8" t="s">
        <v>2</v>
      </c>
      <c r="J169" s="8" t="s">
        <v>563</v>
      </c>
    </row>
    <row r="170" spans="1:10" x14ac:dyDescent="0.25" outlineLevel="4" collapsed="1">
      <c r="A170" s="8" t="s">
        <v>15</v>
      </c>
      <c r="B170" s="9" t="s">
        <v>539</v>
      </c>
      <c r="C170" s="8" t="s">
        <v>2</v>
      </c>
      <c r="D170" s="8"/>
      <c r="E170" s="8" t="s">
        <v>539</v>
      </c>
      <c r="F170" s="8" t="s">
        <v>15</v>
      </c>
      <c r="G170" s="8" t="s">
        <v>2</v>
      </c>
      <c r="H170" s="8" t="s">
        <v>2</v>
      </c>
      <c r="I170" s="8" t="s">
        <v>2</v>
      </c>
      <c r="J170" s="8" t="s">
        <v>564</v>
      </c>
    </row>
    <row r="171" spans="1:10" x14ac:dyDescent="0.25" outlineLevel="5" collapsed="1">
      <c r="A171" s="7" t="s">
        <v>15</v>
      </c>
      <c r="B171" s="7" t="s">
        <v>20</v>
      </c>
      <c r="C171" s="7" t="s">
        <v>2</v>
      </c>
      <c r="D171" s="7"/>
      <c r="E171" s="7" t="s">
        <v>541</v>
      </c>
      <c r="F171" s="7" t="s">
        <v>17</v>
      </c>
      <c r="G171" s="7" t="s">
        <v>22</v>
      </c>
      <c r="H171" s="7" t="s">
        <v>2</v>
      </c>
      <c r="I171" s="7" t="s">
        <v>2</v>
      </c>
      <c r="J171" s="7" t="s">
        <v>406</v>
      </c>
    </row>
    <row r="172" spans="1:10" x14ac:dyDescent="0.25" outlineLevel="5" collapsed="1">
      <c r="A172" s="7" t="s">
        <v>15</v>
      </c>
      <c r="B172" s="7" t="s">
        <v>194</v>
      </c>
      <c r="C172" s="7" t="s">
        <v>2</v>
      </c>
      <c r="D172" s="7"/>
      <c r="E172" s="7" t="s">
        <v>565</v>
      </c>
      <c r="F172" s="7" t="s">
        <v>17</v>
      </c>
      <c r="G172" s="7">
        <v>1</v>
      </c>
      <c r="H172" s="7" t="s">
        <v>2</v>
      </c>
      <c r="I172" s="7" t="s">
        <v>2</v>
      </c>
      <c r="J172" s="7" t="s">
        <v>543</v>
      </c>
    </row>
    <row r="173" spans="1:10" x14ac:dyDescent="0.25" outlineLevel="5" collapsed="1">
      <c r="A173" s="8" t="s">
        <v>15</v>
      </c>
      <c r="B173" s="9" t="s">
        <v>566</v>
      </c>
      <c r="C173" s="8" t="s">
        <v>2</v>
      </c>
      <c r="D173" s="8"/>
      <c r="E173" s="8" t="s">
        <v>539</v>
      </c>
      <c r="F173" s="8" t="s">
        <v>15</v>
      </c>
      <c r="G173" s="8" t="s">
        <v>2</v>
      </c>
      <c r="H173" s="8" t="s">
        <v>2</v>
      </c>
      <c r="I173" s="8" t="s">
        <v>2</v>
      </c>
      <c r="J173" s="8" t="s">
        <v>567</v>
      </c>
    </row>
    <row r="174" spans="1:10" x14ac:dyDescent="0.25" outlineLevel="6" collapsed="1">
      <c r="A174" s="7" t="s">
        <v>15</v>
      </c>
      <c r="B174" s="7" t="s">
        <v>20</v>
      </c>
      <c r="C174" s="7" t="s">
        <v>2</v>
      </c>
      <c r="D174" s="7"/>
      <c r="E174" s="7" t="s">
        <v>545</v>
      </c>
      <c r="F174" s="7" t="s">
        <v>17</v>
      </c>
      <c r="G174" s="7" t="s">
        <v>22</v>
      </c>
      <c r="H174" s="7" t="s">
        <v>2</v>
      </c>
      <c r="I174" s="7" t="s">
        <v>2</v>
      </c>
      <c r="J174" s="7" t="s">
        <v>546</v>
      </c>
    </row>
    <row r="175" spans="1:10" x14ac:dyDescent="0.25" outlineLevel="6" collapsed="1">
      <c r="A175" s="7" t="s">
        <v>15</v>
      </c>
      <c r="B175" s="7" t="s">
        <v>194</v>
      </c>
      <c r="C175" s="7" t="s">
        <v>2</v>
      </c>
      <c r="D175" s="7"/>
      <c r="E175" s="7" t="s">
        <v>547</v>
      </c>
      <c r="F175" s="7" t="s">
        <v>17</v>
      </c>
      <c r="G175" s="7">
        <v>1</v>
      </c>
      <c r="H175" s="7" t="s">
        <v>2</v>
      </c>
      <c r="I175" s="7" t="s">
        <v>2</v>
      </c>
      <c r="J175" s="7" t="s">
        <v>548</v>
      </c>
    </row>
    <row r="176" spans="1:10" x14ac:dyDescent="0.25" outlineLevel="6" collapsed="1">
      <c r="A176" s="7" t="s">
        <v>15</v>
      </c>
      <c r="B176" s="7" t="s">
        <v>53</v>
      </c>
      <c r="C176" s="7" t="s">
        <v>2</v>
      </c>
      <c r="D176" s="7"/>
      <c r="E176" s="7" t="s">
        <v>549</v>
      </c>
      <c r="F176" s="7" t="s">
        <v>17</v>
      </c>
      <c r="G176" s="7">
        <v>1</v>
      </c>
      <c r="H176" s="7" t="s">
        <v>2</v>
      </c>
      <c r="I176" s="7" t="s">
        <v>2</v>
      </c>
      <c r="J176" s="7" t="s">
        <v>550</v>
      </c>
    </row>
    <row r="177" spans="1:10" x14ac:dyDescent="0.25" outlineLevel="5" collapsed="1">
      <c r="A177" s="7" t="s">
        <v>17</v>
      </c>
      <c r="B177" s="7" t="s">
        <v>53</v>
      </c>
      <c r="C177" s="7" t="s">
        <v>2</v>
      </c>
      <c r="D177" s="7" t="s">
        <v>506</v>
      </c>
      <c r="E177" s="7" t="s">
        <v>568</v>
      </c>
      <c r="F177" s="7" t="s">
        <v>17</v>
      </c>
      <c r="G177" s="7">
        <v>1</v>
      </c>
      <c r="H177" s="7" t="s">
        <v>2</v>
      </c>
      <c r="I177" s="7" t="s">
        <v>2</v>
      </c>
      <c r="J177" s="7" t="s">
        <v>552</v>
      </c>
    </row>
    <row r="178" spans="1:10" x14ac:dyDescent="0.25" outlineLevel="5" collapsed="1">
      <c r="A178" s="7" t="s">
        <v>15</v>
      </c>
      <c r="B178" s="7" t="s">
        <v>53</v>
      </c>
      <c r="C178" s="7" t="s">
        <v>2</v>
      </c>
      <c r="D178" s="7"/>
      <c r="E178" s="7" t="s">
        <v>569</v>
      </c>
      <c r="F178" s="7" t="s">
        <v>17</v>
      </c>
      <c r="G178" s="7">
        <v>1</v>
      </c>
      <c r="H178" s="7" t="s">
        <v>2</v>
      </c>
      <c r="I178" s="7" t="s">
        <v>2</v>
      </c>
      <c r="J178" s="7" t="s">
        <v>570</v>
      </c>
    </row>
    <row r="179" spans="1:10" x14ac:dyDescent="0.25" outlineLevel="5" collapsed="1">
      <c r="A179" s="7" t="s">
        <v>15</v>
      </c>
      <c r="B179" s="7" t="s">
        <v>53</v>
      </c>
      <c r="C179" s="7" t="s">
        <v>2</v>
      </c>
      <c r="D179" s="7"/>
      <c r="E179" s="7" t="s">
        <v>571</v>
      </c>
      <c r="F179" s="7" t="s">
        <v>17</v>
      </c>
      <c r="G179" s="7">
        <v>1</v>
      </c>
      <c r="H179" s="7" t="s">
        <v>2</v>
      </c>
      <c r="I179" s="7" t="s">
        <v>2</v>
      </c>
      <c r="J179" s="7" t="s">
        <v>572</v>
      </c>
    </row>
    <row r="180" spans="1:10" x14ac:dyDescent="0.25" outlineLevel="5" collapsed="1">
      <c r="A180" s="7" t="s">
        <v>15</v>
      </c>
      <c r="B180" s="7" t="s">
        <v>53</v>
      </c>
      <c r="C180" s="7" t="s">
        <v>2</v>
      </c>
      <c r="D180" s="7"/>
      <c r="E180" s="7" t="s">
        <v>573</v>
      </c>
      <c r="F180" s="7" t="s">
        <v>17</v>
      </c>
      <c r="G180" s="7">
        <v>1</v>
      </c>
      <c r="H180" s="7" t="s">
        <v>2</v>
      </c>
      <c r="I180" s="7" t="s">
        <v>2</v>
      </c>
      <c r="J180" s="7" t="s">
        <v>574</v>
      </c>
    </row>
    <row r="181" spans="1:10" x14ac:dyDescent="0.25" outlineLevel="5" collapsed="1">
      <c r="A181" s="7" t="s">
        <v>17</v>
      </c>
      <c r="B181" s="7" t="s">
        <v>53</v>
      </c>
      <c r="C181" s="7" t="s">
        <v>2</v>
      </c>
      <c r="D181" s="7" t="s">
        <v>506</v>
      </c>
      <c r="E181" s="7" t="s">
        <v>575</v>
      </c>
      <c r="F181" s="7" t="s">
        <v>17</v>
      </c>
      <c r="G181" s="7">
        <v>1</v>
      </c>
      <c r="H181" s="7" t="s">
        <v>2</v>
      </c>
      <c r="I181" s="7" t="s">
        <v>2</v>
      </c>
      <c r="J181" s="7" t="s">
        <v>576</v>
      </c>
    </row>
    <row r="182" spans="1:10" x14ac:dyDescent="0.25" outlineLevel="5" collapsed="1">
      <c r="A182" s="7" t="s">
        <v>15</v>
      </c>
      <c r="B182" s="7" t="s">
        <v>194</v>
      </c>
      <c r="C182" s="7" t="s">
        <v>2</v>
      </c>
      <c r="D182" s="7"/>
      <c r="E182" s="7" t="s">
        <v>553</v>
      </c>
      <c r="F182" s="7" t="s">
        <v>17</v>
      </c>
      <c r="G182" s="7">
        <v>1</v>
      </c>
      <c r="H182" s="7" t="s">
        <v>2</v>
      </c>
      <c r="I182" s="7" t="s">
        <v>2</v>
      </c>
      <c r="J182" s="7" t="s">
        <v>554</v>
      </c>
    </row>
    <row r="183" spans="1:10" x14ac:dyDescent="0.25" outlineLevel="5" collapsed="1">
      <c r="A183" s="7" t="s">
        <v>17</v>
      </c>
      <c r="B183" s="7" t="s">
        <v>20</v>
      </c>
      <c r="C183" s="7" t="s">
        <v>2</v>
      </c>
      <c r="D183" s="7"/>
      <c r="E183" s="7" t="s">
        <v>577</v>
      </c>
      <c r="F183" s="7" t="s">
        <v>17</v>
      </c>
      <c r="G183" s="7" t="s">
        <v>22</v>
      </c>
      <c r="H183" s="7" t="s">
        <v>2</v>
      </c>
      <c r="I183" s="7" t="s">
        <v>2</v>
      </c>
      <c r="J183" s="7" t="s">
        <v>520</v>
      </c>
    </row>
    <row r="184" spans="1:10" x14ac:dyDescent="0.25" outlineLevel="5" collapsed="1">
      <c r="A184" s="7" t="s">
        <v>15</v>
      </c>
      <c r="B184" s="7" t="s">
        <v>125</v>
      </c>
      <c r="C184" s="7" t="s">
        <v>2</v>
      </c>
      <c r="D184" s="7"/>
      <c r="E184" s="7" t="s">
        <v>555</v>
      </c>
      <c r="F184" s="7" t="s">
        <v>17</v>
      </c>
      <c r="G184" s="7" t="s">
        <v>578</v>
      </c>
      <c r="H184" s="7" t="s">
        <v>2</v>
      </c>
      <c r="I184" s="7" t="s">
        <v>2</v>
      </c>
      <c r="J184" s="7" t="s">
        <v>579</v>
      </c>
    </row>
    <row r="185" spans="1:10" x14ac:dyDescent="0.25" outlineLevel="4" collapsed="1">
      <c r="A185" s="7" t="s">
        <v>17</v>
      </c>
      <c r="B185" s="7" t="s">
        <v>53</v>
      </c>
      <c r="C185" s="7" t="s">
        <v>2</v>
      </c>
      <c r="D185" s="7" t="s">
        <v>506</v>
      </c>
      <c r="E185" s="7" t="s">
        <v>580</v>
      </c>
      <c r="F185" s="7" t="s">
        <v>17</v>
      </c>
      <c r="G185" s="7">
        <v>1</v>
      </c>
      <c r="H185" s="7" t="s">
        <v>2</v>
      </c>
      <c r="I185" s="7" t="s">
        <v>2</v>
      </c>
      <c r="J185" s="7" t="s">
        <v>535</v>
      </c>
    </row>
    <row r="186" spans="1:10" x14ac:dyDescent="0.25" outlineLevel="2" collapsed="1">
      <c r="A186" s="8" t="s">
        <v>15</v>
      </c>
      <c r="B186" s="9" t="s">
        <v>581</v>
      </c>
      <c r="C186" s="8" t="s">
        <v>2</v>
      </c>
      <c r="D186" s="8"/>
      <c r="E186" s="8" t="s">
        <v>581</v>
      </c>
      <c r="F186" s="8" t="s">
        <v>17</v>
      </c>
      <c r="G186" s="8" t="s">
        <v>2</v>
      </c>
      <c r="H186" s="8" t="s">
        <v>2</v>
      </c>
      <c r="I186" s="8" t="s">
        <v>2</v>
      </c>
      <c r="J186" s="8" t="s">
        <v>582</v>
      </c>
    </row>
    <row r="187" spans="1:10" x14ac:dyDescent="0.25" outlineLevel="3" collapsed="1">
      <c r="A187" s="7" t="s">
        <v>15</v>
      </c>
      <c r="B187" s="7" t="s">
        <v>53</v>
      </c>
      <c r="C187" s="7" t="s">
        <v>2</v>
      </c>
      <c r="D187" s="7"/>
      <c r="E187" s="7" t="s">
        <v>583</v>
      </c>
      <c r="F187" s="7" t="s">
        <v>17</v>
      </c>
      <c r="G187" s="7">
        <v>1</v>
      </c>
      <c r="H187" s="7" t="s">
        <v>2</v>
      </c>
      <c r="I187" s="7" t="s">
        <v>2</v>
      </c>
      <c r="J187" s="7" t="s">
        <v>584</v>
      </c>
    </row>
    <row r="188" spans="1:10" x14ac:dyDescent="0.25" outlineLevel="3" collapsed="1">
      <c r="A188" s="7" t="s">
        <v>17</v>
      </c>
      <c r="B188" s="7" t="s">
        <v>20</v>
      </c>
      <c r="C188" s="7" t="s">
        <v>2</v>
      </c>
      <c r="D188" s="7"/>
      <c r="E188" s="7" t="s">
        <v>577</v>
      </c>
      <c r="F188" s="7" t="s">
        <v>17</v>
      </c>
      <c r="G188" s="7" t="s">
        <v>22</v>
      </c>
      <c r="H188" s="7" t="s">
        <v>2</v>
      </c>
      <c r="I188" s="7" t="s">
        <v>2</v>
      </c>
      <c r="J188" s="7" t="s">
        <v>520</v>
      </c>
    </row>
    <row r="189" spans="1:10" x14ac:dyDescent="0.25" outlineLevel="3" collapsed="1">
      <c r="A189" s="7" t="s">
        <v>15</v>
      </c>
      <c r="B189" s="7" t="s">
        <v>125</v>
      </c>
      <c r="C189" s="7" t="s">
        <v>2</v>
      </c>
      <c r="D189" s="7"/>
      <c r="E189" s="7" t="s">
        <v>555</v>
      </c>
      <c r="F189" s="7" t="s">
        <v>17</v>
      </c>
      <c r="G189" s="7" t="s">
        <v>585</v>
      </c>
      <c r="H189" s="7" t="s">
        <v>2</v>
      </c>
      <c r="I189" s="7" t="s">
        <v>2</v>
      </c>
      <c r="J189" s="7" t="s">
        <v>579</v>
      </c>
    </row>
    <row r="190" spans="1:10" x14ac:dyDescent="0.25" outlineLevel="3" collapsed="1">
      <c r="A190" s="7" t="s">
        <v>17</v>
      </c>
      <c r="B190" s="7" t="s">
        <v>53</v>
      </c>
      <c r="C190" s="7" t="s">
        <v>2</v>
      </c>
      <c r="D190" s="7" t="s">
        <v>506</v>
      </c>
      <c r="E190" s="7" t="s">
        <v>586</v>
      </c>
      <c r="F190" s="7" t="s">
        <v>17</v>
      </c>
      <c r="G190" s="7">
        <v>1</v>
      </c>
      <c r="H190" s="7" t="s">
        <v>2</v>
      </c>
      <c r="I190" s="7" t="s">
        <v>2</v>
      </c>
      <c r="J190" s="7" t="s">
        <v>587</v>
      </c>
    </row>
    <row r="191" spans="1:10" x14ac:dyDescent="0.25" outlineLevel="2" collapsed="1">
      <c r="A191" s="8" t="s">
        <v>15</v>
      </c>
      <c r="B191" s="9" t="s">
        <v>588</v>
      </c>
      <c r="C191" s="8" t="s">
        <v>2</v>
      </c>
      <c r="D191" s="8"/>
      <c r="E191" s="8" t="s">
        <v>589</v>
      </c>
      <c r="F191" s="8" t="s">
        <v>17</v>
      </c>
      <c r="G191" s="8" t="s">
        <v>2</v>
      </c>
      <c r="H191" s="8" t="s">
        <v>2</v>
      </c>
      <c r="I191" s="8" t="s">
        <v>2</v>
      </c>
      <c r="J191" s="8" t="s">
        <v>590</v>
      </c>
    </row>
    <row r="192" spans="1:10" x14ac:dyDescent="0.25" outlineLevel="3" collapsed="1">
      <c r="A192" s="7" t="s">
        <v>15</v>
      </c>
      <c r="B192" s="7" t="s">
        <v>53</v>
      </c>
      <c r="C192" s="7" t="s">
        <v>2</v>
      </c>
      <c r="D192" s="7"/>
      <c r="E192" s="7" t="s">
        <v>591</v>
      </c>
      <c r="F192" s="7" t="s">
        <v>17</v>
      </c>
      <c r="G192" s="7">
        <v>1</v>
      </c>
      <c r="H192" s="7" t="s">
        <v>2</v>
      </c>
      <c r="I192" s="7" t="s">
        <v>2</v>
      </c>
      <c r="J192" s="7" t="s">
        <v>592</v>
      </c>
    </row>
    <row r="193" spans="1:10" x14ac:dyDescent="0.25" outlineLevel="3" collapsed="1">
      <c r="A193" s="7" t="s">
        <v>17</v>
      </c>
      <c r="B193" s="7" t="s">
        <v>20</v>
      </c>
      <c r="C193" s="7" t="s">
        <v>2</v>
      </c>
      <c r="D193" s="7"/>
      <c r="E193" s="7" t="s">
        <v>519</v>
      </c>
      <c r="F193" s="7" t="s">
        <v>17</v>
      </c>
      <c r="G193" s="7" t="s">
        <v>22</v>
      </c>
      <c r="H193" s="7" t="s">
        <v>2</v>
      </c>
      <c r="I193" s="7" t="s">
        <v>2</v>
      </c>
      <c r="J193" s="7" t="s">
        <v>593</v>
      </c>
    </row>
    <row r="194" spans="1:10" x14ac:dyDescent="0.25" outlineLevel="3" collapsed="1">
      <c r="A194" s="7" t="s">
        <v>15</v>
      </c>
      <c r="B194" s="7" t="s">
        <v>125</v>
      </c>
      <c r="C194" s="7" t="s">
        <v>2</v>
      </c>
      <c r="D194" s="7"/>
      <c r="E194" s="7" t="s">
        <v>555</v>
      </c>
      <c r="F194" s="7" t="s">
        <v>17</v>
      </c>
      <c r="G194" s="7" t="s">
        <v>594</v>
      </c>
      <c r="H194" s="7" t="s">
        <v>2</v>
      </c>
      <c r="I194" s="7" t="s">
        <v>2</v>
      </c>
      <c r="J194" s="7" t="s">
        <v>595</v>
      </c>
    </row>
    <row r="195" spans="1:10" x14ac:dyDescent="0.25" outlineLevel="3" collapsed="1">
      <c r="A195" s="7" t="s">
        <v>15</v>
      </c>
      <c r="B195" s="7" t="s">
        <v>53</v>
      </c>
      <c r="C195" s="7" t="s">
        <v>2</v>
      </c>
      <c r="D195" s="7"/>
      <c r="E195" s="7" t="s">
        <v>596</v>
      </c>
      <c r="F195" s="7" t="s">
        <v>17</v>
      </c>
      <c r="G195" s="7">
        <v>1</v>
      </c>
      <c r="H195" s="7" t="s">
        <v>2</v>
      </c>
      <c r="I195" s="7" t="s">
        <v>2</v>
      </c>
      <c r="J195" s="7" t="s">
        <v>597</v>
      </c>
    </row>
    <row r="196" spans="1:10" x14ac:dyDescent="0.25" outlineLevel="3" collapsed="1">
      <c r="A196" s="7" t="s">
        <v>17</v>
      </c>
      <c r="B196" s="7" t="s">
        <v>20</v>
      </c>
      <c r="C196" s="7" t="s">
        <v>2</v>
      </c>
      <c r="D196" s="7"/>
      <c r="E196" s="7" t="s">
        <v>519</v>
      </c>
      <c r="F196" s="7" t="s">
        <v>17</v>
      </c>
      <c r="G196" s="7" t="s">
        <v>22</v>
      </c>
      <c r="H196" s="7" t="s">
        <v>2</v>
      </c>
      <c r="I196" s="7" t="s">
        <v>2</v>
      </c>
      <c r="J196" s="7" t="s">
        <v>598</v>
      </c>
    </row>
    <row r="197" spans="1:10" x14ac:dyDescent="0.25" outlineLevel="3" collapsed="1">
      <c r="A197" s="7" t="s">
        <v>15</v>
      </c>
      <c r="B197" s="7" t="s">
        <v>125</v>
      </c>
      <c r="C197" s="7" t="s">
        <v>2</v>
      </c>
      <c r="D197" s="7"/>
      <c r="E197" s="7" t="s">
        <v>555</v>
      </c>
      <c r="F197" s="7" t="s">
        <v>17</v>
      </c>
      <c r="G197" s="7" t="s">
        <v>599</v>
      </c>
      <c r="H197" s="7" t="s">
        <v>2</v>
      </c>
      <c r="I197" s="7" t="s">
        <v>2</v>
      </c>
      <c r="J197" s="7" t="s">
        <v>600</v>
      </c>
    </row>
    <row r="198" spans="1:10" x14ac:dyDescent="0.25" outlineLevel="3" collapsed="1">
      <c r="A198" s="7" t="s">
        <v>15</v>
      </c>
      <c r="B198" s="7" t="s">
        <v>44</v>
      </c>
      <c r="C198" s="10" t="s">
        <v>601</v>
      </c>
      <c r="D198" s="7"/>
      <c r="E198" s="7" t="s">
        <v>231</v>
      </c>
      <c r="F198" s="7" t="s">
        <v>17</v>
      </c>
      <c r="G198" s="7" t="s">
        <v>251</v>
      </c>
      <c r="H198" s="7" t="s">
        <v>2</v>
      </c>
      <c r="I198" s="7" t="s">
        <v>2</v>
      </c>
      <c r="J198" s="7" t="s">
        <v>530</v>
      </c>
    </row>
    <row r="199" spans="1:10" x14ac:dyDescent="0.25" outlineLevel="3" collapsed="1">
      <c r="A199" s="8" t="s">
        <v>17</v>
      </c>
      <c r="B199" s="9" t="s">
        <v>602</v>
      </c>
      <c r="C199" s="8" t="s">
        <v>2</v>
      </c>
      <c r="D199" s="8">
        <f>EXACT(G198,"CWT, CWS")</f>
      </c>
      <c r="E199" s="8" t="s">
        <v>603</v>
      </c>
      <c r="F199" s="8" t="s">
        <v>17</v>
      </c>
      <c r="G199" s="8" t="s">
        <v>2</v>
      </c>
      <c r="H199" s="8" t="s">
        <v>2</v>
      </c>
      <c r="I199" s="8" t="s">
        <v>2</v>
      </c>
      <c r="J199" s="8" t="s">
        <v>604</v>
      </c>
    </row>
    <row r="200" spans="1:10" x14ac:dyDescent="0.25" outlineLevel="4" collapsed="1">
      <c r="A200" s="7" t="s">
        <v>17</v>
      </c>
      <c r="B200" s="7" t="s">
        <v>53</v>
      </c>
      <c r="C200" s="7" t="s">
        <v>2</v>
      </c>
      <c r="D200" s="7" t="s">
        <v>506</v>
      </c>
      <c r="E200" s="7" t="s">
        <v>605</v>
      </c>
      <c r="F200" s="7" t="s">
        <v>17</v>
      </c>
      <c r="G200" s="7">
        <v>1</v>
      </c>
      <c r="H200" s="7" t="s">
        <v>2</v>
      </c>
      <c r="I200" s="7" t="s">
        <v>2</v>
      </c>
      <c r="J200" s="7" t="s">
        <v>606</v>
      </c>
    </row>
    <row r="201" spans="1:10" x14ac:dyDescent="0.25" outlineLevel="3" collapsed="1">
      <c r="A201" s="8" t="s">
        <v>17</v>
      </c>
      <c r="B201" s="9" t="s">
        <v>607</v>
      </c>
      <c r="C201" s="8" t="s">
        <v>2</v>
      </c>
      <c r="D201" s="8">
        <f>EXACT(G198,"HWT, IWT")</f>
      </c>
      <c r="E201" s="8" t="s">
        <v>603</v>
      </c>
      <c r="F201" s="8" t="s">
        <v>17</v>
      </c>
      <c r="G201" s="8" t="s">
        <v>2</v>
      </c>
      <c r="H201" s="8" t="s">
        <v>2</v>
      </c>
      <c r="I201" s="8" t="s">
        <v>2</v>
      </c>
      <c r="J201" s="8" t="s">
        <v>608</v>
      </c>
    </row>
    <row r="202" spans="1:10" x14ac:dyDescent="0.25" outlineLevel="4" collapsed="1">
      <c r="A202" s="7" t="s">
        <v>15</v>
      </c>
      <c r="B202" s="7" t="s">
        <v>53</v>
      </c>
      <c r="C202" s="7" t="s">
        <v>2</v>
      </c>
      <c r="D202" s="7"/>
      <c r="E202" s="7" t="s">
        <v>609</v>
      </c>
      <c r="F202" s="7" t="s">
        <v>17</v>
      </c>
      <c r="G202" s="7">
        <v>1</v>
      </c>
      <c r="H202" s="7" t="s">
        <v>2</v>
      </c>
      <c r="I202" s="7" t="s">
        <v>2</v>
      </c>
      <c r="J202" s="7" t="s">
        <v>610</v>
      </c>
    </row>
    <row r="203" spans="1:10" x14ac:dyDescent="0.25" outlineLevel="4" collapsed="1">
      <c r="A203" s="7" t="s">
        <v>17</v>
      </c>
      <c r="B203" s="7" t="s">
        <v>20</v>
      </c>
      <c r="C203" s="7" t="s">
        <v>2</v>
      </c>
      <c r="D203" s="7"/>
      <c r="E203" s="7" t="s">
        <v>519</v>
      </c>
      <c r="F203" s="7" t="s">
        <v>17</v>
      </c>
      <c r="G203" s="7" t="s">
        <v>22</v>
      </c>
      <c r="H203" s="7" t="s">
        <v>2</v>
      </c>
      <c r="I203" s="7" t="s">
        <v>2</v>
      </c>
      <c r="J203" s="7" t="s">
        <v>520</v>
      </c>
    </row>
    <row r="204" spans="1:10" x14ac:dyDescent="0.25" outlineLevel="4" collapsed="1">
      <c r="A204" s="7" t="s">
        <v>15</v>
      </c>
      <c r="B204" s="7" t="s">
        <v>125</v>
      </c>
      <c r="C204" s="7" t="s">
        <v>2</v>
      </c>
      <c r="D204" s="7"/>
      <c r="E204" s="7" t="s">
        <v>555</v>
      </c>
      <c r="F204" s="7" t="s">
        <v>17</v>
      </c>
      <c r="G204" s="7" t="s">
        <v>611</v>
      </c>
      <c r="H204" s="7" t="s">
        <v>2</v>
      </c>
      <c r="I204" s="7" t="s">
        <v>2</v>
      </c>
      <c r="J204" s="7" t="s">
        <v>579</v>
      </c>
    </row>
    <row r="205" spans="1:10" x14ac:dyDescent="0.25" outlineLevel="4" collapsed="1">
      <c r="A205" s="7" t="s">
        <v>17</v>
      </c>
      <c r="B205" s="7" t="s">
        <v>53</v>
      </c>
      <c r="C205" s="7" t="s">
        <v>2</v>
      </c>
      <c r="D205" s="7" t="s">
        <v>506</v>
      </c>
      <c r="E205" s="7" t="s">
        <v>605</v>
      </c>
      <c r="F205" s="7" t="s">
        <v>17</v>
      </c>
      <c r="G205" s="7">
        <v>1</v>
      </c>
      <c r="H205" s="7" t="s">
        <v>2</v>
      </c>
      <c r="I205" s="7" t="s">
        <v>2</v>
      </c>
      <c r="J205" s="7" t="s">
        <v>606</v>
      </c>
    </row>
    <row r="206" spans="1:10" x14ac:dyDescent="0.25" outlineLevel="2" collapsed="1">
      <c r="A206" s="7" t="s">
        <v>17</v>
      </c>
      <c r="B206" s="7" t="s">
        <v>53</v>
      </c>
      <c r="C206" s="7" t="s">
        <v>2</v>
      </c>
      <c r="D206" s="7" t="s">
        <v>506</v>
      </c>
      <c r="E206" s="7" t="s">
        <v>612</v>
      </c>
      <c r="F206" s="7" t="s">
        <v>17</v>
      </c>
      <c r="G206" s="7">
        <v>1</v>
      </c>
      <c r="H206" s="7" t="s">
        <v>2</v>
      </c>
      <c r="I206" s="7" t="s">
        <v>2</v>
      </c>
      <c r="J206" s="7" t="s">
        <v>613</v>
      </c>
    </row>
    <row r="207" spans="1:10" x14ac:dyDescent="0.25" outlineLevel="2" collapsed="1">
      <c r="A207" s="8" t="s">
        <v>15</v>
      </c>
      <c r="B207" s="9" t="s">
        <v>614</v>
      </c>
      <c r="C207" s="8" t="s">
        <v>2</v>
      </c>
      <c r="D207" s="8"/>
      <c r="E207" s="8" t="s">
        <v>614</v>
      </c>
      <c r="F207" s="8" t="s">
        <v>17</v>
      </c>
      <c r="G207" s="8" t="s">
        <v>2</v>
      </c>
      <c r="H207" s="8" t="s">
        <v>2</v>
      </c>
      <c r="I207" s="8" t="s">
        <v>2</v>
      </c>
      <c r="J207" s="8" t="s">
        <v>615</v>
      </c>
    </row>
    <row r="208" spans="1:10" x14ac:dyDescent="0.25" outlineLevel="3" collapsed="1">
      <c r="A208" s="7" t="s">
        <v>15</v>
      </c>
      <c r="B208" s="7" t="s">
        <v>53</v>
      </c>
      <c r="C208" s="7" t="s">
        <v>2</v>
      </c>
      <c r="D208" s="7"/>
      <c r="E208" s="7" t="s">
        <v>616</v>
      </c>
      <c r="F208" s="7" t="s">
        <v>17</v>
      </c>
      <c r="G208" s="7">
        <v>1</v>
      </c>
      <c r="H208" s="7" t="s">
        <v>2</v>
      </c>
      <c r="I208" s="7" t="s">
        <v>2</v>
      </c>
      <c r="J208" s="7" t="s">
        <v>617</v>
      </c>
    </row>
    <row r="209" spans="1:10" x14ac:dyDescent="0.25" outlineLevel="3" collapsed="1">
      <c r="A209" s="7" t="s">
        <v>17</v>
      </c>
      <c r="B209" s="7" t="s">
        <v>53</v>
      </c>
      <c r="C209" s="7" t="s">
        <v>2</v>
      </c>
      <c r="D209" s="7" t="s">
        <v>506</v>
      </c>
      <c r="E209" s="7" t="s">
        <v>618</v>
      </c>
      <c r="F209" s="7" t="s">
        <v>17</v>
      </c>
      <c r="G209" s="7">
        <v>1</v>
      </c>
      <c r="H209" s="7" t="s">
        <v>2</v>
      </c>
      <c r="I209" s="7" t="s">
        <v>2</v>
      </c>
      <c r="J209" s="7" t="s">
        <v>619</v>
      </c>
    </row>
    <row r="210" spans="1:10" x14ac:dyDescent="0.25" outlineLevel="2" collapsed="1">
      <c r="A210" s="7" t="s">
        <v>17</v>
      </c>
      <c r="B210" s="7" t="s">
        <v>53</v>
      </c>
      <c r="C210" s="7" t="s">
        <v>2</v>
      </c>
      <c r="D210" s="7" t="s">
        <v>506</v>
      </c>
      <c r="E210" s="7" t="s">
        <v>620</v>
      </c>
      <c r="F210" s="7" t="s">
        <v>17</v>
      </c>
      <c r="G210" s="7">
        <v>1</v>
      </c>
      <c r="H210" s="7" t="s">
        <v>2</v>
      </c>
      <c r="I210" s="7" t="s">
        <v>2</v>
      </c>
      <c r="J210" s="7" t="s">
        <v>621</v>
      </c>
    </row>
    <row r="211" spans="1:10" x14ac:dyDescent="0.25" outlineLevel="2" collapsed="1">
      <c r="A211" s="7" t="s">
        <v>17</v>
      </c>
      <c r="B211" s="7" t="s">
        <v>53</v>
      </c>
      <c r="C211" s="7" t="s">
        <v>2</v>
      </c>
      <c r="D211" s="7" t="s">
        <v>506</v>
      </c>
      <c r="E211" s="7" t="s">
        <v>622</v>
      </c>
      <c r="F211" s="7" t="s">
        <v>17</v>
      </c>
      <c r="G211" s="7">
        <v>1</v>
      </c>
      <c r="H211" s="7" t="s">
        <v>2</v>
      </c>
      <c r="I211" s="7" t="s">
        <v>2</v>
      </c>
      <c r="J211" s="7" t="s">
        <v>623</v>
      </c>
    </row>
    <row r="212" spans="1:10" x14ac:dyDescent="0.25" outlineLevel="2" collapsed="1">
      <c r="A212" s="7" t="s">
        <v>17</v>
      </c>
      <c r="B212" s="7" t="s">
        <v>53</v>
      </c>
      <c r="C212" s="7" t="s">
        <v>2</v>
      </c>
      <c r="D212" s="7" t="s">
        <v>506</v>
      </c>
      <c r="E212" s="7" t="s">
        <v>624</v>
      </c>
      <c r="F212" s="7" t="s">
        <v>17</v>
      </c>
      <c r="G212" s="7">
        <v>1</v>
      </c>
      <c r="H212" s="7" t="s">
        <v>2</v>
      </c>
      <c r="I212" s="7" t="s">
        <v>2</v>
      </c>
      <c r="J212" s="7" t="s">
        <v>625</v>
      </c>
    </row>
    <row r="213" spans="1:10" x14ac:dyDescent="0.25" outlineLevel="2" collapsed="1">
      <c r="A213" s="8" t="s">
        <v>15</v>
      </c>
      <c r="B213" s="9" t="s">
        <v>626</v>
      </c>
      <c r="C213" s="8" t="s">
        <v>2</v>
      </c>
      <c r="D213" s="8"/>
      <c r="E213" s="8" t="s">
        <v>626</v>
      </c>
      <c r="F213" s="8" t="s">
        <v>17</v>
      </c>
      <c r="G213" s="8" t="s">
        <v>2</v>
      </c>
      <c r="H213" s="8" t="s">
        <v>2</v>
      </c>
      <c r="I213" s="8" t="s">
        <v>2</v>
      </c>
      <c r="J213" s="8" t="s">
        <v>627</v>
      </c>
    </row>
    <row r="214" spans="1:10" x14ac:dyDescent="0.25" outlineLevel="3" collapsed="1">
      <c r="A214" s="8" t="s">
        <v>15</v>
      </c>
      <c r="B214" s="9" t="s">
        <v>628</v>
      </c>
      <c r="C214" s="8" t="s">
        <v>2</v>
      </c>
      <c r="D214" s="8"/>
      <c r="E214" s="8" t="s">
        <v>628</v>
      </c>
      <c r="F214" s="8" t="s">
        <v>15</v>
      </c>
      <c r="G214" s="8" t="s">
        <v>2</v>
      </c>
      <c r="H214" s="8" t="s">
        <v>2</v>
      </c>
      <c r="I214" s="8" t="s">
        <v>2</v>
      </c>
      <c r="J214" s="8" t="s">
        <v>629</v>
      </c>
    </row>
    <row r="215" spans="1:10" x14ac:dyDescent="0.25" outlineLevel="4" collapsed="1">
      <c r="A215" s="7" t="s">
        <v>15</v>
      </c>
      <c r="B215" s="7" t="s">
        <v>20</v>
      </c>
      <c r="C215" s="7" t="s">
        <v>2</v>
      </c>
      <c r="D215" s="7"/>
      <c r="E215" s="7" t="s">
        <v>630</v>
      </c>
      <c r="F215" s="7" t="s">
        <v>17</v>
      </c>
      <c r="G215" s="7" t="s">
        <v>22</v>
      </c>
      <c r="H215" s="7" t="s">
        <v>2</v>
      </c>
      <c r="I215" s="7" t="s">
        <v>2</v>
      </c>
      <c r="J215" s="7" t="s">
        <v>631</v>
      </c>
    </row>
    <row r="216" spans="1:10" x14ac:dyDescent="0.25" outlineLevel="4" collapsed="1">
      <c r="A216" s="7" t="s">
        <v>15</v>
      </c>
      <c r="B216" s="7" t="s">
        <v>53</v>
      </c>
      <c r="C216" s="7" t="s">
        <v>2</v>
      </c>
      <c r="D216" s="7"/>
      <c r="E216" s="7" t="s">
        <v>632</v>
      </c>
      <c r="F216" s="7" t="s">
        <v>17</v>
      </c>
      <c r="G216" s="7">
        <v>1</v>
      </c>
      <c r="H216" s="7" t="s">
        <v>2</v>
      </c>
      <c r="I216" s="7" t="s">
        <v>2</v>
      </c>
      <c r="J216" s="7" t="s">
        <v>633</v>
      </c>
    </row>
    <row r="217" spans="1:10" x14ac:dyDescent="0.25" outlineLevel="4" collapsed="1">
      <c r="A217" s="7" t="s">
        <v>15</v>
      </c>
      <c r="B217" s="7" t="s">
        <v>53</v>
      </c>
      <c r="C217" s="7" t="s">
        <v>2</v>
      </c>
      <c r="D217" s="7"/>
      <c r="E217" s="7" t="s">
        <v>634</v>
      </c>
      <c r="F217" s="7" t="s">
        <v>17</v>
      </c>
      <c r="G217" s="7">
        <v>1</v>
      </c>
      <c r="H217" s="7" t="s">
        <v>2</v>
      </c>
      <c r="I217" s="7" t="s">
        <v>2</v>
      </c>
      <c r="J217" s="7" t="s">
        <v>635</v>
      </c>
    </row>
    <row r="218" spans="1:10" x14ac:dyDescent="0.25" outlineLevel="4" collapsed="1">
      <c r="A218" s="7" t="s">
        <v>15</v>
      </c>
      <c r="B218" s="7" t="s">
        <v>53</v>
      </c>
      <c r="C218" s="7" t="s">
        <v>2</v>
      </c>
      <c r="D218" s="7"/>
      <c r="E218" s="7" t="s">
        <v>636</v>
      </c>
      <c r="F218" s="7" t="s">
        <v>17</v>
      </c>
      <c r="G218" s="7">
        <v>1</v>
      </c>
      <c r="H218" s="7" t="s">
        <v>2</v>
      </c>
      <c r="I218" s="7" t="s">
        <v>2</v>
      </c>
      <c r="J218" s="7" t="s">
        <v>637</v>
      </c>
    </row>
    <row r="219" spans="1:10" x14ac:dyDescent="0.25" outlineLevel="3" collapsed="1">
      <c r="A219" s="7" t="s">
        <v>17</v>
      </c>
      <c r="B219" s="7" t="s">
        <v>53</v>
      </c>
      <c r="C219" s="7" t="s">
        <v>2</v>
      </c>
      <c r="D219" s="7" t="s">
        <v>506</v>
      </c>
      <c r="E219" s="7" t="s">
        <v>628</v>
      </c>
      <c r="F219" s="7" t="s">
        <v>17</v>
      </c>
      <c r="G219" s="7">
        <v>1</v>
      </c>
      <c r="H219" s="7" t="s">
        <v>2</v>
      </c>
      <c r="I219" s="7" t="s">
        <v>2</v>
      </c>
      <c r="J219" s="7" t="s">
        <v>638</v>
      </c>
    </row>
    <row r="220" spans="1:10" x14ac:dyDescent="0.25" outlineLevel="3" collapsed="1">
      <c r="A220" s="8" t="s">
        <v>15</v>
      </c>
      <c r="B220" s="9" t="s">
        <v>639</v>
      </c>
      <c r="C220" s="8" t="s">
        <v>2</v>
      </c>
      <c r="D220" s="8"/>
      <c r="E220" s="8" t="s">
        <v>639</v>
      </c>
      <c r="F220" s="8" t="s">
        <v>15</v>
      </c>
      <c r="G220" s="8" t="s">
        <v>2</v>
      </c>
      <c r="H220" s="8" t="s">
        <v>2</v>
      </c>
      <c r="I220" s="8" t="s">
        <v>2</v>
      </c>
      <c r="J220" s="8" t="s">
        <v>640</v>
      </c>
    </row>
    <row r="221" spans="1:10" x14ac:dyDescent="0.25" outlineLevel="4" collapsed="1">
      <c r="A221" s="7" t="s">
        <v>15</v>
      </c>
      <c r="B221" s="7" t="s">
        <v>20</v>
      </c>
      <c r="C221" s="7" t="s">
        <v>2</v>
      </c>
      <c r="D221" s="7"/>
      <c r="E221" s="7" t="s">
        <v>641</v>
      </c>
      <c r="F221" s="7" t="s">
        <v>17</v>
      </c>
      <c r="G221" s="7" t="s">
        <v>22</v>
      </c>
      <c r="H221" s="7" t="s">
        <v>2</v>
      </c>
      <c r="I221" s="7" t="s">
        <v>2</v>
      </c>
      <c r="J221" s="7" t="s">
        <v>642</v>
      </c>
    </row>
    <row r="222" spans="1:10" x14ac:dyDescent="0.25" outlineLevel="4" collapsed="1">
      <c r="A222" s="7" t="s">
        <v>15</v>
      </c>
      <c r="B222" s="7" t="s">
        <v>53</v>
      </c>
      <c r="C222" s="7" t="s">
        <v>2</v>
      </c>
      <c r="D222" s="7"/>
      <c r="E222" s="7" t="s">
        <v>643</v>
      </c>
      <c r="F222" s="7" t="s">
        <v>17</v>
      </c>
      <c r="G222" s="7">
        <v>1</v>
      </c>
      <c r="H222" s="7" t="s">
        <v>2</v>
      </c>
      <c r="I222" s="7" t="s">
        <v>2</v>
      </c>
      <c r="J222" s="7" t="s">
        <v>644</v>
      </c>
    </row>
    <row r="223" spans="1:10" x14ac:dyDescent="0.25" outlineLevel="4" collapsed="1">
      <c r="A223" s="7" t="s">
        <v>15</v>
      </c>
      <c r="B223" s="7" t="s">
        <v>53</v>
      </c>
      <c r="C223" s="7" t="s">
        <v>2</v>
      </c>
      <c r="D223" s="7"/>
      <c r="E223" s="7" t="s">
        <v>645</v>
      </c>
      <c r="F223" s="7" t="s">
        <v>17</v>
      </c>
      <c r="G223" s="7">
        <v>1</v>
      </c>
      <c r="H223" s="7" t="s">
        <v>2</v>
      </c>
      <c r="I223" s="7" t="s">
        <v>2</v>
      </c>
      <c r="J223" s="7" t="s">
        <v>646</v>
      </c>
    </row>
    <row r="224" spans="1:10" x14ac:dyDescent="0.25" outlineLevel="4" collapsed="1">
      <c r="A224" s="7" t="s">
        <v>15</v>
      </c>
      <c r="B224" s="7" t="s">
        <v>53</v>
      </c>
      <c r="C224" s="7" t="s">
        <v>2</v>
      </c>
      <c r="D224" s="7"/>
      <c r="E224" s="7" t="s">
        <v>647</v>
      </c>
      <c r="F224" s="7" t="s">
        <v>17</v>
      </c>
      <c r="G224" s="7">
        <v>1</v>
      </c>
      <c r="H224" s="7" t="s">
        <v>2</v>
      </c>
      <c r="I224" s="7" t="s">
        <v>2</v>
      </c>
      <c r="J224" s="7" t="s">
        <v>648</v>
      </c>
    </row>
    <row r="225" spans="1:10" x14ac:dyDescent="0.25" outlineLevel="3" collapsed="1">
      <c r="A225" s="7" t="s">
        <v>17</v>
      </c>
      <c r="B225" s="7" t="s">
        <v>53</v>
      </c>
      <c r="C225" s="7" t="s">
        <v>2</v>
      </c>
      <c r="D225" s="7" t="s">
        <v>506</v>
      </c>
      <c r="E225" s="7" t="s">
        <v>649</v>
      </c>
      <c r="F225" s="7" t="s">
        <v>17</v>
      </c>
      <c r="G225" s="7">
        <v>1</v>
      </c>
      <c r="H225" s="7" t="s">
        <v>2</v>
      </c>
      <c r="I225" s="7" t="s">
        <v>2</v>
      </c>
      <c r="J225" s="7" t="s">
        <v>650</v>
      </c>
    </row>
    <row r="226" spans="1:10" x14ac:dyDescent="0.25" outlineLevel="3" collapsed="1">
      <c r="A226" s="7" t="s">
        <v>17</v>
      </c>
      <c r="B226" s="7" t="s">
        <v>53</v>
      </c>
      <c r="C226" s="7" t="s">
        <v>2</v>
      </c>
      <c r="D226" s="7" t="s">
        <v>506</v>
      </c>
      <c r="E226" s="7" t="s">
        <v>651</v>
      </c>
      <c r="F226" s="7" t="s">
        <v>17</v>
      </c>
      <c r="G226" s="7">
        <v>1</v>
      </c>
      <c r="H226" s="7" t="s">
        <v>2</v>
      </c>
      <c r="I226" s="7" t="s">
        <v>2</v>
      </c>
      <c r="J226" s="7" t="s">
        <v>652</v>
      </c>
    </row>
    <row r="227" spans="1:10" x14ac:dyDescent="0.25" outlineLevel="3" collapsed="1">
      <c r="A227" s="7" t="s">
        <v>17</v>
      </c>
      <c r="B227" s="7" t="s">
        <v>20</v>
      </c>
      <c r="C227" s="7" t="s">
        <v>2</v>
      </c>
      <c r="D227" s="7"/>
      <c r="E227" s="7" t="s">
        <v>519</v>
      </c>
      <c r="F227" s="7" t="s">
        <v>17</v>
      </c>
      <c r="G227" s="7" t="s">
        <v>22</v>
      </c>
      <c r="H227" s="7" t="s">
        <v>2</v>
      </c>
      <c r="I227" s="7" t="s">
        <v>2</v>
      </c>
      <c r="J227" s="7" t="s">
        <v>520</v>
      </c>
    </row>
    <row r="228" spans="1:10" x14ac:dyDescent="0.25" outlineLevel="3" collapsed="1">
      <c r="A228" s="7" t="s">
        <v>15</v>
      </c>
      <c r="B228" s="7" t="s">
        <v>125</v>
      </c>
      <c r="C228" s="7" t="s">
        <v>2</v>
      </c>
      <c r="D228" s="7"/>
      <c r="E228" s="7" t="s">
        <v>555</v>
      </c>
      <c r="F228" s="7" t="s">
        <v>17</v>
      </c>
      <c r="G228" s="7" t="s">
        <v>653</v>
      </c>
      <c r="H228" s="7" t="s">
        <v>2</v>
      </c>
      <c r="I228" s="7" t="s">
        <v>2</v>
      </c>
      <c r="J228" s="7" t="s">
        <v>579</v>
      </c>
    </row>
    <row r="229" spans="1:10" x14ac:dyDescent="0.25" outlineLevel="2" collapsed="1">
      <c r="A229" s="8" t="s">
        <v>15</v>
      </c>
      <c r="B229" s="9" t="s">
        <v>654</v>
      </c>
      <c r="C229" s="8" t="s">
        <v>2</v>
      </c>
      <c r="D229" s="8"/>
      <c r="E229" s="8" t="s">
        <v>655</v>
      </c>
      <c r="F229" s="8" t="s">
        <v>17</v>
      </c>
      <c r="G229" s="8" t="s">
        <v>2</v>
      </c>
      <c r="H229" s="8" t="s">
        <v>2</v>
      </c>
      <c r="I229" s="8" t="s">
        <v>2</v>
      </c>
      <c r="J229" s="8" t="s">
        <v>656</v>
      </c>
    </row>
    <row r="230" spans="1:10" x14ac:dyDescent="0.25" outlineLevel="3" collapsed="1">
      <c r="A230" s="8" t="s">
        <v>15</v>
      </c>
      <c r="B230" s="9" t="s">
        <v>657</v>
      </c>
      <c r="C230" s="8" t="s">
        <v>2</v>
      </c>
      <c r="D230" s="8"/>
      <c r="E230" s="8" t="s">
        <v>657</v>
      </c>
      <c r="F230" s="8" t="s">
        <v>17</v>
      </c>
      <c r="G230" s="8" t="s">
        <v>2</v>
      </c>
      <c r="H230" s="8" t="s">
        <v>2</v>
      </c>
      <c r="I230" s="8" t="s">
        <v>2</v>
      </c>
      <c r="J230" s="8" t="s">
        <v>658</v>
      </c>
    </row>
    <row r="231" spans="1:10" x14ac:dyDescent="0.25" outlineLevel="4" collapsed="1">
      <c r="A231" s="7" t="s">
        <v>15</v>
      </c>
      <c r="B231" s="7" t="s">
        <v>44</v>
      </c>
      <c r="C231" s="10" t="s">
        <v>659</v>
      </c>
      <c r="D231" s="7"/>
      <c r="E231" s="7" t="s">
        <v>660</v>
      </c>
      <c r="F231" s="7" t="s">
        <v>17</v>
      </c>
      <c r="G231" s="7" t="s">
        <v>251</v>
      </c>
      <c r="H231" s="7" t="s">
        <v>2</v>
      </c>
      <c r="I231" s="7" t="s">
        <v>2</v>
      </c>
      <c r="J231" s="7" t="s">
        <v>530</v>
      </c>
    </row>
    <row r="232" spans="1:10" x14ac:dyDescent="0.25" outlineLevel="4" collapsed="1">
      <c r="A232" s="8" t="s">
        <v>15</v>
      </c>
      <c r="B232" s="9" t="s">
        <v>661</v>
      </c>
      <c r="C232" s="8" t="s">
        <v>2</v>
      </c>
      <c r="D232" s="8"/>
      <c r="E232" s="8" t="s">
        <v>662</v>
      </c>
      <c r="F232" s="8" t="s">
        <v>15</v>
      </c>
      <c r="G232" s="8" t="s">
        <v>2</v>
      </c>
      <c r="H232" s="8" t="s">
        <v>2</v>
      </c>
      <c r="I232" s="8" t="s">
        <v>2</v>
      </c>
      <c r="J232" s="8" t="s">
        <v>663</v>
      </c>
    </row>
    <row r="233" spans="1:10" x14ac:dyDescent="0.25" outlineLevel="5" collapsed="1">
      <c r="A233" s="7" t="s">
        <v>15</v>
      </c>
      <c r="B233" s="7" t="s">
        <v>20</v>
      </c>
      <c r="C233" s="7" t="s">
        <v>2</v>
      </c>
      <c r="D233" s="7"/>
      <c r="E233" s="7" t="s">
        <v>664</v>
      </c>
      <c r="F233" s="7" t="s">
        <v>17</v>
      </c>
      <c r="G233" s="7" t="s">
        <v>22</v>
      </c>
      <c r="H233" s="7" t="s">
        <v>2</v>
      </c>
      <c r="I233" s="7" t="s">
        <v>2</v>
      </c>
      <c r="J233" s="7" t="s">
        <v>665</v>
      </c>
    </row>
    <row r="234" spans="1:10" x14ac:dyDescent="0.25" outlineLevel="5" collapsed="1">
      <c r="A234" s="7" t="s">
        <v>15</v>
      </c>
      <c r="B234" s="7" t="s">
        <v>53</v>
      </c>
      <c r="C234" s="7" t="s">
        <v>2</v>
      </c>
      <c r="D234" s="7"/>
      <c r="E234" s="7" t="s">
        <v>666</v>
      </c>
      <c r="F234" s="7" t="s">
        <v>17</v>
      </c>
      <c r="G234" s="7">
        <v>1</v>
      </c>
      <c r="H234" s="7" t="s">
        <v>2</v>
      </c>
      <c r="I234" s="7" t="s">
        <v>2</v>
      </c>
      <c r="J234" s="7" t="s">
        <v>667</v>
      </c>
    </row>
    <row r="235" spans="1:10" x14ac:dyDescent="0.25" outlineLevel="5" collapsed="1">
      <c r="A235" s="7" t="s">
        <v>15</v>
      </c>
      <c r="B235" s="7" t="s">
        <v>194</v>
      </c>
      <c r="C235" s="7" t="s">
        <v>2</v>
      </c>
      <c r="D235" s="7"/>
      <c r="E235" s="7" t="s">
        <v>668</v>
      </c>
      <c r="F235" s="7" t="s">
        <v>17</v>
      </c>
      <c r="G235" s="7">
        <v>1</v>
      </c>
      <c r="H235" s="7" t="s">
        <v>2</v>
      </c>
      <c r="I235" s="7" t="s">
        <v>2</v>
      </c>
      <c r="J235" s="7" t="s">
        <v>669</v>
      </c>
    </row>
    <row r="236" spans="1:10" x14ac:dyDescent="0.25" outlineLevel="4" collapsed="1">
      <c r="A236" s="7" t="s">
        <v>17</v>
      </c>
      <c r="B236" s="7" t="s">
        <v>20</v>
      </c>
      <c r="C236" s="7" t="s">
        <v>2</v>
      </c>
      <c r="D236" s="7"/>
      <c r="E236" s="7" t="s">
        <v>519</v>
      </c>
      <c r="F236" s="7" t="s">
        <v>17</v>
      </c>
      <c r="G236" s="7" t="s">
        <v>22</v>
      </c>
      <c r="H236" s="7" t="s">
        <v>2</v>
      </c>
      <c r="I236" s="7" t="s">
        <v>2</v>
      </c>
      <c r="J236" s="7" t="s">
        <v>520</v>
      </c>
    </row>
    <row r="237" spans="1:10" x14ac:dyDescent="0.25" outlineLevel="4" collapsed="1">
      <c r="A237" s="7" t="s">
        <v>15</v>
      </c>
      <c r="B237" s="7" t="s">
        <v>125</v>
      </c>
      <c r="C237" s="7" t="s">
        <v>2</v>
      </c>
      <c r="D237" s="7"/>
      <c r="E237" s="7" t="s">
        <v>555</v>
      </c>
      <c r="F237" s="7" t="s">
        <v>17</v>
      </c>
      <c r="G237" s="7" t="s">
        <v>670</v>
      </c>
      <c r="H237" s="7" t="s">
        <v>2</v>
      </c>
      <c r="I237" s="7" t="s">
        <v>2</v>
      </c>
      <c r="J237" s="7" t="s">
        <v>579</v>
      </c>
    </row>
    <row r="238" spans="1:10" x14ac:dyDescent="0.25" outlineLevel="4" collapsed="1">
      <c r="A238" s="7" t="s">
        <v>17</v>
      </c>
      <c r="B238" s="7" t="s">
        <v>53</v>
      </c>
      <c r="C238" s="7" t="s">
        <v>2</v>
      </c>
      <c r="D238" s="7" t="s">
        <v>506</v>
      </c>
      <c r="E238" s="7" t="s">
        <v>671</v>
      </c>
      <c r="F238" s="7" t="s">
        <v>17</v>
      </c>
      <c r="G238" s="7">
        <v>1</v>
      </c>
      <c r="H238" s="7" t="s">
        <v>2</v>
      </c>
      <c r="I238" s="7" t="s">
        <v>2</v>
      </c>
      <c r="J238" s="7" t="s">
        <v>672</v>
      </c>
    </row>
    <row r="239" spans="1:10" x14ac:dyDescent="0.25" outlineLevel="3" collapsed="1">
      <c r="A239" s="8" t="s">
        <v>15</v>
      </c>
      <c r="B239" s="9" t="s">
        <v>673</v>
      </c>
      <c r="C239" s="8" t="s">
        <v>2</v>
      </c>
      <c r="D239" s="8"/>
      <c r="E239" s="8" t="s">
        <v>673</v>
      </c>
      <c r="F239" s="8" t="s">
        <v>17</v>
      </c>
      <c r="G239" s="8" t="s">
        <v>2</v>
      </c>
      <c r="H239" s="8" t="s">
        <v>2</v>
      </c>
      <c r="I239" s="8" t="s">
        <v>2</v>
      </c>
      <c r="J239" s="8" t="s">
        <v>674</v>
      </c>
    </row>
    <row r="240" spans="1:10" x14ac:dyDescent="0.25" outlineLevel="4" collapsed="1">
      <c r="A240" s="7" t="s">
        <v>15</v>
      </c>
      <c r="B240" s="7" t="s">
        <v>44</v>
      </c>
      <c r="C240" s="10" t="s">
        <v>675</v>
      </c>
      <c r="D240" s="7"/>
      <c r="E240" s="7" t="s">
        <v>676</v>
      </c>
      <c r="F240" s="7" t="s">
        <v>17</v>
      </c>
      <c r="G240" s="7" t="s">
        <v>677</v>
      </c>
      <c r="H240" s="7" t="s">
        <v>2</v>
      </c>
      <c r="I240" s="7" t="s">
        <v>2</v>
      </c>
      <c r="J240" s="7" t="s">
        <v>678</v>
      </c>
    </row>
    <row r="241" spans="1:10" x14ac:dyDescent="0.25" outlineLevel="4" collapsed="1">
      <c r="A241" s="8" t="s">
        <v>17</v>
      </c>
      <c r="B241" s="9" t="s">
        <v>679</v>
      </c>
      <c r="C241" s="8" t="s">
        <v>2</v>
      </c>
      <c r="D241" s="8">
        <f>EXACT(G240,"Option 1 - Default 2% deduction")</f>
      </c>
      <c r="E241" s="8" t="s">
        <v>680</v>
      </c>
      <c r="F241" s="8" t="s">
        <v>17</v>
      </c>
      <c r="G241" s="8" t="s">
        <v>2</v>
      </c>
      <c r="H241" s="8" t="s">
        <v>2</v>
      </c>
      <c r="I241" s="8" t="s">
        <v>2</v>
      </c>
      <c r="J241" s="8" t="s">
        <v>681</v>
      </c>
    </row>
    <row r="242" spans="1:10" x14ac:dyDescent="0.25" outlineLevel="5" collapsed="1">
      <c r="A242" s="7" t="s">
        <v>17</v>
      </c>
      <c r="B242" s="7" t="s">
        <v>53</v>
      </c>
      <c r="C242" s="7" t="s">
        <v>2</v>
      </c>
      <c r="D242" s="7" t="s">
        <v>506</v>
      </c>
      <c r="E242" s="7" t="s">
        <v>682</v>
      </c>
      <c r="F242" s="7" t="s">
        <v>17</v>
      </c>
      <c r="G242" s="7">
        <v>1</v>
      </c>
      <c r="H242" s="7" t="s">
        <v>2</v>
      </c>
      <c r="I242" s="7" t="s">
        <v>2</v>
      </c>
      <c r="J242" s="7" t="s">
        <v>683</v>
      </c>
    </row>
    <row r="243" spans="1:10" x14ac:dyDescent="0.25" outlineLevel="5" collapsed="1">
      <c r="A243" s="7" t="s">
        <v>17</v>
      </c>
      <c r="B243" s="7" t="s">
        <v>20</v>
      </c>
      <c r="C243" s="7" t="s">
        <v>2</v>
      </c>
      <c r="D243" s="7"/>
      <c r="E243" s="7" t="s">
        <v>519</v>
      </c>
      <c r="F243" s="7" t="s">
        <v>17</v>
      </c>
      <c r="G243" s="7" t="s">
        <v>22</v>
      </c>
      <c r="H243" s="7" t="s">
        <v>2</v>
      </c>
      <c r="I243" s="7" t="s">
        <v>2</v>
      </c>
      <c r="J243" s="7" t="s">
        <v>684</v>
      </c>
    </row>
    <row r="244" spans="1:10" x14ac:dyDescent="0.25" outlineLevel="4" collapsed="1">
      <c r="A244" s="8" t="s">
        <v>17</v>
      </c>
      <c r="B244" s="9" t="s">
        <v>685</v>
      </c>
      <c r="C244" s="8" t="s">
        <v>2</v>
      </c>
      <c r="D244" s="8">
        <f>EXACT(G240,"Option 3 - Detailed assessment")</f>
      </c>
      <c r="E244" s="8" t="s">
        <v>680</v>
      </c>
      <c r="F244" s="8" t="s">
        <v>17</v>
      </c>
      <c r="G244" s="8" t="s">
        <v>2</v>
      </c>
      <c r="H244" s="8" t="s">
        <v>2</v>
      </c>
      <c r="I244" s="8" t="s">
        <v>2</v>
      </c>
      <c r="J244" s="8" t="s">
        <v>686</v>
      </c>
    </row>
    <row r="245" spans="1:10" x14ac:dyDescent="0.25" outlineLevel="5" collapsed="1">
      <c r="A245" s="8" t="s">
        <v>15</v>
      </c>
      <c r="B245" s="9" t="s">
        <v>687</v>
      </c>
      <c r="C245" s="8" t="s">
        <v>2</v>
      </c>
      <c r="D245" s="8"/>
      <c r="E245" s="8" t="s">
        <v>688</v>
      </c>
      <c r="F245" s="8" t="s">
        <v>15</v>
      </c>
      <c r="G245" s="8" t="s">
        <v>2</v>
      </c>
      <c r="H245" s="8" t="s">
        <v>2</v>
      </c>
      <c r="I245" s="8" t="s">
        <v>2</v>
      </c>
      <c r="J245" s="8" t="s">
        <v>689</v>
      </c>
    </row>
    <row r="246" spans="1:10" x14ac:dyDescent="0.25" outlineLevel="6" collapsed="1">
      <c r="A246" s="7" t="s">
        <v>15</v>
      </c>
      <c r="B246" s="7" t="s">
        <v>20</v>
      </c>
      <c r="C246" s="7" t="s">
        <v>2</v>
      </c>
      <c r="D246" s="7"/>
      <c r="E246" s="7" t="s">
        <v>690</v>
      </c>
      <c r="F246" s="7" t="s">
        <v>17</v>
      </c>
      <c r="G246" s="7" t="s">
        <v>22</v>
      </c>
      <c r="H246" s="7" t="s">
        <v>2</v>
      </c>
      <c r="I246" s="7" t="s">
        <v>2</v>
      </c>
      <c r="J246" s="7" t="s">
        <v>691</v>
      </c>
    </row>
    <row r="247" spans="1:10" x14ac:dyDescent="0.25" outlineLevel="6" collapsed="1">
      <c r="A247" s="7" t="s">
        <v>15</v>
      </c>
      <c r="B247" s="7" t="s">
        <v>20</v>
      </c>
      <c r="C247" s="7" t="s">
        <v>2</v>
      </c>
      <c r="D247" s="7"/>
      <c r="E247" s="7" t="s">
        <v>692</v>
      </c>
      <c r="F247" s="7" t="s">
        <v>17</v>
      </c>
      <c r="G247" s="7" t="s">
        <v>22</v>
      </c>
      <c r="H247" s="7" t="s">
        <v>2</v>
      </c>
      <c r="I247" s="7" t="s">
        <v>2</v>
      </c>
      <c r="J247" s="7" t="s">
        <v>693</v>
      </c>
    </row>
    <row r="248" spans="1:10" x14ac:dyDescent="0.25" outlineLevel="6" collapsed="1">
      <c r="A248" s="7" t="s">
        <v>15</v>
      </c>
      <c r="B248" s="7" t="s">
        <v>125</v>
      </c>
      <c r="C248" s="7" t="s">
        <v>2</v>
      </c>
      <c r="D248" s="7"/>
      <c r="E248" s="7" t="s">
        <v>694</v>
      </c>
      <c r="F248" s="7" t="s">
        <v>17</v>
      </c>
      <c r="G248" s="7" t="s">
        <v>695</v>
      </c>
      <c r="H248" s="7" t="s">
        <v>2</v>
      </c>
      <c r="I248" s="7" t="s">
        <v>2</v>
      </c>
      <c r="J248" s="7" t="s">
        <v>696</v>
      </c>
    </row>
    <row r="249" spans="1:10" x14ac:dyDescent="0.25" outlineLevel="6" collapsed="1">
      <c r="A249" s="7" t="s">
        <v>15</v>
      </c>
      <c r="B249" s="7" t="s">
        <v>47</v>
      </c>
      <c r="C249" s="7" t="s">
        <v>2</v>
      </c>
      <c r="D249" s="7"/>
      <c r="E249" s="7" t="s">
        <v>697</v>
      </c>
      <c r="F249" s="7" t="s">
        <v>17</v>
      </c>
      <c r="G249" s="7" t="b">
        <v>1</v>
      </c>
      <c r="H249" s="7" t="s">
        <v>2</v>
      </c>
      <c r="I249" s="7" t="s">
        <v>2</v>
      </c>
      <c r="J249" s="7" t="s">
        <v>698</v>
      </c>
    </row>
    <row r="250" spans="1:10" x14ac:dyDescent="0.25" outlineLevel="6" collapsed="1">
      <c r="A250" s="7" t="s">
        <v>17</v>
      </c>
      <c r="B250" s="7" t="s">
        <v>20</v>
      </c>
      <c r="C250" s="7" t="s">
        <v>2</v>
      </c>
      <c r="D250" s="7">
        <f>EXACT(G249,true)</f>
      </c>
      <c r="E250" s="7" t="s">
        <v>699</v>
      </c>
      <c r="F250" s="7" t="s">
        <v>17</v>
      </c>
      <c r="G250" s="7" t="s">
        <v>22</v>
      </c>
      <c r="H250" s="7" t="s">
        <v>2</v>
      </c>
      <c r="I250" s="7" t="s">
        <v>2</v>
      </c>
      <c r="J250" s="7" t="s">
        <v>700</v>
      </c>
    </row>
    <row r="251" spans="1:10" x14ac:dyDescent="0.25" outlineLevel="6" collapsed="1">
      <c r="A251" s="7" t="s">
        <v>17</v>
      </c>
      <c r="B251" s="7" t="s">
        <v>53</v>
      </c>
      <c r="C251" s="7" t="s">
        <v>2</v>
      </c>
      <c r="D251" s="7">
        <f>EXACT(G249,false)</f>
      </c>
      <c r="E251" s="7" t="s">
        <v>655</v>
      </c>
      <c r="F251" s="7" t="s">
        <v>17</v>
      </c>
      <c r="G251" s="7">
        <v>1</v>
      </c>
      <c r="H251" s="7" t="s">
        <v>2</v>
      </c>
      <c r="I251" s="7" t="s">
        <v>2</v>
      </c>
      <c r="J251" s="7" t="s">
        <v>656</v>
      </c>
    </row>
    <row r="252" spans="1:10" x14ac:dyDescent="0.25" outlineLevel="5" collapsed="1">
      <c r="A252" s="7" t="s">
        <v>17</v>
      </c>
      <c r="B252" s="7" t="s">
        <v>53</v>
      </c>
      <c r="C252" s="7" t="s">
        <v>2</v>
      </c>
      <c r="D252" s="7" t="s">
        <v>506</v>
      </c>
      <c r="E252" s="7" t="s">
        <v>701</v>
      </c>
      <c r="F252" s="7" t="s">
        <v>17</v>
      </c>
      <c r="G252" s="7">
        <v>1</v>
      </c>
      <c r="H252" s="7" t="s">
        <v>2</v>
      </c>
      <c r="I252" s="7" t="s">
        <v>2</v>
      </c>
      <c r="J252" s="7" t="s">
        <v>683</v>
      </c>
    </row>
    <row r="253" spans="1:10" x14ac:dyDescent="0.25" outlineLevel="3" collapsed="1">
      <c r="A253" s="7" t="s">
        <v>17</v>
      </c>
      <c r="B253" s="7" t="s">
        <v>53</v>
      </c>
      <c r="C253" s="7" t="s">
        <v>2</v>
      </c>
      <c r="D253" s="7" t="s">
        <v>506</v>
      </c>
      <c r="E253" s="7" t="s">
        <v>702</v>
      </c>
      <c r="F253" s="7" t="s">
        <v>17</v>
      </c>
      <c r="G253" s="7">
        <v>1</v>
      </c>
      <c r="H253" s="7" t="s">
        <v>2</v>
      </c>
      <c r="I253" s="7" t="s">
        <v>2</v>
      </c>
      <c r="J253" s="7" t="s">
        <v>656</v>
      </c>
    </row>
    <row r="254" spans="1:10" x14ac:dyDescent="0.25" outlineLevel="1" collapsed="1">
      <c r="A254" s="7" t="s">
        <v>17</v>
      </c>
      <c r="B254" s="7" t="s">
        <v>53</v>
      </c>
      <c r="C254" s="7" t="s">
        <v>2</v>
      </c>
      <c r="D254" s="7" t="s">
        <v>506</v>
      </c>
      <c r="E254" s="7" t="s">
        <v>703</v>
      </c>
      <c r="F254" s="7" t="s">
        <v>17</v>
      </c>
      <c r="G254" s="7">
        <v>1</v>
      </c>
      <c r="H254" s="7" t="s">
        <v>2</v>
      </c>
      <c r="I254" s="7" t="s">
        <v>2</v>
      </c>
      <c r="J254" s="7" t="s">
        <v>704</v>
      </c>
    </row>
    <row r="255" spans="1:10" x14ac:dyDescent="0.25" outlineLevel="1" collapsed="1">
      <c r="A255" s="7" t="s">
        <v>17</v>
      </c>
      <c r="B255" s="7" t="s">
        <v>53</v>
      </c>
      <c r="C255" s="7" t="s">
        <v>2</v>
      </c>
      <c r="D255" s="7" t="s">
        <v>506</v>
      </c>
      <c r="E255" s="7" t="s">
        <v>705</v>
      </c>
      <c r="F255" s="7" t="s">
        <v>17</v>
      </c>
      <c r="G255" s="7">
        <v>1</v>
      </c>
      <c r="H255" s="7" t="s">
        <v>2</v>
      </c>
      <c r="I255" s="7" t="s">
        <v>2</v>
      </c>
      <c r="J255" s="7" t="s">
        <v>706</v>
      </c>
    </row>
    <row r="256" spans="1:10" x14ac:dyDescent="0.25" outlineLevel="1" collapsed="1">
      <c r="A256" s="7" t="s">
        <v>17</v>
      </c>
      <c r="B256" s="7" t="s">
        <v>53</v>
      </c>
      <c r="C256" s="7" t="s">
        <v>2</v>
      </c>
      <c r="D256" s="7" t="s">
        <v>506</v>
      </c>
      <c r="E256" s="7" t="s">
        <v>707</v>
      </c>
      <c r="F256" s="7" t="s">
        <v>17</v>
      </c>
      <c r="G256" s="7">
        <v>1</v>
      </c>
      <c r="H256" s="7" t="s">
        <v>2</v>
      </c>
      <c r="I256" s="7" t="s">
        <v>2</v>
      </c>
      <c r="J256" s="7" t="s">
        <v>708</v>
      </c>
    </row>
    <row r="257" spans="1:10" x14ac:dyDescent="0.25" outlineLevel="1" collapsed="1">
      <c r="A257" s="7" t="s">
        <v>17</v>
      </c>
      <c r="B257" s="7" t="s">
        <v>53</v>
      </c>
      <c r="C257" s="7" t="s">
        <v>2</v>
      </c>
      <c r="D257" s="7" t="s">
        <v>506</v>
      </c>
      <c r="E257" s="7" t="s">
        <v>709</v>
      </c>
      <c r="F257" s="7" t="s">
        <v>17</v>
      </c>
      <c r="G257" s="7">
        <v>1</v>
      </c>
      <c r="H257" s="7" t="s">
        <v>2</v>
      </c>
      <c r="I257" s="7" t="s">
        <v>2</v>
      </c>
      <c r="J257" s="7" t="s">
        <v>710</v>
      </c>
    </row>
    <row r="258" spans="1:10" x14ac:dyDescent="0.25">
      <c r="A258" s="5" t="s">
        <v>15</v>
      </c>
      <c r="B258" s="6" t="s">
        <v>711</v>
      </c>
      <c r="C258" s="5" t="s">
        <v>2</v>
      </c>
      <c r="D258" s="5"/>
      <c r="E258" s="5" t="s">
        <v>712</v>
      </c>
      <c r="F258" s="5" t="s">
        <v>17</v>
      </c>
      <c r="G258" s="5" t="s">
        <v>713</v>
      </c>
      <c r="H258" s="5" t="s">
        <v>2</v>
      </c>
      <c r="I258" s="5" t="s">
        <v>2</v>
      </c>
      <c r="J258" s="5" t="s">
        <v>714</v>
      </c>
    </row>
    <row r="259" spans="1:10" x14ac:dyDescent="0.25" outlineLevel="1" collapsed="1">
      <c r="A259" s="7" t="s">
        <v>15</v>
      </c>
      <c r="B259" s="7" t="s">
        <v>125</v>
      </c>
      <c r="C259" s="7" t="s">
        <v>2</v>
      </c>
      <c r="D259" s="7"/>
      <c r="E259" s="7" t="s">
        <v>715</v>
      </c>
      <c r="F259" s="7" t="s">
        <v>17</v>
      </c>
      <c r="G259" s="7" t="s">
        <v>716</v>
      </c>
      <c r="H259" s="7" t="s">
        <v>2</v>
      </c>
      <c r="I259" s="7" t="s">
        <v>2</v>
      </c>
      <c r="J259" s="7" t="s">
        <v>717</v>
      </c>
    </row>
    <row r="260" spans="1:10" x14ac:dyDescent="0.25" outlineLevel="1" collapsed="1">
      <c r="A260" s="8" t="s">
        <v>17</v>
      </c>
      <c r="B260" s="9" t="s">
        <v>712</v>
      </c>
      <c r="C260" s="8" t="s">
        <v>2</v>
      </c>
      <c r="D260" s="8"/>
      <c r="E260" s="8" t="s">
        <v>718</v>
      </c>
      <c r="F260" s="8" t="s">
        <v>15</v>
      </c>
      <c r="G260" s="8" t="s">
        <v>2</v>
      </c>
      <c r="H260" s="8" t="s">
        <v>2</v>
      </c>
      <c r="I260" s="8" t="s">
        <v>2</v>
      </c>
      <c r="J260" s="8" t="s">
        <v>719</v>
      </c>
    </row>
    <row r="261" spans="1:10" x14ac:dyDescent="0.25" outlineLevel="2" collapsed="1">
      <c r="A261" s="7" t="s">
        <v>15</v>
      </c>
      <c r="B261" s="7" t="s">
        <v>44</v>
      </c>
      <c r="C261" s="10" t="s">
        <v>720</v>
      </c>
      <c r="D261" s="7"/>
      <c r="E261" s="7" t="s">
        <v>721</v>
      </c>
      <c r="F261" s="7" t="s">
        <v>17</v>
      </c>
      <c r="G261" s="7" t="s">
        <v>722</v>
      </c>
      <c r="H261" s="7" t="s">
        <v>2</v>
      </c>
      <c r="I261" s="7" t="s">
        <v>2</v>
      </c>
      <c r="J261" s="7" t="s">
        <v>723</v>
      </c>
    </row>
    <row r="262" spans="1:10" x14ac:dyDescent="0.25" outlineLevel="2" collapsed="1">
      <c r="A262" s="7" t="s">
        <v>15</v>
      </c>
      <c r="B262" s="7" t="s">
        <v>125</v>
      </c>
      <c r="C262" s="7" t="s">
        <v>2</v>
      </c>
      <c r="D262" s="7"/>
      <c r="E262" s="7" t="s">
        <v>724</v>
      </c>
      <c r="F262" s="7" t="s">
        <v>17</v>
      </c>
      <c r="G262" s="7" t="s">
        <v>725</v>
      </c>
      <c r="H262" s="7" t="s">
        <v>2</v>
      </c>
      <c r="I262" s="7" t="s">
        <v>2</v>
      </c>
      <c r="J262" s="7" t="s">
        <v>726</v>
      </c>
    </row>
    <row r="263" spans="1:10" x14ac:dyDescent="0.25">
      <c r="A263" s="5" t="s">
        <v>17</v>
      </c>
      <c r="B263" s="5" t="s">
        <v>20</v>
      </c>
      <c r="C263" s="5" t="s">
        <v>2</v>
      </c>
      <c r="D263" s="5"/>
      <c r="E263" s="5" t="s">
        <v>111</v>
      </c>
      <c r="F263" s="5" t="s">
        <v>17</v>
      </c>
      <c r="G263" s="5" t="s">
        <v>22</v>
      </c>
      <c r="H263" s="5" t="s">
        <v>2</v>
      </c>
      <c r="I263" s="5" t="s">
        <v>2</v>
      </c>
      <c r="J263" s="5" t="s">
        <v>112</v>
      </c>
    </row>
  </sheetData>
  <mergeCells count="3">
    <mergeCell ref="A1:J1"/>
    <mergeCell ref="B2:J2"/>
    <mergeCell ref="B3:J3"/>
  </mergeCells>
  <dataValidations count="12">
    <dataValidation type="list" allowBlank="1" sqref="G103:I103">
      <formula1>'Enums'!C1840:C1841</formula1>
    </dataValidation>
    <dataValidation type="list" allowBlank="1" sqref="G150:I150">
      <formula1>'Enums'!C2751:C2752</formula1>
    </dataValidation>
    <dataValidation type="list" allowBlank="1" sqref="G198:I198">
      <formula1>'Enums'!C2753:C2754</formula1>
    </dataValidation>
    <dataValidation type="list" allowBlank="1" sqref="G231:I231">
      <formula1>'Enums'!C2759:C2760</formula1>
    </dataValidation>
    <dataValidation type="list" allowBlank="1" sqref="G240:I240">
      <formula1>'Enums'!C2761:C2762</formula1>
    </dataValidation>
    <dataValidation type="list" allowBlank="1" sqref="G261:I261">
      <formula1>'Enums'!C2763:C2778</formula1>
    </dataValidation>
    <dataValidation type="list" allowBlank="1" sqref="G29:I29">
      <formula1>'Enums'!C2734:C2735</formula1>
    </dataValidation>
    <dataValidation type="list" allowBlank="1" sqref="G31:I31">
      <formula1>'Enums'!C2736:C2742</formula1>
    </dataValidation>
    <dataValidation type="list" allowBlank="1" sqref="G34:I34">
      <formula1>'Enums'!C2743:C2746</formula1>
    </dataValidation>
    <dataValidation type="list" allowBlank="1" sqref="G37:I37">
      <formula1>'Enums'!C1811:C1812</formula1>
    </dataValidation>
    <dataValidation type="list" allowBlank="1" sqref="G69:I69">
      <formula1>'Enums'!C2422:C2674</formula1>
    </dataValidation>
    <dataValidation type="list" allowBlank="1" sqref="G73:I73">
      <formula1>'Enums'!C2675:C2676</formula1>
    </dataValidation>
  </dataValidations>
  <hyperlinks>
    <hyperlink ref="B6" r:id="rId1" location="#'Project Details - Project Name'!A1"/>
    <hyperlink ref="B8" r:id="rId2" location="#'Monitoring report Basic Inform'!A1"/>
    <hyperlink ref="B11" r:id="rId3" location="#'Duration'!A1"/>
    <hyperlink ref="B18" r:id="rId4" location="#'Activity Developer Details 2'!A1"/>
    <hyperlink ref="B27" r:id="rId5" location="#'Water Treatment Technology'!A1"/>
    <hyperlink ref="B28" r:id="rId6" location="#'Treatment Technology Sub-ty 3'!A1"/>
    <hyperlink ref="B30" r:id="rId7" location="#'Treatment Technology Sub-type'!A1"/>
    <hyperlink ref="B33" r:id="rId8" location="#'Treatment Technology Sub-ty 2'!A1"/>
    <hyperlink ref="B51" r:id="rId9" location="#'If the Project Installation is'!A1"/>
    <hyperlink ref="B67" r:id="rId10" location="#'Project Location Details 2'!A1"/>
    <hyperlink ref="B68" r:id="rId11" location="#'Country 2'!A1"/>
    <hyperlink ref="B77" r:id="rId12" location="#'Project Participants'!A1"/>
    <hyperlink ref="B81" r:id="rId13" location="#'Duration'!A1"/>
    <hyperlink ref="B84" r:id="rId14" location="#'Implementation of Project Acti'!A1"/>
    <hyperlink ref="B89" r:id="rId15" location="#'Description of Monitoring S 2'!A1"/>
    <hyperlink ref="B92" r:id="rId16" location="#'Description of Monitoring S 6'!A1"/>
    <hyperlink ref="B104" r:id="rId17" location="#'Description of Monitoring Syst'!A1"/>
    <hyperlink ref="B109" r:id="rId18" location="#'Description of Monitoring S 5'!A1"/>
    <hyperlink ref="B115" r:id="rId19" location="#'Description of Monitoring S 3'!A1"/>
    <hyperlink ref="B124" r:id="rId20" location="#'Description of Monitoring S 4'!A1"/>
    <hyperlink ref="B130" r:id="rId21" location="#'Calculation of Emission Reduct'!A1"/>
    <hyperlink ref="B135" r:id="rId22" location="#'Location Based Details'!A1"/>
    <hyperlink ref="B137" r:id="rId23" location="#'Stove Details Unit Schema'!A1"/>
    <hyperlink ref="B149" r:id="rId24" location="#'Unadjusted Quantity of Safe Dr'!A1"/>
    <hyperlink ref="B152" r:id="rId25" location="#'Unadjusted Quantity of Safe 2'!A1"/>
    <hyperlink ref="B155" r:id="rId26" location="#'Project Water Supply Premis 2'!A1"/>
    <hyperlink ref="B158" r:id="rId27" location="#'Project Water Supply Premis 3'!A1"/>
    <hyperlink ref="B169" r:id="rId28" location="#'Unadjusted Quantity of Safe 3'!A1"/>
    <hyperlink ref="B170" r:id="rId29" location="#'Project Water Supply Premises'!A1"/>
    <hyperlink ref="B173" r:id="rId30" location="#'Project Water Supply Premis 4'!A1"/>
    <hyperlink ref="B186" r:id="rId31" location="#'Unadjusted Baseline Emission'!A1"/>
    <hyperlink ref="B191" r:id="rId32" location="#'Adjustment for behavior and Co'!A1"/>
    <hyperlink ref="B199" r:id="rId33" location="#'Adjusted quantity of safe drin'!A1"/>
    <hyperlink ref="B201" r:id="rId34" location="#'Adjusted quantity of safe d 2'!A1"/>
    <hyperlink ref="B207" r:id="rId35" location="#'Adjustment for ambition'!A1"/>
    <hyperlink ref="B213" r:id="rId36" location="#'Activity Emission'!A1"/>
    <hyperlink ref="B214" r:id="rId37" location="#'Emission by fuel'!A1"/>
    <hyperlink ref="B220" r:id="rId38" location="#'Emission by Electricity'!A1"/>
    <hyperlink ref="B229" r:id="rId39" location="#'Leakage Emission Calculation'!A1"/>
    <hyperlink ref="B230" r:id="rId40" location="#'Embodied Emissions'!A1"/>
    <hyperlink ref="B232" r:id="rId41" location="#'Deductions for Embodied Emissi'!A1"/>
    <hyperlink ref="B239" r:id="rId42" location="#'Market and Behavioral Leakage'!A1"/>
    <hyperlink ref="B241" r:id="rId43" location="#'Option 1 – Default 2% deductio'!A1"/>
    <hyperlink ref="B244" r:id="rId44" location="#'Option 3 - Detailed assessment'!A1"/>
    <hyperlink ref="B245" r:id="rId45" location="#'Leakage Emission Source Detail'!A1"/>
    <hyperlink ref="B258" r:id="rId46" location="#'SDG Co-Benefits - Wrapper'!A1"/>
    <hyperlink ref="B260" r:id="rId47" location="#'SDG Co-Benefi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6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727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17</v>
      </c>
      <c r="B5" s="5" t="s">
        <v>20</v>
      </c>
      <c r="C5" s="5" t="s">
        <v>2</v>
      </c>
      <c r="D5" s="5"/>
      <c r="E5" s="5" t="s">
        <v>182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183</v>
      </c>
    </row>
    <row r="6" spans="1:10" x14ac:dyDescent="0.25">
      <c r="A6" s="5" t="s">
        <v>15</v>
      </c>
      <c r="B6" s="6" t="s">
        <v>185</v>
      </c>
      <c r="C6" s="5" t="s">
        <v>2</v>
      </c>
      <c r="D6" s="5"/>
      <c r="E6" s="5" t="s">
        <v>185</v>
      </c>
      <c r="F6" s="5" t="s">
        <v>17</v>
      </c>
      <c r="G6" s="5" t="s">
        <v>728</v>
      </c>
      <c r="H6" s="5" t="s">
        <v>2</v>
      </c>
      <c r="I6" s="5" t="s">
        <v>2</v>
      </c>
      <c r="J6" s="5" t="s">
        <v>19</v>
      </c>
    </row>
    <row r="7" spans="1:10" x14ac:dyDescent="0.25" outlineLevel="1" collapsed="1">
      <c r="A7" s="7" t="s">
        <v>15</v>
      </c>
      <c r="B7" s="7" t="s">
        <v>133</v>
      </c>
      <c r="C7" s="7" t="s">
        <v>187</v>
      </c>
      <c r="D7" s="7"/>
      <c r="E7" s="7" t="s">
        <v>21</v>
      </c>
      <c r="F7" s="7" t="s">
        <v>17</v>
      </c>
      <c r="G7" s="7" t="s">
        <v>729</v>
      </c>
      <c r="H7" s="7" t="s">
        <v>2</v>
      </c>
      <c r="I7" s="7" t="s">
        <v>2</v>
      </c>
      <c r="J7" s="7" t="s">
        <v>23</v>
      </c>
    </row>
    <row r="8" spans="1:10" x14ac:dyDescent="0.25" outlineLevel="1" collapsed="1">
      <c r="A8" s="7" t="s">
        <v>15</v>
      </c>
      <c r="B8" s="7" t="s">
        <v>133</v>
      </c>
      <c r="C8" s="7" t="s">
        <v>730</v>
      </c>
      <c r="D8" s="7"/>
      <c r="E8" s="7" t="s">
        <v>731</v>
      </c>
      <c r="F8" s="7" t="s">
        <v>17</v>
      </c>
      <c r="G8" s="7" t="s">
        <v>732</v>
      </c>
      <c r="H8" s="7" t="s">
        <v>2</v>
      </c>
      <c r="I8" s="7" t="s">
        <v>2</v>
      </c>
      <c r="J8" s="7" t="s">
        <v>733</v>
      </c>
    </row>
    <row r="9" spans="1:10" x14ac:dyDescent="0.25" outlineLevel="1" collapsed="1">
      <c r="A9" s="7" t="s">
        <v>15</v>
      </c>
      <c r="B9" s="7" t="s">
        <v>44</v>
      </c>
      <c r="C9" s="10" t="s">
        <v>734</v>
      </c>
      <c r="D9" s="7"/>
      <c r="E9" s="7" t="s">
        <v>735</v>
      </c>
      <c r="F9" s="7" t="s">
        <v>17</v>
      </c>
      <c r="G9" s="7" t="s">
        <v>736</v>
      </c>
      <c r="H9" s="7" t="s">
        <v>2</v>
      </c>
      <c r="I9" s="7" t="s">
        <v>2</v>
      </c>
      <c r="J9" s="7" t="s">
        <v>737</v>
      </c>
    </row>
    <row r="10" spans="1:10" x14ac:dyDescent="0.25" outlineLevel="1" collapsed="1">
      <c r="A10" s="7" t="s">
        <v>15</v>
      </c>
      <c r="B10" s="7" t="s">
        <v>26</v>
      </c>
      <c r="C10" s="7" t="s">
        <v>2</v>
      </c>
      <c r="D10" s="7"/>
      <c r="E10" s="7" t="s">
        <v>738</v>
      </c>
      <c r="F10" s="7" t="s">
        <v>17</v>
      </c>
      <c r="G10" s="7" t="s">
        <v>37</v>
      </c>
      <c r="H10" s="7" t="s">
        <v>2</v>
      </c>
      <c r="I10" s="7" t="s">
        <v>2</v>
      </c>
      <c r="J10" s="7" t="s">
        <v>739</v>
      </c>
    </row>
    <row r="11" spans="1:10" x14ac:dyDescent="0.25" outlineLevel="1" collapsed="1">
      <c r="A11" s="7" t="s">
        <v>15</v>
      </c>
      <c r="B11" s="7" t="s">
        <v>26</v>
      </c>
      <c r="C11" s="7" t="s">
        <v>2</v>
      </c>
      <c r="D11" s="7"/>
      <c r="E11" s="7" t="s">
        <v>740</v>
      </c>
      <c r="F11" s="7" t="s">
        <v>17</v>
      </c>
      <c r="G11" s="7" t="s">
        <v>37</v>
      </c>
      <c r="H11" s="7" t="s">
        <v>2</v>
      </c>
      <c r="I11" s="7" t="s">
        <v>2</v>
      </c>
      <c r="J11" s="7" t="s">
        <v>741</v>
      </c>
    </row>
    <row r="12" spans="1:10" x14ac:dyDescent="0.25" outlineLevel="1" collapsed="1">
      <c r="A12" s="7" t="s">
        <v>15</v>
      </c>
      <c r="B12" s="7" t="s">
        <v>44</v>
      </c>
      <c r="C12" s="10" t="s">
        <v>742</v>
      </c>
      <c r="D12" s="7"/>
      <c r="E12" s="7" t="s">
        <v>743</v>
      </c>
      <c r="F12" s="7" t="s">
        <v>17</v>
      </c>
      <c r="G12" s="7" t="s">
        <v>744</v>
      </c>
      <c r="H12" s="7" t="s">
        <v>2</v>
      </c>
      <c r="I12" s="7" t="s">
        <v>2</v>
      </c>
      <c r="J12" s="7" t="s">
        <v>745</v>
      </c>
    </row>
    <row r="13" spans="1:10" x14ac:dyDescent="0.25" outlineLevel="1" collapsed="1">
      <c r="A13" s="7" t="s">
        <v>15</v>
      </c>
      <c r="B13" s="7" t="s">
        <v>133</v>
      </c>
      <c r="C13" s="7" t="s">
        <v>730</v>
      </c>
      <c r="D13" s="7"/>
      <c r="E13" s="7" t="s">
        <v>746</v>
      </c>
      <c r="F13" s="7" t="s">
        <v>17</v>
      </c>
      <c r="G13" s="7" t="s">
        <v>747</v>
      </c>
      <c r="H13" s="7" t="s">
        <v>2</v>
      </c>
      <c r="I13" s="7" t="s">
        <v>2</v>
      </c>
      <c r="J13" s="7" t="s">
        <v>748</v>
      </c>
    </row>
    <row r="14" spans="1:10" x14ac:dyDescent="0.25" outlineLevel="1" collapsed="1">
      <c r="A14" s="7" t="s">
        <v>15</v>
      </c>
      <c r="B14" s="7" t="s">
        <v>44</v>
      </c>
      <c r="C14" s="10" t="s">
        <v>749</v>
      </c>
      <c r="D14" s="7"/>
      <c r="E14" s="7" t="s">
        <v>750</v>
      </c>
      <c r="F14" s="7" t="s">
        <v>17</v>
      </c>
      <c r="G14" s="7" t="s">
        <v>751</v>
      </c>
      <c r="H14" s="7" t="s">
        <v>2</v>
      </c>
      <c r="I14" s="7" t="s">
        <v>2</v>
      </c>
      <c r="J14" s="7" t="s">
        <v>752</v>
      </c>
    </row>
    <row r="15" spans="1:10" x14ac:dyDescent="0.25" outlineLevel="1" collapsed="1">
      <c r="A15" s="7" t="s">
        <v>15</v>
      </c>
      <c r="B15" s="7" t="s">
        <v>20</v>
      </c>
      <c r="C15" s="7" t="s">
        <v>2</v>
      </c>
      <c r="D15" s="7"/>
      <c r="E15" s="7" t="s">
        <v>753</v>
      </c>
      <c r="F15" s="7" t="s">
        <v>17</v>
      </c>
      <c r="G15" s="7" t="s">
        <v>22</v>
      </c>
      <c r="H15" s="7" t="s">
        <v>2</v>
      </c>
      <c r="I15" s="7" t="s">
        <v>2</v>
      </c>
      <c r="J15" s="7" t="s">
        <v>754</v>
      </c>
    </row>
    <row r="16" spans="1:10" x14ac:dyDescent="0.25" outlineLevel="1" collapsed="1">
      <c r="A16" s="7" t="s">
        <v>15</v>
      </c>
      <c r="B16" s="7" t="s">
        <v>133</v>
      </c>
      <c r="C16" s="7" t="s">
        <v>730</v>
      </c>
      <c r="D16" s="7"/>
      <c r="E16" s="7" t="s">
        <v>755</v>
      </c>
      <c r="F16" s="7" t="s">
        <v>17</v>
      </c>
      <c r="G16" s="7" t="s">
        <v>756</v>
      </c>
      <c r="H16" s="7" t="s">
        <v>2</v>
      </c>
      <c r="I16" s="7" t="s">
        <v>2</v>
      </c>
      <c r="J16" s="7" t="s">
        <v>717</v>
      </c>
    </row>
    <row r="17" spans="1:10" x14ac:dyDescent="0.25" outlineLevel="1" collapsed="1">
      <c r="A17" s="8" t="s">
        <v>17</v>
      </c>
      <c r="B17" s="9" t="s">
        <v>757</v>
      </c>
      <c r="C17" s="8" t="s">
        <v>2</v>
      </c>
      <c r="D17" s="8"/>
      <c r="E17" s="8" t="s">
        <v>758</v>
      </c>
      <c r="F17" s="8" t="s">
        <v>15</v>
      </c>
      <c r="G17" s="8" t="s">
        <v>2</v>
      </c>
      <c r="H17" s="8" t="s">
        <v>2</v>
      </c>
      <c r="I17" s="8" t="s">
        <v>2</v>
      </c>
      <c r="J17" s="8" t="s">
        <v>759</v>
      </c>
    </row>
    <row r="18" spans="1:10" x14ac:dyDescent="0.25" outlineLevel="2" collapsed="1">
      <c r="A18" s="7" t="s">
        <v>15</v>
      </c>
      <c r="B18" s="7" t="s">
        <v>44</v>
      </c>
      <c r="C18" s="10" t="s">
        <v>760</v>
      </c>
      <c r="D18" s="7"/>
      <c r="E18" s="7" t="s">
        <v>761</v>
      </c>
      <c r="F18" s="7" t="s">
        <v>17</v>
      </c>
      <c r="G18" s="7" t="s">
        <v>762</v>
      </c>
      <c r="H18" s="7" t="s">
        <v>2</v>
      </c>
      <c r="I18" s="7" t="s">
        <v>2</v>
      </c>
      <c r="J18" s="7" t="s">
        <v>763</v>
      </c>
    </row>
    <row r="19" spans="1:10" x14ac:dyDescent="0.25" outlineLevel="2" collapsed="1">
      <c r="A19" s="7" t="s">
        <v>15</v>
      </c>
      <c r="B19" s="7" t="s">
        <v>20</v>
      </c>
      <c r="C19" s="7" t="s">
        <v>2</v>
      </c>
      <c r="D19" s="7"/>
      <c r="E19" s="7" t="s">
        <v>764</v>
      </c>
      <c r="F19" s="7" t="s">
        <v>17</v>
      </c>
      <c r="G19" s="7" t="s">
        <v>22</v>
      </c>
      <c r="H19" s="7" t="s">
        <v>2</v>
      </c>
      <c r="I19" s="7" t="s">
        <v>2</v>
      </c>
      <c r="J19" s="7" t="s">
        <v>765</v>
      </c>
    </row>
    <row r="20" spans="1:10" x14ac:dyDescent="0.25" outlineLevel="1" collapsed="1">
      <c r="A20" s="7" t="s">
        <v>15</v>
      </c>
      <c r="B20" s="7" t="s">
        <v>20</v>
      </c>
      <c r="C20" s="7" t="s">
        <v>2</v>
      </c>
      <c r="D20" s="7"/>
      <c r="E20" s="7" t="s">
        <v>766</v>
      </c>
      <c r="F20" s="7" t="s">
        <v>17</v>
      </c>
      <c r="G20" s="7" t="s">
        <v>22</v>
      </c>
      <c r="H20" s="7" t="s">
        <v>2</v>
      </c>
      <c r="I20" s="7" t="s">
        <v>2</v>
      </c>
      <c r="J20" s="7" t="s">
        <v>767</v>
      </c>
    </row>
    <row r="21" spans="1:10" x14ac:dyDescent="0.25">
      <c r="A21" s="5" t="s">
        <v>15</v>
      </c>
      <c r="B21" s="6" t="s">
        <v>333</v>
      </c>
      <c r="C21" s="5" t="s">
        <v>2</v>
      </c>
      <c r="D21" s="5"/>
      <c r="E21" s="5" t="s">
        <v>333</v>
      </c>
      <c r="F21" s="5" t="s">
        <v>15</v>
      </c>
      <c r="G21" s="5" t="s">
        <v>768</v>
      </c>
      <c r="H21" s="5" t="s">
        <v>2</v>
      </c>
      <c r="I21" s="5" t="s">
        <v>2</v>
      </c>
      <c r="J21" s="5" t="s">
        <v>335</v>
      </c>
    </row>
    <row r="22" spans="1:10" x14ac:dyDescent="0.25" outlineLevel="1" collapsed="1">
      <c r="A22" s="8" t="s">
        <v>15</v>
      </c>
      <c r="B22" s="9" t="s">
        <v>337</v>
      </c>
      <c r="C22" s="8" t="s">
        <v>2</v>
      </c>
      <c r="D22" s="8"/>
      <c r="E22" s="8" t="s">
        <v>337</v>
      </c>
      <c r="F22" s="8" t="s">
        <v>17</v>
      </c>
      <c r="G22" s="8" t="s">
        <v>2</v>
      </c>
      <c r="H22" s="8" t="s">
        <v>2</v>
      </c>
      <c r="I22" s="8" t="s">
        <v>2</v>
      </c>
      <c r="J22" s="8" t="s">
        <v>338</v>
      </c>
    </row>
    <row r="23" spans="1:10" x14ac:dyDescent="0.25" outlineLevel="2" collapsed="1">
      <c r="A23" s="7" t="s">
        <v>15</v>
      </c>
      <c r="B23" s="7" t="s">
        <v>44</v>
      </c>
      <c r="C23" s="10" t="s">
        <v>769</v>
      </c>
      <c r="D23" s="7"/>
      <c r="E23" s="7" t="s">
        <v>337</v>
      </c>
      <c r="F23" s="7" t="s">
        <v>17</v>
      </c>
      <c r="G23" s="7" t="s">
        <v>340</v>
      </c>
      <c r="H23" s="7" t="s">
        <v>2</v>
      </c>
      <c r="I23" s="7" t="s">
        <v>2</v>
      </c>
      <c r="J23" s="7" t="s">
        <v>338</v>
      </c>
    </row>
    <row r="24" spans="1:10" x14ac:dyDescent="0.25" outlineLevel="1" collapsed="1">
      <c r="A24" s="7" t="s">
        <v>15</v>
      </c>
      <c r="B24" s="7" t="s">
        <v>133</v>
      </c>
      <c r="C24" s="7" t="s">
        <v>341</v>
      </c>
      <c r="D24" s="7"/>
      <c r="E24" s="7" t="s">
        <v>342</v>
      </c>
      <c r="F24" s="7" t="s">
        <v>17</v>
      </c>
      <c r="G24" s="7" t="s">
        <v>770</v>
      </c>
      <c r="H24" s="7" t="s">
        <v>2</v>
      </c>
      <c r="I24" s="7" t="s">
        <v>2</v>
      </c>
      <c r="J24" s="7" t="s">
        <v>344</v>
      </c>
    </row>
    <row r="25" spans="1:10" x14ac:dyDescent="0.25" outlineLevel="1" collapsed="1">
      <c r="A25" s="7" t="s">
        <v>15</v>
      </c>
      <c r="B25" s="7" t="s">
        <v>133</v>
      </c>
      <c r="C25" s="7" t="s">
        <v>268</v>
      </c>
      <c r="D25" s="7"/>
      <c r="E25" s="7" t="s">
        <v>345</v>
      </c>
      <c r="F25" s="7" t="s">
        <v>17</v>
      </c>
      <c r="G25" s="7" t="s">
        <v>771</v>
      </c>
      <c r="H25" s="7" t="s">
        <v>2</v>
      </c>
      <c r="I25" s="7" t="s">
        <v>2</v>
      </c>
      <c r="J25" s="7" t="s">
        <v>347</v>
      </c>
    </row>
    <row r="26" spans="1:10" x14ac:dyDescent="0.25" outlineLevel="1" collapsed="1">
      <c r="A26" s="7" t="s">
        <v>15</v>
      </c>
      <c r="B26" s="7" t="s">
        <v>133</v>
      </c>
      <c r="C26" s="7" t="s">
        <v>348</v>
      </c>
      <c r="D26" s="7"/>
      <c r="E26" s="7" t="s">
        <v>349</v>
      </c>
      <c r="F26" s="7" t="s">
        <v>17</v>
      </c>
      <c r="G26" s="7" t="s">
        <v>772</v>
      </c>
      <c r="H26" s="7" t="s">
        <v>2</v>
      </c>
      <c r="I26" s="7" t="s">
        <v>2</v>
      </c>
      <c r="J26" s="7" t="s">
        <v>351</v>
      </c>
    </row>
    <row r="27" spans="1:10" x14ac:dyDescent="0.25" outlineLevel="1" collapsed="1">
      <c r="A27" s="7" t="s">
        <v>15</v>
      </c>
      <c r="B27" s="7" t="s">
        <v>44</v>
      </c>
      <c r="C27" s="10" t="s">
        <v>773</v>
      </c>
      <c r="D27" s="7"/>
      <c r="E27" s="7" t="s">
        <v>353</v>
      </c>
      <c r="F27" s="7" t="s">
        <v>17</v>
      </c>
      <c r="G27" s="7" t="s">
        <v>354</v>
      </c>
      <c r="H27" s="7" t="s">
        <v>2</v>
      </c>
      <c r="I27" s="7" t="s">
        <v>2</v>
      </c>
      <c r="J27" s="7" t="s">
        <v>355</v>
      </c>
    </row>
    <row r="28" spans="1:10" x14ac:dyDescent="0.25" outlineLevel="1" collapsed="1">
      <c r="A28" s="7" t="s">
        <v>15</v>
      </c>
      <c r="B28" s="7" t="s">
        <v>356</v>
      </c>
      <c r="C28" s="7" t="s">
        <v>2</v>
      </c>
      <c r="D28" s="7"/>
      <c r="E28" s="7" t="s">
        <v>357</v>
      </c>
      <c r="F28" s="7" t="s">
        <v>17</v>
      </c>
      <c r="G28" s="7" t="s">
        <v>2</v>
      </c>
      <c r="H28" s="7" t="s">
        <v>2</v>
      </c>
      <c r="I28" s="7" t="s">
        <v>2</v>
      </c>
      <c r="J28" s="7" t="s">
        <v>335</v>
      </c>
    </row>
    <row r="29" spans="1:10" x14ac:dyDescent="0.25" outlineLevel="1" collapsed="1">
      <c r="A29" s="7" t="s">
        <v>15</v>
      </c>
      <c r="B29" s="7" t="s">
        <v>133</v>
      </c>
      <c r="C29" s="7" t="s">
        <v>358</v>
      </c>
      <c r="D29" s="7"/>
      <c r="E29" s="7" t="s">
        <v>359</v>
      </c>
      <c r="F29" s="7" t="s">
        <v>17</v>
      </c>
      <c r="G29" s="7" t="s">
        <v>774</v>
      </c>
      <c r="H29" s="7" t="s">
        <v>2</v>
      </c>
      <c r="I29" s="7" t="s">
        <v>2</v>
      </c>
      <c r="J29" s="7" t="s">
        <v>361</v>
      </c>
    </row>
    <row r="30" spans="1:10" x14ac:dyDescent="0.25" outlineLevel="1" collapsed="1">
      <c r="A30" s="7" t="s">
        <v>15</v>
      </c>
      <c r="B30" s="7" t="s">
        <v>133</v>
      </c>
      <c r="C30" s="7" t="s">
        <v>362</v>
      </c>
      <c r="D30" s="7"/>
      <c r="E30" s="7" t="s">
        <v>363</v>
      </c>
      <c r="F30" s="7" t="s">
        <v>17</v>
      </c>
      <c r="G30" s="7" t="s">
        <v>775</v>
      </c>
      <c r="H30" s="7" t="s">
        <v>2</v>
      </c>
      <c r="I30" s="7" t="s">
        <v>2</v>
      </c>
      <c r="J30" s="7" t="s">
        <v>365</v>
      </c>
    </row>
    <row r="31" spans="1:10" x14ac:dyDescent="0.25">
      <c r="A31" s="5" t="s">
        <v>15</v>
      </c>
      <c r="B31" s="6" t="s">
        <v>207</v>
      </c>
      <c r="C31" s="5" t="s">
        <v>2</v>
      </c>
      <c r="D31" s="5"/>
      <c r="E31" s="5" t="s">
        <v>207</v>
      </c>
      <c r="F31" s="5" t="s">
        <v>17</v>
      </c>
      <c r="G31" s="5" t="s">
        <v>776</v>
      </c>
      <c r="H31" s="5" t="s">
        <v>2</v>
      </c>
      <c r="I31" s="5" t="s">
        <v>2</v>
      </c>
      <c r="J31" s="5" t="s">
        <v>209</v>
      </c>
    </row>
    <row r="32" spans="1:10" x14ac:dyDescent="0.25" outlineLevel="1" collapsed="1">
      <c r="A32" s="7" t="s">
        <v>15</v>
      </c>
      <c r="B32" s="7" t="s">
        <v>20</v>
      </c>
      <c r="C32" s="7" t="s">
        <v>2</v>
      </c>
      <c r="D32" s="7"/>
      <c r="E32" s="7" t="s">
        <v>135</v>
      </c>
      <c r="F32" s="7" t="s">
        <v>17</v>
      </c>
      <c r="G32" s="7" t="s">
        <v>22</v>
      </c>
      <c r="H32" s="7" t="s">
        <v>2</v>
      </c>
      <c r="I32" s="7" t="s">
        <v>2</v>
      </c>
      <c r="J32" s="7" t="s">
        <v>210</v>
      </c>
    </row>
    <row r="33" spans="1:10" x14ac:dyDescent="0.25" outlineLevel="1" collapsed="1">
      <c r="A33" s="7" t="s">
        <v>15</v>
      </c>
      <c r="B33" s="7" t="s">
        <v>160</v>
      </c>
      <c r="C33" s="7" t="s">
        <v>2</v>
      </c>
      <c r="D33" s="7"/>
      <c r="E33" s="7" t="s">
        <v>211</v>
      </c>
      <c r="F33" s="7" t="s">
        <v>17</v>
      </c>
      <c r="G33" s="7" t="s">
        <v>162</v>
      </c>
      <c r="H33" s="7" t="s">
        <v>2</v>
      </c>
      <c r="I33" s="7" t="s">
        <v>2</v>
      </c>
      <c r="J33" s="7" t="s">
        <v>212</v>
      </c>
    </row>
    <row r="34" spans="1:10" x14ac:dyDescent="0.25" outlineLevel="1" collapsed="1">
      <c r="A34" s="7" t="s">
        <v>15</v>
      </c>
      <c r="B34" s="7" t="s">
        <v>20</v>
      </c>
      <c r="C34" s="7" t="s">
        <v>2</v>
      </c>
      <c r="D34" s="7"/>
      <c r="E34" s="7" t="s">
        <v>213</v>
      </c>
      <c r="F34" s="7" t="s">
        <v>17</v>
      </c>
      <c r="G34" s="7" t="s">
        <v>22</v>
      </c>
      <c r="H34" s="7" t="s">
        <v>2</v>
      </c>
      <c r="I34" s="7" t="s">
        <v>2</v>
      </c>
      <c r="J34" s="7" t="s">
        <v>214</v>
      </c>
    </row>
    <row r="35" spans="1:10" x14ac:dyDescent="0.25" outlineLevel="1" collapsed="1">
      <c r="A35" s="7" t="s">
        <v>15</v>
      </c>
      <c r="B35" s="7" t="s">
        <v>133</v>
      </c>
      <c r="C35" s="7" t="s">
        <v>215</v>
      </c>
      <c r="D35" s="7"/>
      <c r="E35" s="7" t="s">
        <v>216</v>
      </c>
      <c r="F35" s="7" t="s">
        <v>17</v>
      </c>
      <c r="G35" s="7" t="s">
        <v>777</v>
      </c>
      <c r="H35" s="7" t="s">
        <v>2</v>
      </c>
      <c r="I35" s="7" t="s">
        <v>2</v>
      </c>
      <c r="J35" s="7" t="s">
        <v>218</v>
      </c>
    </row>
    <row r="36" spans="1:10" x14ac:dyDescent="0.25" outlineLevel="1" collapsed="1">
      <c r="A36" s="7" t="s">
        <v>17</v>
      </c>
      <c r="B36" s="7" t="s">
        <v>133</v>
      </c>
      <c r="C36" s="7" t="s">
        <v>215</v>
      </c>
      <c r="D36" s="7"/>
      <c r="E36" s="7" t="s">
        <v>219</v>
      </c>
      <c r="F36" s="7" t="s">
        <v>17</v>
      </c>
      <c r="G36" s="7" t="s">
        <v>778</v>
      </c>
      <c r="H36" s="7" t="s">
        <v>2</v>
      </c>
      <c r="I36" s="7" t="s">
        <v>2</v>
      </c>
      <c r="J36" s="7" t="s">
        <v>221</v>
      </c>
    </row>
    <row r="37" spans="1:10" x14ac:dyDescent="0.25" outlineLevel="1" collapsed="1">
      <c r="A37" s="7" t="s">
        <v>17</v>
      </c>
      <c r="B37" s="7" t="s">
        <v>20</v>
      </c>
      <c r="C37" s="7" t="s">
        <v>2</v>
      </c>
      <c r="D37" s="7"/>
      <c r="E37" s="7" t="s">
        <v>222</v>
      </c>
      <c r="F37" s="7" t="s">
        <v>17</v>
      </c>
      <c r="G37" s="7" t="s">
        <v>22</v>
      </c>
      <c r="H37" s="7" t="s">
        <v>2</v>
      </c>
      <c r="I37" s="7" t="s">
        <v>2</v>
      </c>
      <c r="J37" s="7" t="s">
        <v>223</v>
      </c>
    </row>
    <row r="38" spans="1:10" x14ac:dyDescent="0.25" outlineLevel="1" collapsed="1">
      <c r="A38" s="7" t="s">
        <v>17</v>
      </c>
      <c r="B38" s="7" t="s">
        <v>133</v>
      </c>
      <c r="C38" s="7" t="s">
        <v>146</v>
      </c>
      <c r="D38" s="7"/>
      <c r="E38" s="7" t="s">
        <v>147</v>
      </c>
      <c r="F38" s="7" t="s">
        <v>17</v>
      </c>
      <c r="G38" s="7" t="s">
        <v>779</v>
      </c>
      <c r="H38" s="7" t="s">
        <v>2</v>
      </c>
      <c r="I38" s="7" t="s">
        <v>2</v>
      </c>
      <c r="J38" s="7" t="s">
        <v>149</v>
      </c>
    </row>
    <row r="39" spans="1:10" x14ac:dyDescent="0.25" outlineLevel="1" collapsed="1">
      <c r="A39" s="7" t="s">
        <v>15</v>
      </c>
      <c r="B39" s="7" t="s">
        <v>53</v>
      </c>
      <c r="C39" s="7" t="s">
        <v>2</v>
      </c>
      <c r="D39" s="7"/>
      <c r="E39" s="7" t="s">
        <v>225</v>
      </c>
      <c r="F39" s="7" t="s">
        <v>17</v>
      </c>
      <c r="G39" s="7">
        <v>1</v>
      </c>
      <c r="H39" s="7" t="s">
        <v>2</v>
      </c>
      <c r="I39" s="7" t="s">
        <v>2</v>
      </c>
      <c r="J39" s="7" t="s">
        <v>226</v>
      </c>
    </row>
    <row r="40" spans="1:10" x14ac:dyDescent="0.25">
      <c r="A40" s="5" t="s">
        <v>15</v>
      </c>
      <c r="B40" s="6" t="s">
        <v>780</v>
      </c>
      <c r="C40" s="5" t="s">
        <v>2</v>
      </c>
      <c r="D40" s="5"/>
      <c r="E40" s="5" t="s">
        <v>781</v>
      </c>
      <c r="F40" s="5" t="s">
        <v>15</v>
      </c>
      <c r="G40" s="5" t="s">
        <v>782</v>
      </c>
      <c r="H40" s="5" t="s">
        <v>2</v>
      </c>
      <c r="I40" s="5" t="s">
        <v>2</v>
      </c>
      <c r="J40" s="5" t="s">
        <v>783</v>
      </c>
    </row>
    <row r="41" spans="1:10" x14ac:dyDescent="0.25" outlineLevel="1" collapsed="1">
      <c r="A41" s="7" t="s">
        <v>15</v>
      </c>
      <c r="B41" s="7" t="s">
        <v>20</v>
      </c>
      <c r="C41" s="7" t="s">
        <v>2</v>
      </c>
      <c r="D41" s="7"/>
      <c r="E41" s="7" t="s">
        <v>784</v>
      </c>
      <c r="F41" s="7" t="s">
        <v>17</v>
      </c>
      <c r="G41" s="7" t="s">
        <v>785</v>
      </c>
      <c r="H41" s="7" t="s">
        <v>2</v>
      </c>
      <c r="I41" s="7" t="s">
        <v>2</v>
      </c>
      <c r="J41" s="7" t="s">
        <v>786</v>
      </c>
    </row>
    <row r="42" spans="1:10" x14ac:dyDescent="0.25" outlineLevel="1" collapsed="1">
      <c r="A42" s="7" t="s">
        <v>15</v>
      </c>
      <c r="B42" s="7" t="s">
        <v>20</v>
      </c>
      <c r="C42" s="7" t="s">
        <v>2</v>
      </c>
      <c r="D42" s="7"/>
      <c r="E42" s="7" t="s">
        <v>787</v>
      </c>
      <c r="F42" s="7" t="s">
        <v>17</v>
      </c>
      <c r="G42" s="7" t="s">
        <v>788</v>
      </c>
      <c r="H42" s="7" t="s">
        <v>2</v>
      </c>
      <c r="I42" s="7" t="s">
        <v>2</v>
      </c>
      <c r="J42" s="7" t="s">
        <v>789</v>
      </c>
    </row>
    <row r="43" spans="1:10" x14ac:dyDescent="0.25" outlineLevel="1" collapsed="1">
      <c r="A43" s="7" t="s">
        <v>15</v>
      </c>
      <c r="B43" s="7" t="s">
        <v>20</v>
      </c>
      <c r="C43" s="7" t="s">
        <v>2</v>
      </c>
      <c r="D43" s="7"/>
      <c r="E43" s="7" t="s">
        <v>790</v>
      </c>
      <c r="F43" s="7" t="s">
        <v>17</v>
      </c>
      <c r="G43" s="7" t="s">
        <v>791</v>
      </c>
      <c r="H43" s="7" t="s">
        <v>2</v>
      </c>
      <c r="I43" s="7" t="s">
        <v>2</v>
      </c>
      <c r="J43" s="7" t="s">
        <v>792</v>
      </c>
    </row>
    <row r="44" spans="1:10" x14ac:dyDescent="0.25" outlineLevel="1" collapsed="1">
      <c r="A44" s="7" t="s">
        <v>15</v>
      </c>
      <c r="B44" s="7" t="s">
        <v>20</v>
      </c>
      <c r="C44" s="7" t="s">
        <v>2</v>
      </c>
      <c r="D44" s="7"/>
      <c r="E44" s="7" t="s">
        <v>793</v>
      </c>
      <c r="F44" s="7" t="s">
        <v>17</v>
      </c>
      <c r="G44" s="7" t="s">
        <v>794</v>
      </c>
      <c r="H44" s="7" t="s">
        <v>2</v>
      </c>
      <c r="I44" s="7" t="s">
        <v>2</v>
      </c>
      <c r="J44" s="7" t="s">
        <v>795</v>
      </c>
    </row>
    <row r="45" spans="1:10" x14ac:dyDescent="0.25" outlineLevel="1" collapsed="1">
      <c r="A45" s="7" t="s">
        <v>15</v>
      </c>
      <c r="B45" s="7" t="s">
        <v>20</v>
      </c>
      <c r="C45" s="7" t="s">
        <v>2</v>
      </c>
      <c r="D45" s="7"/>
      <c r="E45" s="7" t="s">
        <v>796</v>
      </c>
      <c r="F45" s="7" t="s">
        <v>17</v>
      </c>
      <c r="G45" s="7" t="s">
        <v>797</v>
      </c>
      <c r="H45" s="7" t="s">
        <v>2</v>
      </c>
      <c r="I45" s="7" t="s">
        <v>2</v>
      </c>
      <c r="J45" s="7" t="s">
        <v>798</v>
      </c>
    </row>
    <row r="46" spans="1:10" x14ac:dyDescent="0.25">
      <c r="A46" s="5" t="s">
        <v>15</v>
      </c>
      <c r="B46" s="6" t="s">
        <v>227</v>
      </c>
      <c r="C46" s="5" t="s">
        <v>2</v>
      </c>
      <c r="D46" s="5"/>
      <c r="E46" s="5" t="s">
        <v>227</v>
      </c>
      <c r="F46" s="5" t="s">
        <v>17</v>
      </c>
      <c r="G46" s="5" t="s">
        <v>799</v>
      </c>
      <c r="H46" s="5" t="s">
        <v>2</v>
      </c>
      <c r="I46" s="5" t="s">
        <v>2</v>
      </c>
      <c r="J46" s="5" t="s">
        <v>229</v>
      </c>
    </row>
    <row r="47" spans="1:10" x14ac:dyDescent="0.25" outlineLevel="1" collapsed="1">
      <c r="A47" s="8" t="s">
        <v>15</v>
      </c>
      <c r="B47" s="9" t="s">
        <v>230</v>
      </c>
      <c r="C47" s="8" t="s">
        <v>2</v>
      </c>
      <c r="D47" s="8"/>
      <c r="E47" s="8" t="s">
        <v>231</v>
      </c>
      <c r="F47" s="8" t="s">
        <v>17</v>
      </c>
      <c r="G47" s="8" t="s">
        <v>2</v>
      </c>
      <c r="H47" s="8" t="s">
        <v>2</v>
      </c>
      <c r="I47" s="8" t="s">
        <v>2</v>
      </c>
      <c r="J47" s="8" t="s">
        <v>232</v>
      </c>
    </row>
    <row r="48" spans="1:10" x14ac:dyDescent="0.25" outlineLevel="2" collapsed="1">
      <c r="A48" s="7" t="s">
        <v>15</v>
      </c>
      <c r="B48" s="7" t="s">
        <v>44</v>
      </c>
      <c r="C48" s="10" t="s">
        <v>233</v>
      </c>
      <c r="D48" s="7"/>
      <c r="E48" s="7" t="s">
        <v>231</v>
      </c>
      <c r="F48" s="7" t="s">
        <v>17</v>
      </c>
      <c r="G48" s="7" t="s">
        <v>234</v>
      </c>
      <c r="H48" s="7" t="s">
        <v>2</v>
      </c>
      <c r="I48" s="7" t="s">
        <v>2</v>
      </c>
      <c r="J48" s="7" t="s">
        <v>232</v>
      </c>
    </row>
    <row r="49" spans="1:10" x14ac:dyDescent="0.25" outlineLevel="2" collapsed="1">
      <c r="A49" s="8" t="s">
        <v>17</v>
      </c>
      <c r="B49" s="9" t="s">
        <v>235</v>
      </c>
      <c r="C49" s="8" t="s">
        <v>2</v>
      </c>
      <c r="D49" s="8">
        <f>EXACT(G48,"HWT, IWT, CWT")</f>
      </c>
      <c r="E49" s="8" t="s">
        <v>235</v>
      </c>
      <c r="F49" s="8" t="s">
        <v>17</v>
      </c>
      <c r="G49" s="8" t="s">
        <v>2</v>
      </c>
      <c r="H49" s="8" t="s">
        <v>2</v>
      </c>
      <c r="I49" s="8" t="s">
        <v>2</v>
      </c>
      <c r="J49" s="8" t="s">
        <v>236</v>
      </c>
    </row>
    <row r="50" spans="1:10" x14ac:dyDescent="0.25" outlineLevel="3" collapsed="1">
      <c r="A50" s="7" t="s">
        <v>15</v>
      </c>
      <c r="B50" s="7" t="s">
        <v>44</v>
      </c>
      <c r="C50" s="10" t="s">
        <v>237</v>
      </c>
      <c r="D50" s="7"/>
      <c r="E50" s="7" t="s">
        <v>235</v>
      </c>
      <c r="F50" s="7" t="s">
        <v>17</v>
      </c>
      <c r="G50" s="7" t="s">
        <v>238</v>
      </c>
      <c r="H50" s="7" t="s">
        <v>2</v>
      </c>
      <c r="I50" s="7" t="s">
        <v>2</v>
      </c>
      <c r="J50" s="7" t="s">
        <v>239</v>
      </c>
    </row>
    <row r="51" spans="1:10" x14ac:dyDescent="0.25" outlineLevel="3" collapsed="1">
      <c r="A51" s="7" t="s">
        <v>17</v>
      </c>
      <c r="B51" s="7" t="s">
        <v>20</v>
      </c>
      <c r="C51" s="7" t="s">
        <v>2</v>
      </c>
      <c r="D51" s="7">
        <f>EXACT(G50,"Other (Specify)")</f>
      </c>
      <c r="E51" s="7" t="s">
        <v>240</v>
      </c>
      <c r="F51" s="7" t="s">
        <v>17</v>
      </c>
      <c r="G51" s="7" t="s">
        <v>22</v>
      </c>
      <c r="H51" s="7" t="s">
        <v>2</v>
      </c>
      <c r="I51" s="7" t="s">
        <v>2</v>
      </c>
      <c r="J51" s="7" t="s">
        <v>241</v>
      </c>
    </row>
    <row r="52" spans="1:10" x14ac:dyDescent="0.25" outlineLevel="2" collapsed="1">
      <c r="A52" s="8" t="s">
        <v>17</v>
      </c>
      <c r="B52" s="9" t="s">
        <v>242</v>
      </c>
      <c r="C52" s="8" t="s">
        <v>2</v>
      </c>
      <c r="D52" s="8">
        <f>EXACT(G48,"CWS")</f>
      </c>
      <c r="E52" s="8" t="s">
        <v>235</v>
      </c>
      <c r="F52" s="8" t="s">
        <v>17</v>
      </c>
      <c r="G52" s="8" t="s">
        <v>2</v>
      </c>
      <c r="H52" s="8" t="s">
        <v>2</v>
      </c>
      <c r="I52" s="8" t="s">
        <v>2</v>
      </c>
      <c r="J52" s="8" t="s">
        <v>243</v>
      </c>
    </row>
    <row r="53" spans="1:10" x14ac:dyDescent="0.25" outlineLevel="3" collapsed="1">
      <c r="A53" s="7" t="s">
        <v>15</v>
      </c>
      <c r="B53" s="7" t="s">
        <v>44</v>
      </c>
      <c r="C53" s="10" t="s">
        <v>244</v>
      </c>
      <c r="D53" s="7"/>
      <c r="E53" s="7" t="s">
        <v>235</v>
      </c>
      <c r="F53" s="7" t="s">
        <v>17</v>
      </c>
      <c r="G53" s="7" t="s">
        <v>245</v>
      </c>
      <c r="H53" s="7" t="s">
        <v>2</v>
      </c>
      <c r="I53" s="7" t="s">
        <v>2</v>
      </c>
      <c r="J53" s="7" t="s">
        <v>246</v>
      </c>
    </row>
    <row r="54" spans="1:10" x14ac:dyDescent="0.25" outlineLevel="3" collapsed="1">
      <c r="A54" s="7" t="s">
        <v>17</v>
      </c>
      <c r="B54" s="7" t="s">
        <v>20</v>
      </c>
      <c r="C54" s="7" t="s">
        <v>2</v>
      </c>
      <c r="D54" s="7">
        <f>EXACT(G53,"Other (Specify)")</f>
      </c>
      <c r="E54" s="7" t="s">
        <v>240</v>
      </c>
      <c r="F54" s="7" t="s">
        <v>17</v>
      </c>
      <c r="G54" s="7" t="s">
        <v>22</v>
      </c>
      <c r="H54" s="7" t="s">
        <v>2</v>
      </c>
      <c r="I54" s="7" t="s">
        <v>2</v>
      </c>
      <c r="J54" s="7" t="s">
        <v>241</v>
      </c>
    </row>
    <row r="55" spans="1:10" x14ac:dyDescent="0.25" outlineLevel="1" collapsed="1">
      <c r="A55" s="7" t="s">
        <v>15</v>
      </c>
      <c r="B55" s="7" t="s">
        <v>20</v>
      </c>
      <c r="C55" s="7" t="s">
        <v>2</v>
      </c>
      <c r="D55" s="7"/>
      <c r="E55" s="7" t="s">
        <v>247</v>
      </c>
      <c r="F55" s="7" t="s">
        <v>17</v>
      </c>
      <c r="G55" s="7" t="s">
        <v>22</v>
      </c>
      <c r="H55" s="7" t="s">
        <v>2</v>
      </c>
      <c r="I55" s="7" t="s">
        <v>2</v>
      </c>
      <c r="J55" s="7" t="s">
        <v>248</v>
      </c>
    </row>
    <row r="56" spans="1:10" x14ac:dyDescent="0.25" outlineLevel="1" collapsed="1">
      <c r="A56" s="7" t="s">
        <v>15</v>
      </c>
      <c r="B56" s="7" t="s">
        <v>44</v>
      </c>
      <c r="C56" s="10" t="s">
        <v>249</v>
      </c>
      <c r="D56" s="7"/>
      <c r="E56" s="7" t="s">
        <v>250</v>
      </c>
      <c r="F56" s="7" t="s">
        <v>17</v>
      </c>
      <c r="G56" s="7" t="s">
        <v>251</v>
      </c>
      <c r="H56" s="7" t="s">
        <v>2</v>
      </c>
      <c r="I56" s="7" t="s">
        <v>2</v>
      </c>
      <c r="J56" s="7" t="s">
        <v>252</v>
      </c>
    </row>
    <row r="57" spans="1:10" x14ac:dyDescent="0.25" outlineLevel="1" collapsed="1">
      <c r="A57" s="7" t="s">
        <v>17</v>
      </c>
      <c r="B57" s="7" t="s">
        <v>125</v>
      </c>
      <c r="C57" s="7" t="s">
        <v>2</v>
      </c>
      <c r="D57" s="7">
        <f>EXACT(G56,"CWT, CWS")</f>
      </c>
      <c r="E57" s="7" t="s">
        <v>253</v>
      </c>
      <c r="F57" s="7" t="s">
        <v>17</v>
      </c>
      <c r="G57" s="7" t="s">
        <v>800</v>
      </c>
      <c r="H57" s="7" t="s">
        <v>2</v>
      </c>
      <c r="I57" s="7" t="s">
        <v>2</v>
      </c>
      <c r="J57" s="7" t="s">
        <v>255</v>
      </c>
    </row>
    <row r="58" spans="1:10" x14ac:dyDescent="0.25" outlineLevel="1" collapsed="1">
      <c r="A58" s="7" t="s">
        <v>17</v>
      </c>
      <c r="B58" s="7" t="s">
        <v>133</v>
      </c>
      <c r="C58" s="7" t="s">
        <v>256</v>
      </c>
      <c r="D58" s="7">
        <f>EXACT(G56,"CWT, CWS")</f>
      </c>
      <c r="E58" s="7" t="s">
        <v>257</v>
      </c>
      <c r="F58" s="7" t="s">
        <v>17</v>
      </c>
      <c r="G58" s="7" t="s">
        <v>801</v>
      </c>
      <c r="H58" s="7" t="s">
        <v>2</v>
      </c>
      <c r="I58" s="7" t="s">
        <v>2</v>
      </c>
      <c r="J58" s="7" t="s">
        <v>259</v>
      </c>
    </row>
    <row r="59" spans="1:10" x14ac:dyDescent="0.25" outlineLevel="1" collapsed="1">
      <c r="A59" s="7" t="s">
        <v>17</v>
      </c>
      <c r="B59" s="7" t="s">
        <v>133</v>
      </c>
      <c r="C59" s="7" t="s">
        <v>256</v>
      </c>
      <c r="D59" s="7">
        <f>EXACT(G56,"CWT, CWS")</f>
      </c>
      <c r="E59" s="7" t="s">
        <v>260</v>
      </c>
      <c r="F59" s="7" t="s">
        <v>17</v>
      </c>
      <c r="G59" s="7" t="s">
        <v>802</v>
      </c>
      <c r="H59" s="7" t="s">
        <v>2</v>
      </c>
      <c r="I59" s="7" t="s">
        <v>2</v>
      </c>
      <c r="J59" s="7" t="s">
        <v>262</v>
      </c>
    </row>
    <row r="60" spans="1:10" x14ac:dyDescent="0.25" outlineLevel="1" collapsed="1">
      <c r="A60" s="7" t="s">
        <v>17</v>
      </c>
      <c r="B60" s="7" t="s">
        <v>47</v>
      </c>
      <c r="C60" s="7" t="s">
        <v>2</v>
      </c>
      <c r="D60" s="7">
        <f>EXACT(G56,"CWT, CWS")</f>
      </c>
      <c r="E60" s="7" t="s">
        <v>263</v>
      </c>
      <c r="F60" s="7" t="s">
        <v>17</v>
      </c>
      <c r="G60" s="7" t="b">
        <v>1</v>
      </c>
      <c r="H60" s="7" t="s">
        <v>2</v>
      </c>
      <c r="I60" s="7" t="s">
        <v>2</v>
      </c>
      <c r="J60" s="7" t="s">
        <v>264</v>
      </c>
    </row>
    <row r="61" spans="1:10" x14ac:dyDescent="0.25" outlineLevel="1" collapsed="1">
      <c r="A61" s="7" t="s">
        <v>17</v>
      </c>
      <c r="B61" s="7" t="s">
        <v>133</v>
      </c>
      <c r="C61" s="7" t="s">
        <v>256</v>
      </c>
      <c r="D61" s="7">
        <f>EXACT(G56,"CWT, CWS")</f>
      </c>
      <c r="E61" s="7" t="s">
        <v>265</v>
      </c>
      <c r="F61" s="7" t="s">
        <v>17</v>
      </c>
      <c r="G61" s="7" t="s">
        <v>803</v>
      </c>
      <c r="H61" s="7" t="s">
        <v>2</v>
      </c>
      <c r="I61" s="7" t="s">
        <v>2</v>
      </c>
      <c r="J61" s="7" t="s">
        <v>267</v>
      </c>
    </row>
    <row r="62" spans="1:10" x14ac:dyDescent="0.25" outlineLevel="1" collapsed="1">
      <c r="A62" s="7" t="s">
        <v>17</v>
      </c>
      <c r="B62" s="7" t="s">
        <v>133</v>
      </c>
      <c r="C62" s="7" t="s">
        <v>268</v>
      </c>
      <c r="D62" s="7">
        <f>EXACT(G56,"CWT, CWS")</f>
      </c>
      <c r="E62" s="7" t="s">
        <v>269</v>
      </c>
      <c r="F62" s="7" t="s">
        <v>17</v>
      </c>
      <c r="G62" s="7" t="s">
        <v>804</v>
      </c>
      <c r="H62" s="7" t="s">
        <v>2</v>
      </c>
      <c r="I62" s="7" t="s">
        <v>2</v>
      </c>
      <c r="J62" s="7" t="s">
        <v>271</v>
      </c>
    </row>
    <row r="63" spans="1:10" x14ac:dyDescent="0.25" outlineLevel="1" collapsed="1">
      <c r="A63" s="7" t="s">
        <v>17</v>
      </c>
      <c r="B63" s="7" t="s">
        <v>133</v>
      </c>
      <c r="C63" s="7" t="s">
        <v>256</v>
      </c>
      <c r="D63" s="7">
        <f>EXACT(G56,"CWT, CWS")</f>
      </c>
      <c r="E63" s="7" t="s">
        <v>272</v>
      </c>
      <c r="F63" s="7" t="s">
        <v>17</v>
      </c>
      <c r="G63" s="7" t="s">
        <v>805</v>
      </c>
      <c r="H63" s="7" t="s">
        <v>2</v>
      </c>
      <c r="I63" s="7" t="s">
        <v>2</v>
      </c>
      <c r="J63" s="7" t="s">
        <v>274</v>
      </c>
    </row>
    <row r="64" spans="1:10" x14ac:dyDescent="0.25" outlineLevel="1" collapsed="1">
      <c r="A64" s="7" t="s">
        <v>17</v>
      </c>
      <c r="B64" s="7" t="s">
        <v>194</v>
      </c>
      <c r="C64" s="7" t="s">
        <v>2</v>
      </c>
      <c r="D64" s="7">
        <f>EXACT(G56,"CWT, CWS")</f>
      </c>
      <c r="E64" s="7" t="s">
        <v>275</v>
      </c>
      <c r="F64" s="7" t="s">
        <v>17</v>
      </c>
      <c r="G64" s="7">
        <v>1</v>
      </c>
      <c r="H64" s="7" t="s">
        <v>2</v>
      </c>
      <c r="I64" s="7" t="s">
        <v>2</v>
      </c>
      <c r="J64" s="7" t="s">
        <v>276</v>
      </c>
    </row>
    <row r="65" spans="1:10" x14ac:dyDescent="0.25" outlineLevel="1" collapsed="1">
      <c r="A65" s="7" t="s">
        <v>17</v>
      </c>
      <c r="B65" s="7" t="s">
        <v>53</v>
      </c>
      <c r="C65" s="7" t="s">
        <v>2</v>
      </c>
      <c r="D65" s="7">
        <f>EXACT(G56,"CWT, CWS")</f>
      </c>
      <c r="E65" s="7" t="s">
        <v>277</v>
      </c>
      <c r="F65" s="7" t="s">
        <v>17</v>
      </c>
      <c r="G65" s="7">
        <v>1</v>
      </c>
      <c r="H65" s="7" t="s">
        <v>2</v>
      </c>
      <c r="I65" s="7" t="s">
        <v>2</v>
      </c>
      <c r="J65" s="7" t="s">
        <v>278</v>
      </c>
    </row>
    <row r="66" spans="1:10" x14ac:dyDescent="0.25" outlineLevel="1" collapsed="1">
      <c r="A66" s="7" t="s">
        <v>17</v>
      </c>
      <c r="B66" s="7" t="s">
        <v>194</v>
      </c>
      <c r="C66" s="7" t="s">
        <v>2</v>
      </c>
      <c r="D66" s="7">
        <f>EXACT(G56,"CWT, CWS")</f>
      </c>
      <c r="E66" s="7" t="s">
        <v>279</v>
      </c>
      <c r="F66" s="7" t="s">
        <v>17</v>
      </c>
      <c r="G66" s="7">
        <v>1</v>
      </c>
      <c r="H66" s="7" t="s">
        <v>2</v>
      </c>
      <c r="I66" s="7" t="s">
        <v>2</v>
      </c>
      <c r="J66" s="7" t="s">
        <v>280</v>
      </c>
    </row>
    <row r="67" spans="1:10" x14ac:dyDescent="0.25" outlineLevel="1" collapsed="1">
      <c r="A67" s="7" t="s">
        <v>17</v>
      </c>
      <c r="B67" s="7" t="s">
        <v>133</v>
      </c>
      <c r="C67" s="7" t="s">
        <v>281</v>
      </c>
      <c r="D67" s="7">
        <f>EXACT(G56,"CWT, CWS")</f>
      </c>
      <c r="E67" s="7" t="s">
        <v>282</v>
      </c>
      <c r="F67" s="7" t="s">
        <v>17</v>
      </c>
      <c r="G67" s="7" t="s">
        <v>806</v>
      </c>
      <c r="H67" s="7" t="s">
        <v>2</v>
      </c>
      <c r="I67" s="7" t="s">
        <v>2</v>
      </c>
      <c r="J67" s="7" t="s">
        <v>284</v>
      </c>
    </row>
    <row r="68" spans="1:10" x14ac:dyDescent="0.25" outlineLevel="1" collapsed="1">
      <c r="A68" s="7" t="s">
        <v>17</v>
      </c>
      <c r="B68" s="7" t="s">
        <v>133</v>
      </c>
      <c r="C68" s="7" t="s">
        <v>256</v>
      </c>
      <c r="D68" s="7">
        <f>EXACT(G56,"CWT, CWS")</f>
      </c>
      <c r="E68" s="7" t="s">
        <v>285</v>
      </c>
      <c r="F68" s="7" t="s">
        <v>17</v>
      </c>
      <c r="G68" s="7" t="s">
        <v>807</v>
      </c>
      <c r="H68" s="7" t="s">
        <v>2</v>
      </c>
      <c r="I68" s="7" t="s">
        <v>2</v>
      </c>
      <c r="J68" s="7" t="s">
        <v>287</v>
      </c>
    </row>
    <row r="69" spans="1:10" x14ac:dyDescent="0.25" outlineLevel="1" collapsed="1">
      <c r="A69" s="7" t="s">
        <v>17</v>
      </c>
      <c r="B69" s="7" t="s">
        <v>133</v>
      </c>
      <c r="C69" s="7" t="s">
        <v>256</v>
      </c>
      <c r="D69" s="7">
        <f>EXACT(G56,"CWT, CWS")</f>
      </c>
      <c r="E69" s="7" t="s">
        <v>288</v>
      </c>
      <c r="F69" s="7" t="s">
        <v>17</v>
      </c>
      <c r="G69" s="7" t="s">
        <v>289</v>
      </c>
      <c r="H69" s="7" t="s">
        <v>2</v>
      </c>
      <c r="I69" s="7" t="s">
        <v>2</v>
      </c>
      <c r="J69" s="7" t="s">
        <v>290</v>
      </c>
    </row>
    <row r="70" spans="1:10" x14ac:dyDescent="0.25" outlineLevel="1" collapsed="1">
      <c r="A70" s="8" t="s">
        <v>17</v>
      </c>
      <c r="B70" s="9" t="s">
        <v>291</v>
      </c>
      <c r="C70" s="8" t="s">
        <v>2</v>
      </c>
      <c r="D70" s="8">
        <f>EXACT(G56,"CWT, CWS")</f>
      </c>
      <c r="E70" s="8" t="s">
        <v>292</v>
      </c>
      <c r="F70" s="8" t="s">
        <v>17</v>
      </c>
      <c r="G70" s="8" t="s">
        <v>2</v>
      </c>
      <c r="H70" s="8" t="s">
        <v>2</v>
      </c>
      <c r="I70" s="8" t="s">
        <v>2</v>
      </c>
      <c r="J70" s="8" t="s">
        <v>293</v>
      </c>
    </row>
    <row r="71" spans="1:10" x14ac:dyDescent="0.25" outlineLevel="2" collapsed="1">
      <c r="A71" s="7" t="s">
        <v>15</v>
      </c>
      <c r="B71" s="7" t="s">
        <v>47</v>
      </c>
      <c r="C71" s="7" t="s">
        <v>2</v>
      </c>
      <c r="D71" s="7"/>
      <c r="E71" s="7" t="s">
        <v>294</v>
      </c>
      <c r="F71" s="7" t="s">
        <v>17</v>
      </c>
      <c r="G71" s="7" t="b">
        <v>1</v>
      </c>
      <c r="H71" s="7" t="s">
        <v>2</v>
      </c>
      <c r="I71" s="7" t="s">
        <v>2</v>
      </c>
      <c r="J71" s="7" t="s">
        <v>295</v>
      </c>
    </row>
    <row r="72" spans="1:10" x14ac:dyDescent="0.25" outlineLevel="2" collapsed="1">
      <c r="A72" s="7" t="s">
        <v>17</v>
      </c>
      <c r="B72" s="7" t="s">
        <v>26</v>
      </c>
      <c r="C72" s="7" t="s">
        <v>2</v>
      </c>
      <c r="D72" s="7">
        <f>EXACT(G71,true)</f>
      </c>
      <c r="E72" s="7" t="s">
        <v>296</v>
      </c>
      <c r="F72" s="7" t="s">
        <v>17</v>
      </c>
      <c r="G72" s="7" t="s">
        <v>37</v>
      </c>
      <c r="H72" s="7" t="s">
        <v>2</v>
      </c>
      <c r="I72" s="7" t="s">
        <v>2</v>
      </c>
      <c r="J72" s="7" t="s">
        <v>297</v>
      </c>
    </row>
    <row r="73" spans="1:10" x14ac:dyDescent="0.25" outlineLevel="2" collapsed="1">
      <c r="A73" s="7" t="s">
        <v>17</v>
      </c>
      <c r="B73" s="7" t="s">
        <v>133</v>
      </c>
      <c r="C73" s="7" t="s">
        <v>298</v>
      </c>
      <c r="D73" s="7">
        <f>EXACT(G71,true)</f>
      </c>
      <c r="E73" s="7" t="s">
        <v>299</v>
      </c>
      <c r="F73" s="7" t="s">
        <v>17</v>
      </c>
      <c r="G73" s="7" t="s">
        <v>808</v>
      </c>
      <c r="H73" s="7" t="s">
        <v>2</v>
      </c>
      <c r="I73" s="7" t="s">
        <v>2</v>
      </c>
      <c r="J73" s="7" t="s">
        <v>301</v>
      </c>
    </row>
    <row r="74" spans="1:10" x14ac:dyDescent="0.25" outlineLevel="2" collapsed="1">
      <c r="A74" s="7" t="s">
        <v>17</v>
      </c>
      <c r="B74" s="7" t="s">
        <v>26</v>
      </c>
      <c r="C74" s="7" t="s">
        <v>2</v>
      </c>
      <c r="D74" s="7">
        <f>EXACT(G71,true)</f>
      </c>
      <c r="E74" s="7" t="s">
        <v>302</v>
      </c>
      <c r="F74" s="7" t="s">
        <v>17</v>
      </c>
      <c r="G74" s="7" t="s">
        <v>37</v>
      </c>
      <c r="H74" s="7" t="s">
        <v>2</v>
      </c>
      <c r="I74" s="7" t="s">
        <v>2</v>
      </c>
      <c r="J74" s="7" t="s">
        <v>303</v>
      </c>
    </row>
    <row r="75" spans="1:10" x14ac:dyDescent="0.25" outlineLevel="2" collapsed="1">
      <c r="A75" s="7" t="s">
        <v>17</v>
      </c>
      <c r="B75" s="7" t="s">
        <v>125</v>
      </c>
      <c r="C75" s="7" t="s">
        <v>2</v>
      </c>
      <c r="D75" s="7">
        <f>EXACT(G71,true)</f>
      </c>
      <c r="E75" s="7" t="s">
        <v>304</v>
      </c>
      <c r="F75" s="7" t="s">
        <v>17</v>
      </c>
      <c r="G75" s="7" t="s">
        <v>809</v>
      </c>
      <c r="H75" s="7" t="s">
        <v>2</v>
      </c>
      <c r="I75" s="7" t="s">
        <v>2</v>
      </c>
      <c r="J75" s="7" t="s">
        <v>306</v>
      </c>
    </row>
    <row r="76" spans="1:10" x14ac:dyDescent="0.25" outlineLevel="2" collapsed="1">
      <c r="A76" s="7" t="s">
        <v>17</v>
      </c>
      <c r="B76" s="7" t="s">
        <v>125</v>
      </c>
      <c r="C76" s="7" t="s">
        <v>2</v>
      </c>
      <c r="D76" s="7">
        <f>EXACT(G71,true)</f>
      </c>
      <c r="E76" s="7" t="s">
        <v>307</v>
      </c>
      <c r="F76" s="7" t="s">
        <v>17</v>
      </c>
      <c r="G76" s="7" t="s">
        <v>810</v>
      </c>
      <c r="H76" s="7" t="s">
        <v>2</v>
      </c>
      <c r="I76" s="7" t="s">
        <v>2</v>
      </c>
      <c r="J76" s="7" t="s">
        <v>309</v>
      </c>
    </row>
    <row r="77" spans="1:10" x14ac:dyDescent="0.25" outlineLevel="1" collapsed="1">
      <c r="A77" s="7" t="s">
        <v>17</v>
      </c>
      <c r="B77" s="7" t="s">
        <v>125</v>
      </c>
      <c r="C77" s="7" t="s">
        <v>2</v>
      </c>
      <c r="D77" s="7">
        <f>EXACT(G56,"HWT, IWT")</f>
      </c>
      <c r="E77" s="7" t="s">
        <v>253</v>
      </c>
      <c r="F77" s="7" t="s">
        <v>17</v>
      </c>
      <c r="G77" s="7" t="s">
        <v>811</v>
      </c>
      <c r="H77" s="7" t="s">
        <v>2</v>
      </c>
      <c r="I77" s="7" t="s">
        <v>2</v>
      </c>
      <c r="J77" s="7" t="s">
        <v>311</v>
      </c>
    </row>
    <row r="78" spans="1:10" x14ac:dyDescent="0.25" outlineLevel="1" collapsed="1">
      <c r="A78" s="7" t="s">
        <v>17</v>
      </c>
      <c r="B78" s="7" t="s">
        <v>133</v>
      </c>
      <c r="C78" s="7" t="s">
        <v>268</v>
      </c>
      <c r="D78" s="7">
        <f>EXACT(G56,"HWT, IWT")</f>
      </c>
      <c r="E78" s="7" t="s">
        <v>312</v>
      </c>
      <c r="F78" s="7" t="s">
        <v>17</v>
      </c>
      <c r="G78" s="7" t="s">
        <v>812</v>
      </c>
      <c r="H78" s="7" t="s">
        <v>2</v>
      </c>
      <c r="I78" s="7" t="s">
        <v>2</v>
      </c>
      <c r="J78" s="7" t="s">
        <v>314</v>
      </c>
    </row>
    <row r="79" spans="1:10" x14ac:dyDescent="0.25" outlineLevel="1" collapsed="1">
      <c r="A79" s="7" t="s">
        <v>17</v>
      </c>
      <c r="B79" s="7" t="s">
        <v>133</v>
      </c>
      <c r="C79" s="7" t="s">
        <v>268</v>
      </c>
      <c r="D79" s="7">
        <f>EXACT(G56,"HWT, IWT")</f>
      </c>
      <c r="E79" s="7" t="s">
        <v>315</v>
      </c>
      <c r="F79" s="7" t="s">
        <v>17</v>
      </c>
      <c r="G79" s="7" t="s">
        <v>813</v>
      </c>
      <c r="H79" s="7" t="s">
        <v>2</v>
      </c>
      <c r="I79" s="7" t="s">
        <v>2</v>
      </c>
      <c r="J79" s="7" t="s">
        <v>317</v>
      </c>
    </row>
    <row r="80" spans="1:10" x14ac:dyDescent="0.25" outlineLevel="1" collapsed="1">
      <c r="A80" s="7" t="s">
        <v>17</v>
      </c>
      <c r="B80" s="7" t="s">
        <v>133</v>
      </c>
      <c r="C80" s="7" t="s">
        <v>268</v>
      </c>
      <c r="D80" s="7">
        <f>EXACT(G56,"HWT, IWT")</f>
      </c>
      <c r="E80" s="7" t="s">
        <v>318</v>
      </c>
      <c r="F80" s="7" t="s">
        <v>17</v>
      </c>
      <c r="G80" s="7" t="s">
        <v>814</v>
      </c>
      <c r="H80" s="7" t="s">
        <v>2</v>
      </c>
      <c r="I80" s="7" t="s">
        <v>2</v>
      </c>
      <c r="J80" s="7" t="s">
        <v>320</v>
      </c>
    </row>
    <row r="81" spans="1:10" x14ac:dyDescent="0.25" outlineLevel="1" collapsed="1">
      <c r="A81" s="7" t="s">
        <v>17</v>
      </c>
      <c r="B81" s="7" t="s">
        <v>53</v>
      </c>
      <c r="C81" s="7" t="s">
        <v>2</v>
      </c>
      <c r="D81" s="7">
        <f>EXACT(G56,"HWT, IWT")</f>
      </c>
      <c r="E81" s="7" t="s">
        <v>321</v>
      </c>
      <c r="F81" s="7" t="s">
        <v>17</v>
      </c>
      <c r="G81" s="7">
        <v>1</v>
      </c>
      <c r="H81" s="7" t="s">
        <v>2</v>
      </c>
      <c r="I81" s="7" t="s">
        <v>2</v>
      </c>
      <c r="J81" s="7" t="s">
        <v>322</v>
      </c>
    </row>
    <row r="82" spans="1:10" x14ac:dyDescent="0.25" outlineLevel="1" collapsed="1">
      <c r="A82" s="7" t="s">
        <v>17</v>
      </c>
      <c r="B82" s="7" t="s">
        <v>133</v>
      </c>
      <c r="C82" s="7" t="s">
        <v>268</v>
      </c>
      <c r="D82" s="7">
        <f>EXACT(G56,"HWT, IWT")</f>
      </c>
      <c r="E82" s="7" t="s">
        <v>269</v>
      </c>
      <c r="F82" s="7" t="s">
        <v>17</v>
      </c>
      <c r="G82" s="7" t="s">
        <v>815</v>
      </c>
      <c r="H82" s="7" t="s">
        <v>2</v>
      </c>
      <c r="I82" s="7" t="s">
        <v>2</v>
      </c>
      <c r="J82" s="7" t="s">
        <v>324</v>
      </c>
    </row>
    <row r="83" spans="1:10" x14ac:dyDescent="0.25" outlineLevel="1" collapsed="1">
      <c r="A83" s="7" t="s">
        <v>17</v>
      </c>
      <c r="B83" s="7" t="s">
        <v>133</v>
      </c>
      <c r="C83" s="7" t="s">
        <v>256</v>
      </c>
      <c r="D83" s="7">
        <f>EXACT(G56,"HWT, IWT")</f>
      </c>
      <c r="E83" s="7" t="s">
        <v>272</v>
      </c>
      <c r="F83" s="7" t="s">
        <v>17</v>
      </c>
      <c r="G83" s="7" t="s">
        <v>816</v>
      </c>
      <c r="H83" s="7" t="s">
        <v>2</v>
      </c>
      <c r="I83" s="7" t="s">
        <v>2</v>
      </c>
      <c r="J83" s="7" t="s">
        <v>326</v>
      </c>
    </row>
    <row r="84" spans="1:10" x14ac:dyDescent="0.25" outlineLevel="1" collapsed="1">
      <c r="A84" s="7" t="s">
        <v>17</v>
      </c>
      <c r="B84" s="7" t="s">
        <v>133</v>
      </c>
      <c r="C84" s="7" t="s">
        <v>256</v>
      </c>
      <c r="D84" s="7">
        <f>EXACT(G56,"HWT, IWT")</f>
      </c>
      <c r="E84" s="7" t="s">
        <v>327</v>
      </c>
      <c r="F84" s="7" t="s">
        <v>17</v>
      </c>
      <c r="G84" s="7" t="s">
        <v>817</v>
      </c>
      <c r="H84" s="7" t="s">
        <v>2</v>
      </c>
      <c r="I84" s="7" t="s">
        <v>2</v>
      </c>
      <c r="J84" s="7" t="s">
        <v>329</v>
      </c>
    </row>
    <row r="85" spans="1:10" x14ac:dyDescent="0.25" outlineLevel="1" collapsed="1">
      <c r="A85" s="7" t="s">
        <v>17</v>
      </c>
      <c r="B85" s="7" t="s">
        <v>133</v>
      </c>
      <c r="C85" s="7" t="s">
        <v>256</v>
      </c>
      <c r="D85" s="7">
        <f>EXACT(G56,"HWT, IWT")</f>
      </c>
      <c r="E85" s="7" t="s">
        <v>288</v>
      </c>
      <c r="F85" s="7" t="s">
        <v>17</v>
      </c>
      <c r="G85" s="7" t="s">
        <v>818</v>
      </c>
      <c r="H85" s="7" t="s">
        <v>2</v>
      </c>
      <c r="I85" s="7" t="s">
        <v>2</v>
      </c>
      <c r="J85" s="7" t="s">
        <v>331</v>
      </c>
    </row>
    <row r="86" spans="1:10" x14ac:dyDescent="0.25">
      <c r="A86" s="5" t="s">
        <v>15</v>
      </c>
      <c r="B86" s="6" t="s">
        <v>819</v>
      </c>
      <c r="C86" s="5" t="s">
        <v>2</v>
      </c>
      <c r="D86" s="5"/>
      <c r="E86" s="5" t="s">
        <v>820</v>
      </c>
      <c r="F86" s="5" t="s">
        <v>17</v>
      </c>
      <c r="G86" s="5" t="s">
        <v>821</v>
      </c>
      <c r="H86" s="5" t="s">
        <v>2</v>
      </c>
      <c r="I86" s="5" t="s">
        <v>2</v>
      </c>
      <c r="J86" s="5" t="s">
        <v>822</v>
      </c>
    </row>
    <row r="87" spans="1:10" x14ac:dyDescent="0.25" outlineLevel="1" collapsed="1">
      <c r="A87" s="8" t="s">
        <v>15</v>
      </c>
      <c r="B87" s="9" t="s">
        <v>823</v>
      </c>
      <c r="C87" s="8" t="s">
        <v>2</v>
      </c>
      <c r="D87" s="8"/>
      <c r="E87" s="8" t="s">
        <v>824</v>
      </c>
      <c r="F87" s="8" t="s">
        <v>17</v>
      </c>
      <c r="G87" s="8" t="s">
        <v>2</v>
      </c>
      <c r="H87" s="8" t="s">
        <v>2</v>
      </c>
      <c r="I87" s="8" t="s">
        <v>2</v>
      </c>
      <c r="J87" s="8" t="s">
        <v>825</v>
      </c>
    </row>
    <row r="88" spans="1:10" x14ac:dyDescent="0.25" outlineLevel="2" collapsed="1">
      <c r="A88" s="7" t="s">
        <v>15</v>
      </c>
      <c r="B88" s="7" t="s">
        <v>44</v>
      </c>
      <c r="C88" s="10" t="s">
        <v>826</v>
      </c>
      <c r="D88" s="7"/>
      <c r="E88" s="7" t="s">
        <v>827</v>
      </c>
      <c r="F88" s="7" t="s">
        <v>17</v>
      </c>
      <c r="G88" s="7" t="s">
        <v>15</v>
      </c>
      <c r="H88" s="7" t="s">
        <v>2</v>
      </c>
      <c r="I88" s="7" t="s">
        <v>2</v>
      </c>
      <c r="J88" s="7" t="s">
        <v>828</v>
      </c>
    </row>
    <row r="89" spans="1:10" x14ac:dyDescent="0.25" outlineLevel="2" collapsed="1">
      <c r="A89" s="7" t="s">
        <v>17</v>
      </c>
      <c r="B89" s="7" t="s">
        <v>20</v>
      </c>
      <c r="C89" s="7" t="s">
        <v>2</v>
      </c>
      <c r="D89" s="7"/>
      <c r="E89" s="7" t="s">
        <v>76</v>
      </c>
      <c r="F89" s="7" t="s">
        <v>17</v>
      </c>
      <c r="G89" s="7" t="s">
        <v>22</v>
      </c>
      <c r="H89" s="7" t="s">
        <v>2</v>
      </c>
      <c r="I89" s="7" t="s">
        <v>2</v>
      </c>
      <c r="J89" s="7" t="s">
        <v>78</v>
      </c>
    </row>
    <row r="90" spans="1:10" x14ac:dyDescent="0.25" outlineLevel="1" collapsed="1">
      <c r="A90" s="8" t="s">
        <v>15</v>
      </c>
      <c r="B90" s="9" t="s">
        <v>823</v>
      </c>
      <c r="C90" s="8" t="s">
        <v>2</v>
      </c>
      <c r="D90" s="8"/>
      <c r="E90" s="8" t="s">
        <v>829</v>
      </c>
      <c r="F90" s="8" t="s">
        <v>17</v>
      </c>
      <c r="G90" s="8" t="s">
        <v>2</v>
      </c>
      <c r="H90" s="8" t="s">
        <v>2</v>
      </c>
      <c r="I90" s="8" t="s">
        <v>2</v>
      </c>
      <c r="J90" s="8" t="s">
        <v>830</v>
      </c>
    </row>
    <row r="91" spans="1:10" x14ac:dyDescent="0.25" outlineLevel="2" collapsed="1">
      <c r="A91" s="7" t="s">
        <v>15</v>
      </c>
      <c r="B91" s="7" t="s">
        <v>44</v>
      </c>
      <c r="C91" s="10" t="s">
        <v>826</v>
      </c>
      <c r="D91" s="7"/>
      <c r="E91" s="7" t="s">
        <v>827</v>
      </c>
      <c r="F91" s="7" t="s">
        <v>17</v>
      </c>
      <c r="G91" s="7" t="s">
        <v>15</v>
      </c>
      <c r="H91" s="7" t="s">
        <v>2</v>
      </c>
      <c r="I91" s="7" t="s">
        <v>2</v>
      </c>
      <c r="J91" s="7" t="s">
        <v>828</v>
      </c>
    </row>
    <row r="92" spans="1:10" x14ac:dyDescent="0.25" outlineLevel="2" collapsed="1">
      <c r="A92" s="7" t="s">
        <v>17</v>
      </c>
      <c r="B92" s="7" t="s">
        <v>20</v>
      </c>
      <c r="C92" s="7" t="s">
        <v>2</v>
      </c>
      <c r="D92" s="7"/>
      <c r="E92" s="7" t="s">
        <v>76</v>
      </c>
      <c r="F92" s="7" t="s">
        <v>17</v>
      </c>
      <c r="G92" s="7" t="s">
        <v>22</v>
      </c>
      <c r="H92" s="7" t="s">
        <v>2</v>
      </c>
      <c r="I92" s="7" t="s">
        <v>2</v>
      </c>
      <c r="J92" s="7" t="s">
        <v>78</v>
      </c>
    </row>
    <row r="93" spans="1:10" x14ac:dyDescent="0.25" outlineLevel="1" collapsed="1">
      <c r="A93" s="8" t="s">
        <v>15</v>
      </c>
      <c r="B93" s="9" t="s">
        <v>823</v>
      </c>
      <c r="C93" s="8" t="s">
        <v>2</v>
      </c>
      <c r="D93" s="8"/>
      <c r="E93" s="8" t="s">
        <v>831</v>
      </c>
      <c r="F93" s="8" t="s">
        <v>17</v>
      </c>
      <c r="G93" s="8" t="s">
        <v>2</v>
      </c>
      <c r="H93" s="8" t="s">
        <v>2</v>
      </c>
      <c r="I93" s="8" t="s">
        <v>2</v>
      </c>
      <c r="J93" s="8" t="s">
        <v>832</v>
      </c>
    </row>
    <row r="94" spans="1:10" x14ac:dyDescent="0.25" outlineLevel="2" collapsed="1">
      <c r="A94" s="7" t="s">
        <v>15</v>
      </c>
      <c r="B94" s="7" t="s">
        <v>44</v>
      </c>
      <c r="C94" s="10" t="s">
        <v>826</v>
      </c>
      <c r="D94" s="7"/>
      <c r="E94" s="7" t="s">
        <v>827</v>
      </c>
      <c r="F94" s="7" t="s">
        <v>17</v>
      </c>
      <c r="G94" s="7" t="s">
        <v>15</v>
      </c>
      <c r="H94" s="7" t="s">
        <v>2</v>
      </c>
      <c r="I94" s="7" t="s">
        <v>2</v>
      </c>
      <c r="J94" s="7" t="s">
        <v>828</v>
      </c>
    </row>
    <row r="95" spans="1:10" x14ac:dyDescent="0.25" outlineLevel="2" collapsed="1">
      <c r="A95" s="7" t="s">
        <v>17</v>
      </c>
      <c r="B95" s="7" t="s">
        <v>20</v>
      </c>
      <c r="C95" s="7" t="s">
        <v>2</v>
      </c>
      <c r="D95" s="7"/>
      <c r="E95" s="7" t="s">
        <v>76</v>
      </c>
      <c r="F95" s="7" t="s">
        <v>17</v>
      </c>
      <c r="G95" s="7" t="s">
        <v>22</v>
      </c>
      <c r="H95" s="7" t="s">
        <v>2</v>
      </c>
      <c r="I95" s="7" t="s">
        <v>2</v>
      </c>
      <c r="J95" s="7" t="s">
        <v>78</v>
      </c>
    </row>
    <row r="96" spans="1:10" x14ac:dyDescent="0.25" outlineLevel="1" collapsed="1">
      <c r="A96" s="8" t="s">
        <v>15</v>
      </c>
      <c r="B96" s="9" t="s">
        <v>823</v>
      </c>
      <c r="C96" s="8" t="s">
        <v>2</v>
      </c>
      <c r="D96" s="8"/>
      <c r="E96" s="8" t="s">
        <v>833</v>
      </c>
      <c r="F96" s="8" t="s">
        <v>17</v>
      </c>
      <c r="G96" s="8" t="s">
        <v>2</v>
      </c>
      <c r="H96" s="8" t="s">
        <v>2</v>
      </c>
      <c r="I96" s="8" t="s">
        <v>2</v>
      </c>
      <c r="J96" s="8" t="s">
        <v>834</v>
      </c>
    </row>
    <row r="97" spans="1:10" x14ac:dyDescent="0.25" outlineLevel="2" collapsed="1">
      <c r="A97" s="7" t="s">
        <v>15</v>
      </c>
      <c r="B97" s="7" t="s">
        <v>44</v>
      </c>
      <c r="C97" s="10" t="s">
        <v>826</v>
      </c>
      <c r="D97" s="7"/>
      <c r="E97" s="7" t="s">
        <v>827</v>
      </c>
      <c r="F97" s="7" t="s">
        <v>17</v>
      </c>
      <c r="G97" s="7" t="s">
        <v>15</v>
      </c>
      <c r="H97" s="7" t="s">
        <v>2</v>
      </c>
      <c r="I97" s="7" t="s">
        <v>2</v>
      </c>
      <c r="J97" s="7" t="s">
        <v>828</v>
      </c>
    </row>
    <row r="98" spans="1:10" x14ac:dyDescent="0.25" outlineLevel="2" collapsed="1">
      <c r="A98" s="7" t="s">
        <v>17</v>
      </c>
      <c r="B98" s="7" t="s">
        <v>20</v>
      </c>
      <c r="C98" s="7" t="s">
        <v>2</v>
      </c>
      <c r="D98" s="7"/>
      <c r="E98" s="7" t="s">
        <v>76</v>
      </c>
      <c r="F98" s="7" t="s">
        <v>17</v>
      </c>
      <c r="G98" s="7" t="s">
        <v>22</v>
      </c>
      <c r="H98" s="7" t="s">
        <v>2</v>
      </c>
      <c r="I98" s="7" t="s">
        <v>2</v>
      </c>
      <c r="J98" s="7" t="s">
        <v>78</v>
      </c>
    </row>
    <row r="99" spans="1:10" x14ac:dyDescent="0.25" outlineLevel="1" collapsed="1">
      <c r="A99" s="8" t="s">
        <v>15</v>
      </c>
      <c r="B99" s="9" t="s">
        <v>823</v>
      </c>
      <c r="C99" s="8" t="s">
        <v>2</v>
      </c>
      <c r="D99" s="8"/>
      <c r="E99" s="8" t="s">
        <v>835</v>
      </c>
      <c r="F99" s="8" t="s">
        <v>17</v>
      </c>
      <c r="G99" s="8" t="s">
        <v>2</v>
      </c>
      <c r="H99" s="8" t="s">
        <v>2</v>
      </c>
      <c r="I99" s="8" t="s">
        <v>2</v>
      </c>
      <c r="J99" s="8" t="s">
        <v>836</v>
      </c>
    </row>
    <row r="100" spans="1:10" x14ac:dyDescent="0.25" outlineLevel="2" collapsed="1">
      <c r="A100" s="7" t="s">
        <v>15</v>
      </c>
      <c r="B100" s="7" t="s">
        <v>44</v>
      </c>
      <c r="C100" s="10" t="s">
        <v>826</v>
      </c>
      <c r="D100" s="7"/>
      <c r="E100" s="7" t="s">
        <v>827</v>
      </c>
      <c r="F100" s="7" t="s">
        <v>17</v>
      </c>
      <c r="G100" s="7" t="s">
        <v>15</v>
      </c>
      <c r="H100" s="7" t="s">
        <v>2</v>
      </c>
      <c r="I100" s="7" t="s">
        <v>2</v>
      </c>
      <c r="J100" s="7" t="s">
        <v>828</v>
      </c>
    </row>
    <row r="101" spans="1:10" x14ac:dyDescent="0.25" outlineLevel="2" collapsed="1">
      <c r="A101" s="7" t="s">
        <v>17</v>
      </c>
      <c r="B101" s="7" t="s">
        <v>20</v>
      </c>
      <c r="C101" s="7" t="s">
        <v>2</v>
      </c>
      <c r="D101" s="7"/>
      <c r="E101" s="7" t="s">
        <v>76</v>
      </c>
      <c r="F101" s="7" t="s">
        <v>17</v>
      </c>
      <c r="G101" s="7" t="s">
        <v>22</v>
      </c>
      <c r="H101" s="7" t="s">
        <v>2</v>
      </c>
      <c r="I101" s="7" t="s">
        <v>2</v>
      </c>
      <c r="J101" s="7" t="s">
        <v>78</v>
      </c>
    </row>
    <row r="102" spans="1:10" x14ac:dyDescent="0.25" outlineLevel="1" collapsed="1">
      <c r="A102" s="8" t="s">
        <v>15</v>
      </c>
      <c r="B102" s="9" t="s">
        <v>823</v>
      </c>
      <c r="C102" s="8" t="s">
        <v>2</v>
      </c>
      <c r="D102" s="8"/>
      <c r="E102" s="8" t="s">
        <v>837</v>
      </c>
      <c r="F102" s="8" t="s">
        <v>17</v>
      </c>
      <c r="G102" s="8" t="s">
        <v>2</v>
      </c>
      <c r="H102" s="8" t="s">
        <v>2</v>
      </c>
      <c r="I102" s="8" t="s">
        <v>2</v>
      </c>
      <c r="J102" s="8" t="s">
        <v>838</v>
      </c>
    </row>
    <row r="103" spans="1:10" x14ac:dyDescent="0.25" outlineLevel="2" collapsed="1">
      <c r="A103" s="7" t="s">
        <v>15</v>
      </c>
      <c r="B103" s="7" t="s">
        <v>44</v>
      </c>
      <c r="C103" s="10" t="s">
        <v>826</v>
      </c>
      <c r="D103" s="7"/>
      <c r="E103" s="7" t="s">
        <v>827</v>
      </c>
      <c r="F103" s="7" t="s">
        <v>17</v>
      </c>
      <c r="G103" s="7" t="s">
        <v>15</v>
      </c>
      <c r="H103" s="7" t="s">
        <v>2</v>
      </c>
      <c r="I103" s="7" t="s">
        <v>2</v>
      </c>
      <c r="J103" s="7" t="s">
        <v>828</v>
      </c>
    </row>
    <row r="104" spans="1:10" x14ac:dyDescent="0.25" outlineLevel="2" collapsed="1">
      <c r="A104" s="7" t="s">
        <v>17</v>
      </c>
      <c r="B104" s="7" t="s">
        <v>20</v>
      </c>
      <c r="C104" s="7" t="s">
        <v>2</v>
      </c>
      <c r="D104" s="7"/>
      <c r="E104" s="7" t="s">
        <v>76</v>
      </c>
      <c r="F104" s="7" t="s">
        <v>17</v>
      </c>
      <c r="G104" s="7" t="s">
        <v>22</v>
      </c>
      <c r="H104" s="7" t="s">
        <v>2</v>
      </c>
      <c r="I104" s="7" t="s">
        <v>2</v>
      </c>
      <c r="J104" s="7" t="s">
        <v>78</v>
      </c>
    </row>
    <row r="105" spans="1:10" x14ac:dyDescent="0.25" outlineLevel="1" collapsed="1">
      <c r="A105" s="8" t="s">
        <v>15</v>
      </c>
      <c r="B105" s="9" t="s">
        <v>823</v>
      </c>
      <c r="C105" s="8" t="s">
        <v>2</v>
      </c>
      <c r="D105" s="8"/>
      <c r="E105" s="8" t="s">
        <v>839</v>
      </c>
      <c r="F105" s="8" t="s">
        <v>17</v>
      </c>
      <c r="G105" s="8" t="s">
        <v>2</v>
      </c>
      <c r="H105" s="8" t="s">
        <v>2</v>
      </c>
      <c r="I105" s="8" t="s">
        <v>2</v>
      </c>
      <c r="J105" s="8" t="s">
        <v>840</v>
      </c>
    </row>
    <row r="106" spans="1:10" x14ac:dyDescent="0.25" outlineLevel="2" collapsed="1">
      <c r="A106" s="7" t="s">
        <v>15</v>
      </c>
      <c r="B106" s="7" t="s">
        <v>44</v>
      </c>
      <c r="C106" s="10" t="s">
        <v>826</v>
      </c>
      <c r="D106" s="7"/>
      <c r="E106" s="7" t="s">
        <v>827</v>
      </c>
      <c r="F106" s="7" t="s">
        <v>17</v>
      </c>
      <c r="G106" s="7" t="s">
        <v>15</v>
      </c>
      <c r="H106" s="7" t="s">
        <v>2</v>
      </c>
      <c r="I106" s="7" t="s">
        <v>2</v>
      </c>
      <c r="J106" s="7" t="s">
        <v>828</v>
      </c>
    </row>
    <row r="107" spans="1:10" x14ac:dyDescent="0.25" outlineLevel="2" collapsed="1">
      <c r="A107" s="7" t="s">
        <v>17</v>
      </c>
      <c r="B107" s="7" t="s">
        <v>20</v>
      </c>
      <c r="C107" s="7" t="s">
        <v>2</v>
      </c>
      <c r="D107" s="7"/>
      <c r="E107" s="7" t="s">
        <v>76</v>
      </c>
      <c r="F107" s="7" t="s">
        <v>17</v>
      </c>
      <c r="G107" s="7" t="s">
        <v>22</v>
      </c>
      <c r="H107" s="7" t="s">
        <v>2</v>
      </c>
      <c r="I107" s="7" t="s">
        <v>2</v>
      </c>
      <c r="J107" s="7" t="s">
        <v>78</v>
      </c>
    </row>
    <row r="108" spans="1:10" x14ac:dyDescent="0.25" outlineLevel="1" collapsed="1">
      <c r="A108" s="8" t="s">
        <v>15</v>
      </c>
      <c r="B108" s="9" t="s">
        <v>823</v>
      </c>
      <c r="C108" s="8" t="s">
        <v>2</v>
      </c>
      <c r="D108" s="8"/>
      <c r="E108" s="8" t="s">
        <v>841</v>
      </c>
      <c r="F108" s="8" t="s">
        <v>17</v>
      </c>
      <c r="G108" s="8" t="s">
        <v>2</v>
      </c>
      <c r="H108" s="8" t="s">
        <v>2</v>
      </c>
      <c r="I108" s="8" t="s">
        <v>2</v>
      </c>
      <c r="J108" s="8" t="s">
        <v>842</v>
      </c>
    </row>
    <row r="109" spans="1:10" x14ac:dyDescent="0.25" outlineLevel="2" collapsed="1">
      <c r="A109" s="7" t="s">
        <v>15</v>
      </c>
      <c r="B109" s="7" t="s">
        <v>44</v>
      </c>
      <c r="C109" s="10" t="s">
        <v>826</v>
      </c>
      <c r="D109" s="7"/>
      <c r="E109" s="7" t="s">
        <v>827</v>
      </c>
      <c r="F109" s="7" t="s">
        <v>17</v>
      </c>
      <c r="G109" s="7" t="s">
        <v>15</v>
      </c>
      <c r="H109" s="7" t="s">
        <v>2</v>
      </c>
      <c r="I109" s="7" t="s">
        <v>2</v>
      </c>
      <c r="J109" s="7" t="s">
        <v>828</v>
      </c>
    </row>
    <row r="110" spans="1:10" x14ac:dyDescent="0.25" outlineLevel="2" collapsed="1">
      <c r="A110" s="7" t="s">
        <v>17</v>
      </c>
      <c r="B110" s="7" t="s">
        <v>20</v>
      </c>
      <c r="C110" s="7" t="s">
        <v>2</v>
      </c>
      <c r="D110" s="7"/>
      <c r="E110" s="7" t="s">
        <v>76</v>
      </c>
      <c r="F110" s="7" t="s">
        <v>17</v>
      </c>
      <c r="G110" s="7" t="s">
        <v>22</v>
      </c>
      <c r="H110" s="7" t="s">
        <v>2</v>
      </c>
      <c r="I110" s="7" t="s">
        <v>2</v>
      </c>
      <c r="J110" s="7" t="s">
        <v>78</v>
      </c>
    </row>
    <row r="111" spans="1:10" x14ac:dyDescent="0.25" outlineLevel="1" collapsed="1">
      <c r="A111" s="8" t="s">
        <v>15</v>
      </c>
      <c r="B111" s="9" t="s">
        <v>823</v>
      </c>
      <c r="C111" s="8" t="s">
        <v>2</v>
      </c>
      <c r="D111" s="8"/>
      <c r="E111" s="8" t="s">
        <v>843</v>
      </c>
      <c r="F111" s="8" t="s">
        <v>17</v>
      </c>
      <c r="G111" s="8" t="s">
        <v>2</v>
      </c>
      <c r="H111" s="8" t="s">
        <v>2</v>
      </c>
      <c r="I111" s="8" t="s">
        <v>2</v>
      </c>
      <c r="J111" s="8" t="s">
        <v>844</v>
      </c>
    </row>
    <row r="112" spans="1:10" x14ac:dyDescent="0.25" outlineLevel="2" collapsed="1">
      <c r="A112" s="7" t="s">
        <v>15</v>
      </c>
      <c r="B112" s="7" t="s">
        <v>44</v>
      </c>
      <c r="C112" s="10" t="s">
        <v>826</v>
      </c>
      <c r="D112" s="7"/>
      <c r="E112" s="7" t="s">
        <v>827</v>
      </c>
      <c r="F112" s="7" t="s">
        <v>17</v>
      </c>
      <c r="G112" s="7" t="s">
        <v>15</v>
      </c>
      <c r="H112" s="7" t="s">
        <v>2</v>
      </c>
      <c r="I112" s="7" t="s">
        <v>2</v>
      </c>
      <c r="J112" s="7" t="s">
        <v>828</v>
      </c>
    </row>
    <row r="113" spans="1:10" x14ac:dyDescent="0.25" outlineLevel="2" collapsed="1">
      <c r="A113" s="7" t="s">
        <v>17</v>
      </c>
      <c r="B113" s="7" t="s">
        <v>20</v>
      </c>
      <c r="C113" s="7" t="s">
        <v>2</v>
      </c>
      <c r="D113" s="7"/>
      <c r="E113" s="7" t="s">
        <v>76</v>
      </c>
      <c r="F113" s="7" t="s">
        <v>17</v>
      </c>
      <c r="G113" s="7" t="s">
        <v>22</v>
      </c>
      <c r="H113" s="7" t="s">
        <v>2</v>
      </c>
      <c r="I113" s="7" t="s">
        <v>2</v>
      </c>
      <c r="J113" s="7" t="s">
        <v>78</v>
      </c>
    </row>
    <row r="114" spans="1:10" x14ac:dyDescent="0.25" outlineLevel="1" collapsed="1">
      <c r="A114" s="8" t="s">
        <v>15</v>
      </c>
      <c r="B114" s="9" t="s">
        <v>823</v>
      </c>
      <c r="C114" s="8" t="s">
        <v>2</v>
      </c>
      <c r="D114" s="8"/>
      <c r="E114" s="8" t="s">
        <v>845</v>
      </c>
      <c r="F114" s="8" t="s">
        <v>17</v>
      </c>
      <c r="G114" s="8" t="s">
        <v>2</v>
      </c>
      <c r="H114" s="8" t="s">
        <v>2</v>
      </c>
      <c r="I114" s="8" t="s">
        <v>2</v>
      </c>
      <c r="J114" s="8" t="s">
        <v>846</v>
      </c>
    </row>
    <row r="115" spans="1:10" x14ac:dyDescent="0.25" outlineLevel="2" collapsed="1">
      <c r="A115" s="7" t="s">
        <v>15</v>
      </c>
      <c r="B115" s="7" t="s">
        <v>44</v>
      </c>
      <c r="C115" s="10" t="s">
        <v>826</v>
      </c>
      <c r="D115" s="7"/>
      <c r="E115" s="7" t="s">
        <v>827</v>
      </c>
      <c r="F115" s="7" t="s">
        <v>17</v>
      </c>
      <c r="G115" s="7" t="s">
        <v>15</v>
      </c>
      <c r="H115" s="7" t="s">
        <v>2</v>
      </c>
      <c r="I115" s="7" t="s">
        <v>2</v>
      </c>
      <c r="J115" s="7" t="s">
        <v>828</v>
      </c>
    </row>
    <row r="116" spans="1:10" x14ac:dyDescent="0.25" outlineLevel="2" collapsed="1">
      <c r="A116" s="7" t="s">
        <v>17</v>
      </c>
      <c r="B116" s="7" t="s">
        <v>20</v>
      </c>
      <c r="C116" s="7" t="s">
        <v>2</v>
      </c>
      <c r="D116" s="7"/>
      <c r="E116" s="7" t="s">
        <v>76</v>
      </c>
      <c r="F116" s="7" t="s">
        <v>17</v>
      </c>
      <c r="G116" s="7" t="s">
        <v>22</v>
      </c>
      <c r="H116" s="7" t="s">
        <v>2</v>
      </c>
      <c r="I116" s="7" t="s">
        <v>2</v>
      </c>
      <c r="J116" s="7" t="s">
        <v>78</v>
      </c>
    </row>
    <row r="117" spans="1:10" x14ac:dyDescent="0.25" outlineLevel="1" collapsed="1">
      <c r="A117" s="8" t="s">
        <v>15</v>
      </c>
      <c r="B117" s="9" t="s">
        <v>823</v>
      </c>
      <c r="C117" s="8" t="s">
        <v>2</v>
      </c>
      <c r="D117" s="8"/>
      <c r="E117" s="8" t="s">
        <v>847</v>
      </c>
      <c r="F117" s="8" t="s">
        <v>17</v>
      </c>
      <c r="G117" s="8" t="s">
        <v>2</v>
      </c>
      <c r="H117" s="8" t="s">
        <v>2</v>
      </c>
      <c r="I117" s="8" t="s">
        <v>2</v>
      </c>
      <c r="J117" s="8" t="s">
        <v>848</v>
      </c>
    </row>
    <row r="118" spans="1:10" x14ac:dyDescent="0.25" outlineLevel="2" collapsed="1">
      <c r="A118" s="7" t="s">
        <v>15</v>
      </c>
      <c r="B118" s="7" t="s">
        <v>44</v>
      </c>
      <c r="C118" s="10" t="s">
        <v>826</v>
      </c>
      <c r="D118" s="7"/>
      <c r="E118" s="7" t="s">
        <v>827</v>
      </c>
      <c r="F118" s="7" t="s">
        <v>17</v>
      </c>
      <c r="G118" s="7" t="s">
        <v>15</v>
      </c>
      <c r="H118" s="7" t="s">
        <v>2</v>
      </c>
      <c r="I118" s="7" t="s">
        <v>2</v>
      </c>
      <c r="J118" s="7" t="s">
        <v>828</v>
      </c>
    </row>
    <row r="119" spans="1:10" x14ac:dyDescent="0.25" outlineLevel="2" collapsed="1">
      <c r="A119" s="7" t="s">
        <v>17</v>
      </c>
      <c r="B119" s="7" t="s">
        <v>20</v>
      </c>
      <c r="C119" s="7" t="s">
        <v>2</v>
      </c>
      <c r="D119" s="7"/>
      <c r="E119" s="7" t="s">
        <v>76</v>
      </c>
      <c r="F119" s="7" t="s">
        <v>17</v>
      </c>
      <c r="G119" s="7" t="s">
        <v>22</v>
      </c>
      <c r="H119" s="7" t="s">
        <v>2</v>
      </c>
      <c r="I119" s="7" t="s">
        <v>2</v>
      </c>
      <c r="J119" s="7" t="s">
        <v>78</v>
      </c>
    </row>
    <row r="120" spans="1:10" x14ac:dyDescent="0.25" outlineLevel="1" collapsed="1">
      <c r="A120" s="8" t="s">
        <v>15</v>
      </c>
      <c r="B120" s="9" t="s">
        <v>823</v>
      </c>
      <c r="C120" s="8" t="s">
        <v>2</v>
      </c>
      <c r="D120" s="8"/>
      <c r="E120" s="8" t="s">
        <v>849</v>
      </c>
      <c r="F120" s="8" t="s">
        <v>17</v>
      </c>
      <c r="G120" s="8" t="s">
        <v>2</v>
      </c>
      <c r="H120" s="8" t="s">
        <v>2</v>
      </c>
      <c r="I120" s="8" t="s">
        <v>2</v>
      </c>
      <c r="J120" s="8" t="s">
        <v>850</v>
      </c>
    </row>
    <row r="121" spans="1:10" x14ac:dyDescent="0.25" outlineLevel="2" collapsed="1">
      <c r="A121" s="7" t="s">
        <v>15</v>
      </c>
      <c r="B121" s="7" t="s">
        <v>44</v>
      </c>
      <c r="C121" s="10" t="s">
        <v>826</v>
      </c>
      <c r="D121" s="7"/>
      <c r="E121" s="7" t="s">
        <v>827</v>
      </c>
      <c r="F121" s="7" t="s">
        <v>17</v>
      </c>
      <c r="G121" s="7" t="s">
        <v>15</v>
      </c>
      <c r="H121" s="7" t="s">
        <v>2</v>
      </c>
      <c r="I121" s="7" t="s">
        <v>2</v>
      </c>
      <c r="J121" s="7" t="s">
        <v>828</v>
      </c>
    </row>
    <row r="122" spans="1:10" x14ac:dyDescent="0.25" outlineLevel="2" collapsed="1">
      <c r="A122" s="7" t="s">
        <v>17</v>
      </c>
      <c r="B122" s="7" t="s">
        <v>20</v>
      </c>
      <c r="C122" s="7" t="s">
        <v>2</v>
      </c>
      <c r="D122" s="7"/>
      <c r="E122" s="7" t="s">
        <v>76</v>
      </c>
      <c r="F122" s="7" t="s">
        <v>17</v>
      </c>
      <c r="G122" s="7" t="s">
        <v>22</v>
      </c>
      <c r="H122" s="7" t="s">
        <v>2</v>
      </c>
      <c r="I122" s="7" t="s">
        <v>2</v>
      </c>
      <c r="J122" s="7" t="s">
        <v>78</v>
      </c>
    </row>
    <row r="123" spans="1:10" x14ac:dyDescent="0.25">
      <c r="A123" s="5" t="s">
        <v>15</v>
      </c>
      <c r="B123" s="6" t="s">
        <v>851</v>
      </c>
      <c r="C123" s="5" t="s">
        <v>2</v>
      </c>
      <c r="D123" s="5"/>
      <c r="E123" s="5" t="s">
        <v>852</v>
      </c>
      <c r="F123" s="5" t="s">
        <v>17</v>
      </c>
      <c r="G123" s="5" t="s">
        <v>2</v>
      </c>
      <c r="H123" s="5" t="s">
        <v>2</v>
      </c>
      <c r="I123" s="5" t="s">
        <v>2</v>
      </c>
      <c r="J123" s="5" t="s">
        <v>853</v>
      </c>
    </row>
    <row r="124" spans="1:10" x14ac:dyDescent="0.25" outlineLevel="1" collapsed="1">
      <c r="A124" s="8" t="s">
        <v>15</v>
      </c>
      <c r="B124" s="9" t="s">
        <v>823</v>
      </c>
      <c r="C124" s="8" t="s">
        <v>2</v>
      </c>
      <c r="D124" s="8"/>
      <c r="E124" s="8" t="s">
        <v>854</v>
      </c>
      <c r="F124" s="8" t="s">
        <v>17</v>
      </c>
      <c r="G124" s="8" t="s">
        <v>2</v>
      </c>
      <c r="H124" s="8" t="s">
        <v>2</v>
      </c>
      <c r="I124" s="8" t="s">
        <v>2</v>
      </c>
      <c r="J124" s="8" t="s">
        <v>855</v>
      </c>
    </row>
    <row r="125" spans="1:10" x14ac:dyDescent="0.25" outlineLevel="2" collapsed="1">
      <c r="A125" s="7" t="s">
        <v>15</v>
      </c>
      <c r="B125" s="7" t="s">
        <v>44</v>
      </c>
      <c r="C125" s="10" t="s">
        <v>826</v>
      </c>
      <c r="D125" s="7"/>
      <c r="E125" s="7" t="s">
        <v>827</v>
      </c>
      <c r="F125" s="7" t="s">
        <v>17</v>
      </c>
      <c r="G125" s="7" t="s">
        <v>15</v>
      </c>
      <c r="H125" s="7" t="s">
        <v>2</v>
      </c>
      <c r="I125" s="7" t="s">
        <v>2</v>
      </c>
      <c r="J125" s="7" t="s">
        <v>828</v>
      </c>
    </row>
    <row r="126" spans="1:10" x14ac:dyDescent="0.25" outlineLevel="2" collapsed="1">
      <c r="A126" s="7" t="s">
        <v>17</v>
      </c>
      <c r="B126" s="7" t="s">
        <v>20</v>
      </c>
      <c r="C126" s="7" t="s">
        <v>2</v>
      </c>
      <c r="D126" s="7"/>
      <c r="E126" s="7" t="s">
        <v>76</v>
      </c>
      <c r="F126" s="7" t="s">
        <v>17</v>
      </c>
      <c r="G126" s="7" t="s">
        <v>22</v>
      </c>
      <c r="H126" s="7" t="s">
        <v>2</v>
      </c>
      <c r="I126" s="7" t="s">
        <v>2</v>
      </c>
      <c r="J126" s="7" t="s">
        <v>78</v>
      </c>
    </row>
    <row r="127" spans="1:10" x14ac:dyDescent="0.25" outlineLevel="1" collapsed="1">
      <c r="A127" s="8" t="s">
        <v>15</v>
      </c>
      <c r="B127" s="9" t="s">
        <v>823</v>
      </c>
      <c r="C127" s="8" t="s">
        <v>2</v>
      </c>
      <c r="D127" s="8"/>
      <c r="E127" s="8" t="s">
        <v>856</v>
      </c>
      <c r="F127" s="8" t="s">
        <v>17</v>
      </c>
      <c r="G127" s="8" t="s">
        <v>2</v>
      </c>
      <c r="H127" s="8" t="s">
        <v>2</v>
      </c>
      <c r="I127" s="8" t="s">
        <v>2</v>
      </c>
      <c r="J127" s="8" t="s">
        <v>857</v>
      </c>
    </row>
    <row r="128" spans="1:10" x14ac:dyDescent="0.25" outlineLevel="2" collapsed="1">
      <c r="A128" s="7" t="s">
        <v>15</v>
      </c>
      <c r="B128" s="7" t="s">
        <v>44</v>
      </c>
      <c r="C128" s="10" t="s">
        <v>826</v>
      </c>
      <c r="D128" s="7"/>
      <c r="E128" s="7" t="s">
        <v>827</v>
      </c>
      <c r="F128" s="7" t="s">
        <v>17</v>
      </c>
      <c r="G128" s="7" t="s">
        <v>15</v>
      </c>
      <c r="H128" s="7" t="s">
        <v>2</v>
      </c>
      <c r="I128" s="7" t="s">
        <v>2</v>
      </c>
      <c r="J128" s="7" t="s">
        <v>828</v>
      </c>
    </row>
    <row r="129" spans="1:10" x14ac:dyDescent="0.25" outlineLevel="2" collapsed="1">
      <c r="A129" s="7" t="s">
        <v>17</v>
      </c>
      <c r="B129" s="7" t="s">
        <v>20</v>
      </c>
      <c r="C129" s="7" t="s">
        <v>2</v>
      </c>
      <c r="D129" s="7"/>
      <c r="E129" s="7" t="s">
        <v>76</v>
      </c>
      <c r="F129" s="7" t="s">
        <v>17</v>
      </c>
      <c r="G129" s="7" t="s">
        <v>22</v>
      </c>
      <c r="H129" s="7" t="s">
        <v>2</v>
      </c>
      <c r="I129" s="7" t="s">
        <v>2</v>
      </c>
      <c r="J129" s="7" t="s">
        <v>78</v>
      </c>
    </row>
    <row r="130" spans="1:10" x14ac:dyDescent="0.25" outlineLevel="1" collapsed="1">
      <c r="A130" s="8" t="s">
        <v>15</v>
      </c>
      <c r="B130" s="9" t="s">
        <v>823</v>
      </c>
      <c r="C130" s="8" t="s">
        <v>2</v>
      </c>
      <c r="D130" s="8"/>
      <c r="E130" s="8" t="s">
        <v>858</v>
      </c>
      <c r="F130" s="8" t="s">
        <v>17</v>
      </c>
      <c r="G130" s="8" t="s">
        <v>2</v>
      </c>
      <c r="H130" s="8" t="s">
        <v>2</v>
      </c>
      <c r="I130" s="8" t="s">
        <v>2</v>
      </c>
      <c r="J130" s="8" t="s">
        <v>859</v>
      </c>
    </row>
    <row r="131" spans="1:10" x14ac:dyDescent="0.25" outlineLevel="2" collapsed="1">
      <c r="A131" s="7" t="s">
        <v>15</v>
      </c>
      <c r="B131" s="7" t="s">
        <v>44</v>
      </c>
      <c r="C131" s="10" t="s">
        <v>826</v>
      </c>
      <c r="D131" s="7"/>
      <c r="E131" s="7" t="s">
        <v>827</v>
      </c>
      <c r="F131" s="7" t="s">
        <v>17</v>
      </c>
      <c r="G131" s="7" t="s">
        <v>15</v>
      </c>
      <c r="H131" s="7" t="s">
        <v>2</v>
      </c>
      <c r="I131" s="7" t="s">
        <v>2</v>
      </c>
      <c r="J131" s="7" t="s">
        <v>828</v>
      </c>
    </row>
    <row r="132" spans="1:10" x14ac:dyDescent="0.25" outlineLevel="2" collapsed="1">
      <c r="A132" s="7" t="s">
        <v>17</v>
      </c>
      <c r="B132" s="7" t="s">
        <v>20</v>
      </c>
      <c r="C132" s="7" t="s">
        <v>2</v>
      </c>
      <c r="D132" s="7"/>
      <c r="E132" s="7" t="s">
        <v>76</v>
      </c>
      <c r="F132" s="7" t="s">
        <v>17</v>
      </c>
      <c r="G132" s="7" t="s">
        <v>22</v>
      </c>
      <c r="H132" s="7" t="s">
        <v>2</v>
      </c>
      <c r="I132" s="7" t="s">
        <v>2</v>
      </c>
      <c r="J132" s="7" t="s">
        <v>78</v>
      </c>
    </row>
    <row r="133" spans="1:10" x14ac:dyDescent="0.25" outlineLevel="1" collapsed="1">
      <c r="A133" s="8" t="s">
        <v>15</v>
      </c>
      <c r="B133" s="9" t="s">
        <v>823</v>
      </c>
      <c r="C133" s="8" t="s">
        <v>2</v>
      </c>
      <c r="D133" s="8"/>
      <c r="E133" s="8" t="s">
        <v>860</v>
      </c>
      <c r="F133" s="8" t="s">
        <v>17</v>
      </c>
      <c r="G133" s="8" t="s">
        <v>2</v>
      </c>
      <c r="H133" s="8" t="s">
        <v>2</v>
      </c>
      <c r="I133" s="8" t="s">
        <v>2</v>
      </c>
      <c r="J133" s="8" t="s">
        <v>861</v>
      </c>
    </row>
    <row r="134" spans="1:10" x14ac:dyDescent="0.25" outlineLevel="2" collapsed="1">
      <c r="A134" s="7" t="s">
        <v>15</v>
      </c>
      <c r="B134" s="7" t="s">
        <v>44</v>
      </c>
      <c r="C134" s="10" t="s">
        <v>826</v>
      </c>
      <c r="D134" s="7"/>
      <c r="E134" s="7" t="s">
        <v>827</v>
      </c>
      <c r="F134" s="7" t="s">
        <v>17</v>
      </c>
      <c r="G134" s="7" t="s">
        <v>15</v>
      </c>
      <c r="H134" s="7" t="s">
        <v>2</v>
      </c>
      <c r="I134" s="7" t="s">
        <v>2</v>
      </c>
      <c r="J134" s="7" t="s">
        <v>828</v>
      </c>
    </row>
    <row r="135" spans="1:10" x14ac:dyDescent="0.25" outlineLevel="2" collapsed="1">
      <c r="A135" s="7" t="s">
        <v>17</v>
      </c>
      <c r="B135" s="7" t="s">
        <v>20</v>
      </c>
      <c r="C135" s="7" t="s">
        <v>2</v>
      </c>
      <c r="D135" s="7"/>
      <c r="E135" s="7" t="s">
        <v>76</v>
      </c>
      <c r="F135" s="7" t="s">
        <v>17</v>
      </c>
      <c r="G135" s="7" t="s">
        <v>22</v>
      </c>
      <c r="H135" s="7" t="s">
        <v>2</v>
      </c>
      <c r="I135" s="7" t="s">
        <v>2</v>
      </c>
      <c r="J135" s="7" t="s">
        <v>78</v>
      </c>
    </row>
    <row r="136" spans="1:10" x14ac:dyDescent="0.25" outlineLevel="1" collapsed="1">
      <c r="A136" s="8" t="s">
        <v>15</v>
      </c>
      <c r="B136" s="9" t="s">
        <v>823</v>
      </c>
      <c r="C136" s="8" t="s">
        <v>2</v>
      </c>
      <c r="D136" s="8"/>
      <c r="E136" s="8" t="s">
        <v>862</v>
      </c>
      <c r="F136" s="8" t="s">
        <v>17</v>
      </c>
      <c r="G136" s="8" t="s">
        <v>2</v>
      </c>
      <c r="H136" s="8" t="s">
        <v>2</v>
      </c>
      <c r="I136" s="8" t="s">
        <v>2</v>
      </c>
      <c r="J136" s="8" t="s">
        <v>863</v>
      </c>
    </row>
    <row r="137" spans="1:10" x14ac:dyDescent="0.25" outlineLevel="2" collapsed="1">
      <c r="A137" s="7" t="s">
        <v>15</v>
      </c>
      <c r="B137" s="7" t="s">
        <v>44</v>
      </c>
      <c r="C137" s="10" t="s">
        <v>826</v>
      </c>
      <c r="D137" s="7"/>
      <c r="E137" s="7" t="s">
        <v>827</v>
      </c>
      <c r="F137" s="7" t="s">
        <v>17</v>
      </c>
      <c r="G137" s="7" t="s">
        <v>15</v>
      </c>
      <c r="H137" s="7" t="s">
        <v>2</v>
      </c>
      <c r="I137" s="7" t="s">
        <v>2</v>
      </c>
      <c r="J137" s="7" t="s">
        <v>828</v>
      </c>
    </row>
    <row r="138" spans="1:10" x14ac:dyDescent="0.25" outlineLevel="2" collapsed="1">
      <c r="A138" s="7" t="s">
        <v>17</v>
      </c>
      <c r="B138" s="7" t="s">
        <v>20</v>
      </c>
      <c r="C138" s="7" t="s">
        <v>2</v>
      </c>
      <c r="D138" s="7"/>
      <c r="E138" s="7" t="s">
        <v>76</v>
      </c>
      <c r="F138" s="7" t="s">
        <v>17</v>
      </c>
      <c r="G138" s="7" t="s">
        <v>22</v>
      </c>
      <c r="H138" s="7" t="s">
        <v>2</v>
      </c>
      <c r="I138" s="7" t="s">
        <v>2</v>
      </c>
      <c r="J138" s="7" t="s">
        <v>78</v>
      </c>
    </row>
    <row r="139" spans="1:10" x14ac:dyDescent="0.25" outlineLevel="1" collapsed="1">
      <c r="A139" s="8" t="s">
        <v>15</v>
      </c>
      <c r="B139" s="9" t="s">
        <v>823</v>
      </c>
      <c r="C139" s="8" t="s">
        <v>2</v>
      </c>
      <c r="D139" s="8"/>
      <c r="E139" s="8" t="s">
        <v>864</v>
      </c>
      <c r="F139" s="8" t="s">
        <v>17</v>
      </c>
      <c r="G139" s="8" t="s">
        <v>2</v>
      </c>
      <c r="H139" s="8" t="s">
        <v>2</v>
      </c>
      <c r="I139" s="8" t="s">
        <v>2</v>
      </c>
      <c r="J139" s="8" t="s">
        <v>865</v>
      </c>
    </row>
    <row r="140" spans="1:10" x14ac:dyDescent="0.25" outlineLevel="2" collapsed="1">
      <c r="A140" s="7" t="s">
        <v>15</v>
      </c>
      <c r="B140" s="7" t="s">
        <v>44</v>
      </c>
      <c r="C140" s="10" t="s">
        <v>826</v>
      </c>
      <c r="D140" s="7"/>
      <c r="E140" s="7" t="s">
        <v>827</v>
      </c>
      <c r="F140" s="7" t="s">
        <v>17</v>
      </c>
      <c r="G140" s="7" t="s">
        <v>15</v>
      </c>
      <c r="H140" s="7" t="s">
        <v>2</v>
      </c>
      <c r="I140" s="7" t="s">
        <v>2</v>
      </c>
      <c r="J140" s="7" t="s">
        <v>828</v>
      </c>
    </row>
    <row r="141" spans="1:10" x14ac:dyDescent="0.25" outlineLevel="2" collapsed="1">
      <c r="A141" s="7" t="s">
        <v>17</v>
      </c>
      <c r="B141" s="7" t="s">
        <v>20</v>
      </c>
      <c r="C141" s="7" t="s">
        <v>2</v>
      </c>
      <c r="D141" s="7"/>
      <c r="E141" s="7" t="s">
        <v>76</v>
      </c>
      <c r="F141" s="7" t="s">
        <v>17</v>
      </c>
      <c r="G141" s="7" t="s">
        <v>22</v>
      </c>
      <c r="H141" s="7" t="s">
        <v>2</v>
      </c>
      <c r="I141" s="7" t="s">
        <v>2</v>
      </c>
      <c r="J141" s="7" t="s">
        <v>78</v>
      </c>
    </row>
    <row r="142" spans="1:10" x14ac:dyDescent="0.25" outlineLevel="1" collapsed="1">
      <c r="A142" s="8" t="s">
        <v>15</v>
      </c>
      <c r="B142" s="9" t="s">
        <v>823</v>
      </c>
      <c r="C142" s="8" t="s">
        <v>2</v>
      </c>
      <c r="D142" s="8"/>
      <c r="E142" s="8" t="s">
        <v>866</v>
      </c>
      <c r="F142" s="8" t="s">
        <v>17</v>
      </c>
      <c r="G142" s="8" t="s">
        <v>2</v>
      </c>
      <c r="H142" s="8" t="s">
        <v>2</v>
      </c>
      <c r="I142" s="8" t="s">
        <v>2</v>
      </c>
      <c r="J142" s="8" t="s">
        <v>867</v>
      </c>
    </row>
    <row r="143" spans="1:10" x14ac:dyDescent="0.25" outlineLevel="2" collapsed="1">
      <c r="A143" s="7" t="s">
        <v>15</v>
      </c>
      <c r="B143" s="7" t="s">
        <v>44</v>
      </c>
      <c r="C143" s="10" t="s">
        <v>826</v>
      </c>
      <c r="D143" s="7"/>
      <c r="E143" s="7" t="s">
        <v>827</v>
      </c>
      <c r="F143" s="7" t="s">
        <v>17</v>
      </c>
      <c r="G143" s="7" t="s">
        <v>15</v>
      </c>
      <c r="H143" s="7" t="s">
        <v>2</v>
      </c>
      <c r="I143" s="7" t="s">
        <v>2</v>
      </c>
      <c r="J143" s="7" t="s">
        <v>828</v>
      </c>
    </row>
    <row r="144" spans="1:10" x14ac:dyDescent="0.25" outlineLevel="2" collapsed="1">
      <c r="A144" s="7" t="s">
        <v>17</v>
      </c>
      <c r="B144" s="7" t="s">
        <v>20</v>
      </c>
      <c r="C144" s="7" t="s">
        <v>2</v>
      </c>
      <c r="D144" s="7"/>
      <c r="E144" s="7" t="s">
        <v>76</v>
      </c>
      <c r="F144" s="7" t="s">
        <v>17</v>
      </c>
      <c r="G144" s="7" t="s">
        <v>22</v>
      </c>
      <c r="H144" s="7" t="s">
        <v>2</v>
      </c>
      <c r="I144" s="7" t="s">
        <v>2</v>
      </c>
      <c r="J144" s="7" t="s">
        <v>78</v>
      </c>
    </row>
    <row r="145" spans="1:10" x14ac:dyDescent="0.25">
      <c r="A145" s="5" t="s">
        <v>15</v>
      </c>
      <c r="B145" s="6" t="s">
        <v>868</v>
      </c>
      <c r="C145" s="5" t="s">
        <v>2</v>
      </c>
      <c r="D145" s="5"/>
      <c r="E145" s="5" t="s">
        <v>869</v>
      </c>
      <c r="F145" s="5" t="s">
        <v>17</v>
      </c>
      <c r="G145" s="5" t="s">
        <v>870</v>
      </c>
      <c r="H145" s="5" t="s">
        <v>2</v>
      </c>
      <c r="I145" s="5" t="s">
        <v>2</v>
      </c>
      <c r="J145" s="5" t="s">
        <v>871</v>
      </c>
    </row>
    <row r="146" spans="1:10" x14ac:dyDescent="0.25" outlineLevel="1" collapsed="1">
      <c r="A146" s="7" t="s">
        <v>15</v>
      </c>
      <c r="B146" s="7" t="s">
        <v>20</v>
      </c>
      <c r="C146" s="7" t="s">
        <v>2</v>
      </c>
      <c r="D146" s="7"/>
      <c r="E146" s="7" t="s">
        <v>872</v>
      </c>
      <c r="F146" s="7" t="s">
        <v>17</v>
      </c>
      <c r="G146" s="7" t="s">
        <v>22</v>
      </c>
      <c r="H146" s="7" t="s">
        <v>2</v>
      </c>
      <c r="I146" s="7" t="s">
        <v>2</v>
      </c>
      <c r="J146" s="7" t="s">
        <v>873</v>
      </c>
    </row>
    <row r="147" spans="1:10" x14ac:dyDescent="0.25" outlineLevel="1" collapsed="1">
      <c r="A147" s="7" t="s">
        <v>15</v>
      </c>
      <c r="B147" s="7" t="s">
        <v>20</v>
      </c>
      <c r="C147" s="7" t="s">
        <v>2</v>
      </c>
      <c r="D147" s="7"/>
      <c r="E147" s="7" t="s">
        <v>874</v>
      </c>
      <c r="F147" s="7" t="s">
        <v>17</v>
      </c>
      <c r="G147" s="7" t="s">
        <v>22</v>
      </c>
      <c r="H147" s="7" t="s">
        <v>2</v>
      </c>
      <c r="I147" s="7" t="s">
        <v>2</v>
      </c>
      <c r="J147" s="7" t="s">
        <v>875</v>
      </c>
    </row>
    <row r="148" spans="1:10" x14ac:dyDescent="0.25">
      <c r="A148" s="5" t="s">
        <v>15</v>
      </c>
      <c r="B148" s="6" t="s">
        <v>876</v>
      </c>
      <c r="C148" s="5" t="s">
        <v>2</v>
      </c>
      <c r="D148" s="5"/>
      <c r="E148" s="5" t="s">
        <v>876</v>
      </c>
      <c r="F148" s="5" t="s">
        <v>17</v>
      </c>
      <c r="G148" s="5" t="s">
        <v>877</v>
      </c>
      <c r="H148" s="5" t="s">
        <v>2</v>
      </c>
      <c r="I148" s="5" t="s">
        <v>2</v>
      </c>
      <c r="J148" s="5" t="s">
        <v>878</v>
      </c>
    </row>
    <row r="149" spans="1:10" x14ac:dyDescent="0.25" outlineLevel="1" collapsed="1">
      <c r="A149" s="7" t="s">
        <v>15</v>
      </c>
      <c r="B149" s="7" t="s">
        <v>20</v>
      </c>
      <c r="C149" s="7" t="s">
        <v>2</v>
      </c>
      <c r="D149" s="7"/>
      <c r="E149" s="7" t="s">
        <v>879</v>
      </c>
      <c r="F149" s="7" t="s">
        <v>17</v>
      </c>
      <c r="G149" s="7" t="s">
        <v>22</v>
      </c>
      <c r="H149" s="7" t="s">
        <v>2</v>
      </c>
      <c r="I149" s="7" t="s">
        <v>2</v>
      </c>
      <c r="J149" s="7" t="s">
        <v>880</v>
      </c>
    </row>
    <row r="150" spans="1:10" x14ac:dyDescent="0.25" outlineLevel="1" collapsed="1">
      <c r="A150" s="7" t="s">
        <v>15</v>
      </c>
      <c r="B150" s="7" t="s">
        <v>20</v>
      </c>
      <c r="C150" s="7" t="s">
        <v>2</v>
      </c>
      <c r="D150" s="7"/>
      <c r="E150" s="7" t="s">
        <v>655</v>
      </c>
      <c r="F150" s="7" t="s">
        <v>17</v>
      </c>
      <c r="G150" s="7" t="s">
        <v>22</v>
      </c>
      <c r="H150" s="7" t="s">
        <v>2</v>
      </c>
      <c r="I150" s="7" t="s">
        <v>2</v>
      </c>
      <c r="J150" s="7" t="s">
        <v>656</v>
      </c>
    </row>
    <row r="151" spans="1:10" x14ac:dyDescent="0.25">
      <c r="A151" s="5" t="s">
        <v>15</v>
      </c>
      <c r="B151" s="6" t="s">
        <v>881</v>
      </c>
      <c r="C151" s="5" t="s">
        <v>2</v>
      </c>
      <c r="D151" s="5"/>
      <c r="E151" s="5" t="s">
        <v>882</v>
      </c>
      <c r="F151" s="5" t="s">
        <v>17</v>
      </c>
      <c r="G151" s="5" t="s">
        <v>883</v>
      </c>
      <c r="H151" s="5" t="s">
        <v>2</v>
      </c>
      <c r="I151" s="5" t="s">
        <v>2</v>
      </c>
      <c r="J151" s="5" t="s">
        <v>884</v>
      </c>
    </row>
    <row r="152" spans="1:10" x14ac:dyDescent="0.25" outlineLevel="1" collapsed="1">
      <c r="A152" s="7" t="s">
        <v>15</v>
      </c>
      <c r="B152" s="7" t="s">
        <v>133</v>
      </c>
      <c r="C152" s="7" t="s">
        <v>885</v>
      </c>
      <c r="D152" s="7"/>
      <c r="E152" s="7" t="s">
        <v>886</v>
      </c>
      <c r="F152" s="7" t="s">
        <v>17</v>
      </c>
      <c r="G152" s="7" t="s">
        <v>887</v>
      </c>
      <c r="H152" s="7" t="s">
        <v>2</v>
      </c>
      <c r="I152" s="7" t="s">
        <v>2</v>
      </c>
      <c r="J152" s="7" t="s">
        <v>888</v>
      </c>
    </row>
    <row r="153" spans="1:10" x14ac:dyDescent="0.25" outlineLevel="1" collapsed="1">
      <c r="A153" s="7" t="s">
        <v>15</v>
      </c>
      <c r="B153" s="7" t="s">
        <v>194</v>
      </c>
      <c r="C153" s="7" t="s">
        <v>2</v>
      </c>
      <c r="D153" s="7"/>
      <c r="E153" s="7" t="s">
        <v>889</v>
      </c>
      <c r="F153" s="7" t="s">
        <v>17</v>
      </c>
      <c r="G153" s="7">
        <v>1</v>
      </c>
      <c r="H153" s="7" t="s">
        <v>2</v>
      </c>
      <c r="I153" s="7" t="s">
        <v>2</v>
      </c>
      <c r="J153" s="7" t="s">
        <v>890</v>
      </c>
    </row>
    <row r="154" spans="1:10" x14ac:dyDescent="0.25" outlineLevel="1" collapsed="1">
      <c r="A154" s="7" t="s">
        <v>15</v>
      </c>
      <c r="B154" s="7" t="s">
        <v>194</v>
      </c>
      <c r="C154" s="7" t="s">
        <v>2</v>
      </c>
      <c r="D154" s="7"/>
      <c r="E154" s="7" t="s">
        <v>891</v>
      </c>
      <c r="F154" s="7" t="s">
        <v>17</v>
      </c>
      <c r="G154" s="7">
        <v>1</v>
      </c>
      <c r="H154" s="7" t="s">
        <v>2</v>
      </c>
      <c r="I154" s="7" t="s">
        <v>2</v>
      </c>
      <c r="J154" s="7" t="s">
        <v>892</v>
      </c>
    </row>
    <row r="155" spans="1:10" x14ac:dyDescent="0.25" outlineLevel="1" collapsed="1">
      <c r="A155" s="7" t="s">
        <v>15</v>
      </c>
      <c r="B155" s="7" t="s">
        <v>194</v>
      </c>
      <c r="C155" s="7" t="s">
        <v>2</v>
      </c>
      <c r="D155" s="7"/>
      <c r="E155" s="7" t="s">
        <v>893</v>
      </c>
      <c r="F155" s="7" t="s">
        <v>17</v>
      </c>
      <c r="G155" s="7">
        <v>1</v>
      </c>
      <c r="H155" s="7" t="s">
        <v>2</v>
      </c>
      <c r="I155" s="7" t="s">
        <v>2</v>
      </c>
      <c r="J155" s="7" t="s">
        <v>894</v>
      </c>
    </row>
    <row r="156" spans="1:10" x14ac:dyDescent="0.25" outlineLevel="1" collapsed="1">
      <c r="A156" s="7" t="s">
        <v>17</v>
      </c>
      <c r="B156" s="7" t="s">
        <v>53</v>
      </c>
      <c r="C156" s="7" t="s">
        <v>2</v>
      </c>
      <c r="D156" s="7"/>
      <c r="E156" s="7" t="s">
        <v>895</v>
      </c>
      <c r="F156" s="7" t="s">
        <v>17</v>
      </c>
      <c r="G156" s="7">
        <v>1</v>
      </c>
      <c r="H156" s="7" t="s">
        <v>2</v>
      </c>
      <c r="I156" s="7" t="s">
        <v>2</v>
      </c>
      <c r="J156" s="7" t="s">
        <v>896</v>
      </c>
    </row>
    <row r="157" spans="1:10" x14ac:dyDescent="0.25">
      <c r="A157" s="5" t="s">
        <v>15</v>
      </c>
      <c r="B157" s="6" t="s">
        <v>897</v>
      </c>
      <c r="C157" s="5" t="s">
        <v>2</v>
      </c>
      <c r="D157" s="5"/>
      <c r="E157" s="5" t="s">
        <v>898</v>
      </c>
      <c r="F157" s="5" t="s">
        <v>17</v>
      </c>
      <c r="G157" s="5" t="s">
        <v>899</v>
      </c>
      <c r="H157" s="5" t="s">
        <v>2</v>
      </c>
      <c r="I157" s="5" t="s">
        <v>2</v>
      </c>
      <c r="J157" s="5" t="s">
        <v>900</v>
      </c>
    </row>
    <row r="158" spans="1:10" x14ac:dyDescent="0.25" outlineLevel="1" collapsed="1">
      <c r="A158" s="7" t="s">
        <v>15</v>
      </c>
      <c r="B158" s="7" t="s">
        <v>26</v>
      </c>
      <c r="C158" s="7" t="s">
        <v>2</v>
      </c>
      <c r="D158" s="7"/>
      <c r="E158" s="7" t="s">
        <v>901</v>
      </c>
      <c r="F158" s="7" t="s">
        <v>17</v>
      </c>
      <c r="G158" s="7" t="s">
        <v>37</v>
      </c>
      <c r="H158" s="7" t="s">
        <v>2</v>
      </c>
      <c r="I158" s="7" t="s">
        <v>2</v>
      </c>
      <c r="J158" s="7" t="s">
        <v>902</v>
      </c>
    </row>
    <row r="159" spans="1:10" x14ac:dyDescent="0.25" outlineLevel="1" collapsed="1">
      <c r="A159" s="8" t="s">
        <v>15</v>
      </c>
      <c r="B159" s="9" t="s">
        <v>34</v>
      </c>
      <c r="C159" s="8" t="s">
        <v>2</v>
      </c>
      <c r="D159" s="8"/>
      <c r="E159" s="8" t="s">
        <v>897</v>
      </c>
      <c r="F159" s="8" t="s">
        <v>17</v>
      </c>
      <c r="G159" s="8" t="s">
        <v>2</v>
      </c>
      <c r="H159" s="8" t="s">
        <v>2</v>
      </c>
      <c r="I159" s="8" t="s">
        <v>2</v>
      </c>
      <c r="J159" s="8" t="s">
        <v>903</v>
      </c>
    </row>
    <row r="160" spans="1:10" x14ac:dyDescent="0.25" outlineLevel="2" collapsed="1">
      <c r="A160" s="7" t="s">
        <v>15</v>
      </c>
      <c r="B160" s="7" t="s">
        <v>26</v>
      </c>
      <c r="C160" s="7" t="s">
        <v>2</v>
      </c>
      <c r="D160" s="7"/>
      <c r="E160" s="7" t="s">
        <v>36</v>
      </c>
      <c r="F160" s="7" t="s">
        <v>17</v>
      </c>
      <c r="G160" s="7" t="s">
        <v>37</v>
      </c>
      <c r="H160" s="7" t="s">
        <v>2</v>
      </c>
      <c r="I160" s="7" t="s">
        <v>2</v>
      </c>
      <c r="J160" s="7" t="s">
        <v>38</v>
      </c>
    </row>
    <row r="161" spans="1:10" x14ac:dyDescent="0.25" outlineLevel="2" collapsed="1">
      <c r="A161" s="7" t="s">
        <v>15</v>
      </c>
      <c r="B161" s="7" t="s">
        <v>26</v>
      </c>
      <c r="C161" s="7" t="s">
        <v>2</v>
      </c>
      <c r="D161" s="7"/>
      <c r="E161" s="7" t="s">
        <v>39</v>
      </c>
      <c r="F161" s="7" t="s">
        <v>17</v>
      </c>
      <c r="G161" s="7" t="s">
        <v>37</v>
      </c>
      <c r="H161" s="7" t="s">
        <v>2</v>
      </c>
      <c r="I161" s="7" t="s">
        <v>2</v>
      </c>
      <c r="J161" s="7" t="s">
        <v>40</v>
      </c>
    </row>
    <row r="162" spans="1:10" x14ac:dyDescent="0.25" outlineLevel="1" collapsed="1">
      <c r="A162" s="7" t="s">
        <v>15</v>
      </c>
      <c r="B162" s="7" t="s">
        <v>44</v>
      </c>
      <c r="C162" s="10" t="s">
        <v>904</v>
      </c>
      <c r="D162" s="7"/>
      <c r="E162" s="7" t="s">
        <v>905</v>
      </c>
      <c r="F162" s="7" t="s">
        <v>17</v>
      </c>
      <c r="G162" s="7" t="s">
        <v>906</v>
      </c>
      <c r="H162" s="7" t="s">
        <v>2</v>
      </c>
      <c r="I162" s="7" t="s">
        <v>2</v>
      </c>
      <c r="J162" s="7" t="s">
        <v>907</v>
      </c>
    </row>
    <row r="163" spans="1:10" x14ac:dyDescent="0.25" outlineLevel="1" collapsed="1">
      <c r="A163" s="7" t="s">
        <v>15</v>
      </c>
      <c r="B163" s="7" t="s">
        <v>20</v>
      </c>
      <c r="C163" s="7" t="s">
        <v>2</v>
      </c>
      <c r="D163" s="7"/>
      <c r="E163" s="7" t="s">
        <v>908</v>
      </c>
      <c r="F163" s="7" t="s">
        <v>17</v>
      </c>
      <c r="G163" s="7" t="s">
        <v>22</v>
      </c>
      <c r="H163" s="7" t="s">
        <v>2</v>
      </c>
      <c r="I163" s="7" t="s">
        <v>2</v>
      </c>
      <c r="J163" s="7" t="s">
        <v>909</v>
      </c>
    </row>
    <row r="164" spans="1:10" x14ac:dyDescent="0.25">
      <c r="A164" s="5" t="s">
        <v>15</v>
      </c>
      <c r="B164" s="6" t="s">
        <v>910</v>
      </c>
      <c r="C164" s="5" t="s">
        <v>2</v>
      </c>
      <c r="D164" s="5"/>
      <c r="E164" s="5" t="s">
        <v>910</v>
      </c>
      <c r="F164" s="5" t="s">
        <v>17</v>
      </c>
      <c r="G164" s="5" t="s">
        <v>911</v>
      </c>
      <c r="H164" s="5" t="s">
        <v>2</v>
      </c>
      <c r="I164" s="5" t="s">
        <v>2</v>
      </c>
      <c r="J164" s="5" t="s">
        <v>912</v>
      </c>
    </row>
    <row r="165" spans="1:10" x14ac:dyDescent="0.25" outlineLevel="1" collapsed="1">
      <c r="A165" s="8" t="s">
        <v>15</v>
      </c>
      <c r="B165" s="9" t="s">
        <v>823</v>
      </c>
      <c r="C165" s="8" t="s">
        <v>2</v>
      </c>
      <c r="D165" s="8"/>
      <c r="E165" s="8" t="s">
        <v>913</v>
      </c>
      <c r="F165" s="8" t="s">
        <v>17</v>
      </c>
      <c r="G165" s="8" t="s">
        <v>2</v>
      </c>
      <c r="H165" s="8" t="s">
        <v>2</v>
      </c>
      <c r="I165" s="8" t="s">
        <v>2</v>
      </c>
      <c r="J165" s="8" t="s">
        <v>914</v>
      </c>
    </row>
    <row r="166" spans="1:10" x14ac:dyDescent="0.25" outlineLevel="2" collapsed="1">
      <c r="A166" s="7" t="s">
        <v>15</v>
      </c>
      <c r="B166" s="7" t="s">
        <v>44</v>
      </c>
      <c r="C166" s="10" t="s">
        <v>826</v>
      </c>
      <c r="D166" s="7"/>
      <c r="E166" s="7" t="s">
        <v>827</v>
      </c>
      <c r="F166" s="7" t="s">
        <v>17</v>
      </c>
      <c r="G166" s="7" t="s">
        <v>15</v>
      </c>
      <c r="H166" s="7" t="s">
        <v>2</v>
      </c>
      <c r="I166" s="7" t="s">
        <v>2</v>
      </c>
      <c r="J166" s="7" t="s">
        <v>828</v>
      </c>
    </row>
    <row r="167" spans="1:10" x14ac:dyDescent="0.25" outlineLevel="2" collapsed="1">
      <c r="A167" s="7" t="s">
        <v>17</v>
      </c>
      <c r="B167" s="7" t="s">
        <v>20</v>
      </c>
      <c r="C167" s="7" t="s">
        <v>2</v>
      </c>
      <c r="D167" s="7"/>
      <c r="E167" s="7" t="s">
        <v>76</v>
      </c>
      <c r="F167" s="7" t="s">
        <v>17</v>
      </c>
      <c r="G167" s="7" t="s">
        <v>22</v>
      </c>
      <c r="H167" s="7" t="s">
        <v>2</v>
      </c>
      <c r="I167" s="7" t="s">
        <v>2</v>
      </c>
      <c r="J167" s="7" t="s">
        <v>78</v>
      </c>
    </row>
    <row r="168" spans="1:10" x14ac:dyDescent="0.25" outlineLevel="1" collapsed="1">
      <c r="A168" s="8" t="s">
        <v>15</v>
      </c>
      <c r="B168" s="9" t="s">
        <v>823</v>
      </c>
      <c r="C168" s="8" t="s">
        <v>2</v>
      </c>
      <c r="D168" s="8"/>
      <c r="E168" s="8" t="s">
        <v>915</v>
      </c>
      <c r="F168" s="8" t="s">
        <v>17</v>
      </c>
      <c r="G168" s="8" t="s">
        <v>2</v>
      </c>
      <c r="H168" s="8" t="s">
        <v>2</v>
      </c>
      <c r="I168" s="8" t="s">
        <v>2</v>
      </c>
      <c r="J168" s="8" t="s">
        <v>916</v>
      </c>
    </row>
    <row r="169" spans="1:10" x14ac:dyDescent="0.25" outlineLevel="2" collapsed="1">
      <c r="A169" s="7" t="s">
        <v>15</v>
      </c>
      <c r="B169" s="7" t="s">
        <v>44</v>
      </c>
      <c r="C169" s="10" t="s">
        <v>826</v>
      </c>
      <c r="D169" s="7"/>
      <c r="E169" s="7" t="s">
        <v>827</v>
      </c>
      <c r="F169" s="7" t="s">
        <v>17</v>
      </c>
      <c r="G169" s="7" t="s">
        <v>15</v>
      </c>
      <c r="H169" s="7" t="s">
        <v>2</v>
      </c>
      <c r="I169" s="7" t="s">
        <v>2</v>
      </c>
      <c r="J169" s="7" t="s">
        <v>828</v>
      </c>
    </row>
    <row r="170" spans="1:10" x14ac:dyDescent="0.25" outlineLevel="2" collapsed="1">
      <c r="A170" s="7" t="s">
        <v>17</v>
      </c>
      <c r="B170" s="7" t="s">
        <v>20</v>
      </c>
      <c r="C170" s="7" t="s">
        <v>2</v>
      </c>
      <c r="D170" s="7"/>
      <c r="E170" s="7" t="s">
        <v>76</v>
      </c>
      <c r="F170" s="7" t="s">
        <v>17</v>
      </c>
      <c r="G170" s="7" t="s">
        <v>22</v>
      </c>
      <c r="H170" s="7" t="s">
        <v>2</v>
      </c>
      <c r="I170" s="7" t="s">
        <v>2</v>
      </c>
      <c r="J170" s="7" t="s">
        <v>78</v>
      </c>
    </row>
    <row r="171" spans="1:10" x14ac:dyDescent="0.25" outlineLevel="1" collapsed="1">
      <c r="A171" s="8" t="s">
        <v>15</v>
      </c>
      <c r="B171" s="9" t="s">
        <v>823</v>
      </c>
      <c r="C171" s="8" t="s">
        <v>2</v>
      </c>
      <c r="D171" s="8"/>
      <c r="E171" s="8" t="s">
        <v>917</v>
      </c>
      <c r="F171" s="8" t="s">
        <v>17</v>
      </c>
      <c r="G171" s="8" t="s">
        <v>2</v>
      </c>
      <c r="H171" s="8" t="s">
        <v>2</v>
      </c>
      <c r="I171" s="8" t="s">
        <v>2</v>
      </c>
      <c r="J171" s="8" t="s">
        <v>918</v>
      </c>
    </row>
    <row r="172" spans="1:10" x14ac:dyDescent="0.25" outlineLevel="2" collapsed="1">
      <c r="A172" s="7" t="s">
        <v>15</v>
      </c>
      <c r="B172" s="7" t="s">
        <v>44</v>
      </c>
      <c r="C172" s="10" t="s">
        <v>826</v>
      </c>
      <c r="D172" s="7"/>
      <c r="E172" s="7" t="s">
        <v>827</v>
      </c>
      <c r="F172" s="7" t="s">
        <v>17</v>
      </c>
      <c r="G172" s="7" t="s">
        <v>15</v>
      </c>
      <c r="H172" s="7" t="s">
        <v>2</v>
      </c>
      <c r="I172" s="7" t="s">
        <v>2</v>
      </c>
      <c r="J172" s="7" t="s">
        <v>828</v>
      </c>
    </row>
    <row r="173" spans="1:10" x14ac:dyDescent="0.25" outlineLevel="2" collapsed="1">
      <c r="A173" s="7" t="s">
        <v>17</v>
      </c>
      <c r="B173" s="7" t="s">
        <v>20</v>
      </c>
      <c r="C173" s="7" t="s">
        <v>2</v>
      </c>
      <c r="D173" s="7"/>
      <c r="E173" s="7" t="s">
        <v>76</v>
      </c>
      <c r="F173" s="7" t="s">
        <v>17</v>
      </c>
      <c r="G173" s="7" t="s">
        <v>22</v>
      </c>
      <c r="H173" s="7" t="s">
        <v>2</v>
      </c>
      <c r="I173" s="7" t="s">
        <v>2</v>
      </c>
      <c r="J173" s="7" t="s">
        <v>78</v>
      </c>
    </row>
    <row r="174" spans="1:10" x14ac:dyDescent="0.25" outlineLevel="1" collapsed="1">
      <c r="A174" s="8" t="s">
        <v>15</v>
      </c>
      <c r="B174" s="9" t="s">
        <v>823</v>
      </c>
      <c r="C174" s="8" t="s">
        <v>2</v>
      </c>
      <c r="D174" s="8"/>
      <c r="E174" s="8" t="s">
        <v>919</v>
      </c>
      <c r="F174" s="8" t="s">
        <v>17</v>
      </c>
      <c r="G174" s="8" t="s">
        <v>2</v>
      </c>
      <c r="H174" s="8" t="s">
        <v>2</v>
      </c>
      <c r="I174" s="8" t="s">
        <v>2</v>
      </c>
      <c r="J174" s="8" t="s">
        <v>920</v>
      </c>
    </row>
    <row r="175" spans="1:10" x14ac:dyDescent="0.25" outlineLevel="2" collapsed="1">
      <c r="A175" s="7" t="s">
        <v>15</v>
      </c>
      <c r="B175" s="7" t="s">
        <v>44</v>
      </c>
      <c r="C175" s="10" t="s">
        <v>826</v>
      </c>
      <c r="D175" s="7"/>
      <c r="E175" s="7" t="s">
        <v>827</v>
      </c>
      <c r="F175" s="7" t="s">
        <v>17</v>
      </c>
      <c r="G175" s="7" t="s">
        <v>15</v>
      </c>
      <c r="H175" s="7" t="s">
        <v>2</v>
      </c>
      <c r="I175" s="7" t="s">
        <v>2</v>
      </c>
      <c r="J175" s="7" t="s">
        <v>828</v>
      </c>
    </row>
    <row r="176" spans="1:10" x14ac:dyDescent="0.25" outlineLevel="2" collapsed="1">
      <c r="A176" s="7" t="s">
        <v>17</v>
      </c>
      <c r="B176" s="7" t="s">
        <v>20</v>
      </c>
      <c r="C176" s="7" t="s">
        <v>2</v>
      </c>
      <c r="D176" s="7"/>
      <c r="E176" s="7" t="s">
        <v>76</v>
      </c>
      <c r="F176" s="7" t="s">
        <v>17</v>
      </c>
      <c r="G176" s="7" t="s">
        <v>22</v>
      </c>
      <c r="H176" s="7" t="s">
        <v>2</v>
      </c>
      <c r="I176" s="7" t="s">
        <v>2</v>
      </c>
      <c r="J176" s="7" t="s">
        <v>78</v>
      </c>
    </row>
    <row r="177" spans="1:10" x14ac:dyDescent="0.25" outlineLevel="1" collapsed="1">
      <c r="A177" s="8" t="s">
        <v>15</v>
      </c>
      <c r="B177" s="9" t="s">
        <v>823</v>
      </c>
      <c r="C177" s="8" t="s">
        <v>2</v>
      </c>
      <c r="D177" s="8"/>
      <c r="E177" s="8" t="s">
        <v>921</v>
      </c>
      <c r="F177" s="8" t="s">
        <v>17</v>
      </c>
      <c r="G177" s="8" t="s">
        <v>2</v>
      </c>
      <c r="H177" s="8" t="s">
        <v>2</v>
      </c>
      <c r="I177" s="8" t="s">
        <v>2</v>
      </c>
      <c r="J177" s="8" t="s">
        <v>922</v>
      </c>
    </row>
    <row r="178" spans="1:10" x14ac:dyDescent="0.25" outlineLevel="2" collapsed="1">
      <c r="A178" s="7" t="s">
        <v>15</v>
      </c>
      <c r="B178" s="7" t="s">
        <v>44</v>
      </c>
      <c r="C178" s="10" t="s">
        <v>826</v>
      </c>
      <c r="D178" s="7"/>
      <c r="E178" s="7" t="s">
        <v>827</v>
      </c>
      <c r="F178" s="7" t="s">
        <v>17</v>
      </c>
      <c r="G178" s="7" t="s">
        <v>15</v>
      </c>
      <c r="H178" s="7" t="s">
        <v>2</v>
      </c>
      <c r="I178" s="7" t="s">
        <v>2</v>
      </c>
      <c r="J178" s="7" t="s">
        <v>828</v>
      </c>
    </row>
    <row r="179" spans="1:10" x14ac:dyDescent="0.25" outlineLevel="2" collapsed="1">
      <c r="A179" s="7" t="s">
        <v>17</v>
      </c>
      <c r="B179" s="7" t="s">
        <v>20</v>
      </c>
      <c r="C179" s="7" t="s">
        <v>2</v>
      </c>
      <c r="D179" s="7"/>
      <c r="E179" s="7" t="s">
        <v>76</v>
      </c>
      <c r="F179" s="7" t="s">
        <v>17</v>
      </c>
      <c r="G179" s="7" t="s">
        <v>22</v>
      </c>
      <c r="H179" s="7" t="s">
        <v>2</v>
      </c>
      <c r="I179" s="7" t="s">
        <v>2</v>
      </c>
      <c r="J179" s="7" t="s">
        <v>78</v>
      </c>
    </row>
    <row r="180" spans="1:10" x14ac:dyDescent="0.25" outlineLevel="1" collapsed="1">
      <c r="A180" s="8" t="s">
        <v>15</v>
      </c>
      <c r="B180" s="9" t="s">
        <v>823</v>
      </c>
      <c r="C180" s="8" t="s">
        <v>2</v>
      </c>
      <c r="D180" s="8"/>
      <c r="E180" s="8" t="s">
        <v>923</v>
      </c>
      <c r="F180" s="8" t="s">
        <v>17</v>
      </c>
      <c r="G180" s="8" t="s">
        <v>2</v>
      </c>
      <c r="H180" s="8" t="s">
        <v>2</v>
      </c>
      <c r="I180" s="8" t="s">
        <v>2</v>
      </c>
      <c r="J180" s="8" t="s">
        <v>924</v>
      </c>
    </row>
    <row r="181" spans="1:10" x14ac:dyDescent="0.25" outlineLevel="2" collapsed="1">
      <c r="A181" s="7" t="s">
        <v>15</v>
      </c>
      <c r="B181" s="7" t="s">
        <v>44</v>
      </c>
      <c r="C181" s="10" t="s">
        <v>826</v>
      </c>
      <c r="D181" s="7"/>
      <c r="E181" s="7" t="s">
        <v>827</v>
      </c>
      <c r="F181" s="7" t="s">
        <v>17</v>
      </c>
      <c r="G181" s="7" t="s">
        <v>15</v>
      </c>
      <c r="H181" s="7" t="s">
        <v>2</v>
      </c>
      <c r="I181" s="7" t="s">
        <v>2</v>
      </c>
      <c r="J181" s="7" t="s">
        <v>828</v>
      </c>
    </row>
    <row r="182" spans="1:10" x14ac:dyDescent="0.25" outlineLevel="2" collapsed="1">
      <c r="A182" s="7" t="s">
        <v>17</v>
      </c>
      <c r="B182" s="7" t="s">
        <v>20</v>
      </c>
      <c r="C182" s="7" t="s">
        <v>2</v>
      </c>
      <c r="D182" s="7"/>
      <c r="E182" s="7" t="s">
        <v>76</v>
      </c>
      <c r="F182" s="7" t="s">
        <v>17</v>
      </c>
      <c r="G182" s="7" t="s">
        <v>22</v>
      </c>
      <c r="H182" s="7" t="s">
        <v>2</v>
      </c>
      <c r="I182" s="7" t="s">
        <v>2</v>
      </c>
      <c r="J182" s="7" t="s">
        <v>78</v>
      </c>
    </row>
    <row r="183" spans="1:10" x14ac:dyDescent="0.25" outlineLevel="1" collapsed="1">
      <c r="A183" s="8" t="s">
        <v>15</v>
      </c>
      <c r="B183" s="9" t="s">
        <v>823</v>
      </c>
      <c r="C183" s="8" t="s">
        <v>2</v>
      </c>
      <c r="D183" s="8"/>
      <c r="E183" s="8" t="s">
        <v>925</v>
      </c>
      <c r="F183" s="8" t="s">
        <v>17</v>
      </c>
      <c r="G183" s="8" t="s">
        <v>2</v>
      </c>
      <c r="H183" s="8" t="s">
        <v>2</v>
      </c>
      <c r="I183" s="8" t="s">
        <v>2</v>
      </c>
      <c r="J183" s="8" t="s">
        <v>926</v>
      </c>
    </row>
    <row r="184" spans="1:10" x14ac:dyDescent="0.25" outlineLevel="2" collapsed="1">
      <c r="A184" s="7" t="s">
        <v>15</v>
      </c>
      <c r="B184" s="7" t="s">
        <v>44</v>
      </c>
      <c r="C184" s="10" t="s">
        <v>826</v>
      </c>
      <c r="D184" s="7"/>
      <c r="E184" s="7" t="s">
        <v>827</v>
      </c>
      <c r="F184" s="7" t="s">
        <v>17</v>
      </c>
      <c r="G184" s="7" t="s">
        <v>15</v>
      </c>
      <c r="H184" s="7" t="s">
        <v>2</v>
      </c>
      <c r="I184" s="7" t="s">
        <v>2</v>
      </c>
      <c r="J184" s="7" t="s">
        <v>828</v>
      </c>
    </row>
    <row r="185" spans="1:10" x14ac:dyDescent="0.25" outlineLevel="2" collapsed="1">
      <c r="A185" s="7" t="s">
        <v>17</v>
      </c>
      <c r="B185" s="7" t="s">
        <v>20</v>
      </c>
      <c r="C185" s="7" t="s">
        <v>2</v>
      </c>
      <c r="D185" s="7"/>
      <c r="E185" s="7" t="s">
        <v>76</v>
      </c>
      <c r="F185" s="7" t="s">
        <v>17</v>
      </c>
      <c r="G185" s="7" t="s">
        <v>22</v>
      </c>
      <c r="H185" s="7" t="s">
        <v>2</v>
      </c>
      <c r="I185" s="7" t="s">
        <v>2</v>
      </c>
      <c r="J185" s="7" t="s">
        <v>78</v>
      </c>
    </row>
    <row r="186" spans="1:10" x14ac:dyDescent="0.25" outlineLevel="1" collapsed="1">
      <c r="A186" s="8" t="s">
        <v>15</v>
      </c>
      <c r="B186" s="9" t="s">
        <v>823</v>
      </c>
      <c r="C186" s="8" t="s">
        <v>2</v>
      </c>
      <c r="D186" s="8"/>
      <c r="E186" s="8" t="s">
        <v>927</v>
      </c>
      <c r="F186" s="8" t="s">
        <v>17</v>
      </c>
      <c r="G186" s="8" t="s">
        <v>2</v>
      </c>
      <c r="H186" s="8" t="s">
        <v>2</v>
      </c>
      <c r="I186" s="8" t="s">
        <v>2</v>
      </c>
      <c r="J186" s="8" t="s">
        <v>928</v>
      </c>
    </row>
    <row r="187" spans="1:10" x14ac:dyDescent="0.25" outlineLevel="2" collapsed="1">
      <c r="A187" s="7" t="s">
        <v>15</v>
      </c>
      <c r="B187" s="7" t="s">
        <v>44</v>
      </c>
      <c r="C187" s="10" t="s">
        <v>826</v>
      </c>
      <c r="D187" s="7"/>
      <c r="E187" s="7" t="s">
        <v>827</v>
      </c>
      <c r="F187" s="7" t="s">
        <v>17</v>
      </c>
      <c r="G187" s="7" t="s">
        <v>15</v>
      </c>
      <c r="H187" s="7" t="s">
        <v>2</v>
      </c>
      <c r="I187" s="7" t="s">
        <v>2</v>
      </c>
      <c r="J187" s="7" t="s">
        <v>828</v>
      </c>
    </row>
    <row r="188" spans="1:10" x14ac:dyDescent="0.25" outlineLevel="2" collapsed="1">
      <c r="A188" s="7" t="s">
        <v>17</v>
      </c>
      <c r="B188" s="7" t="s">
        <v>20</v>
      </c>
      <c r="C188" s="7" t="s">
        <v>2</v>
      </c>
      <c r="D188" s="7"/>
      <c r="E188" s="7" t="s">
        <v>76</v>
      </c>
      <c r="F188" s="7" t="s">
        <v>17</v>
      </c>
      <c r="G188" s="7" t="s">
        <v>22</v>
      </c>
      <c r="H188" s="7" t="s">
        <v>2</v>
      </c>
      <c r="I188" s="7" t="s">
        <v>2</v>
      </c>
      <c r="J188" s="7" t="s">
        <v>78</v>
      </c>
    </row>
    <row r="189" spans="1:10" x14ac:dyDescent="0.25">
      <c r="A189" s="5" t="s">
        <v>15</v>
      </c>
      <c r="B189" s="6" t="s">
        <v>929</v>
      </c>
      <c r="C189" s="5" t="s">
        <v>2</v>
      </c>
      <c r="D189" s="5"/>
      <c r="E189" s="5" t="s">
        <v>929</v>
      </c>
      <c r="F189" s="5" t="s">
        <v>17</v>
      </c>
      <c r="G189" s="5" t="s">
        <v>930</v>
      </c>
      <c r="H189" s="5" t="s">
        <v>2</v>
      </c>
      <c r="I189" s="5" t="s">
        <v>2</v>
      </c>
      <c r="J189" s="5" t="s">
        <v>931</v>
      </c>
    </row>
    <row r="190" spans="1:10" x14ac:dyDescent="0.25" outlineLevel="1" collapsed="1">
      <c r="A190" s="8" t="s">
        <v>15</v>
      </c>
      <c r="B190" s="9" t="s">
        <v>823</v>
      </c>
      <c r="C190" s="8" t="s">
        <v>2</v>
      </c>
      <c r="D190" s="8"/>
      <c r="E190" s="8" t="s">
        <v>932</v>
      </c>
      <c r="F190" s="8" t="s">
        <v>17</v>
      </c>
      <c r="G190" s="8" t="s">
        <v>2</v>
      </c>
      <c r="H190" s="8" t="s">
        <v>2</v>
      </c>
      <c r="I190" s="8" t="s">
        <v>2</v>
      </c>
      <c r="J190" s="8" t="s">
        <v>933</v>
      </c>
    </row>
    <row r="191" spans="1:10" x14ac:dyDescent="0.25" outlineLevel="2" collapsed="1">
      <c r="A191" s="7" t="s">
        <v>15</v>
      </c>
      <c r="B191" s="7" t="s">
        <v>44</v>
      </c>
      <c r="C191" s="10" t="s">
        <v>826</v>
      </c>
      <c r="D191" s="7"/>
      <c r="E191" s="7" t="s">
        <v>827</v>
      </c>
      <c r="F191" s="7" t="s">
        <v>17</v>
      </c>
      <c r="G191" s="7" t="s">
        <v>15</v>
      </c>
      <c r="H191" s="7" t="s">
        <v>2</v>
      </c>
      <c r="I191" s="7" t="s">
        <v>2</v>
      </c>
      <c r="J191" s="7" t="s">
        <v>828</v>
      </c>
    </row>
    <row r="192" spans="1:10" x14ac:dyDescent="0.25" outlineLevel="2" collapsed="1">
      <c r="A192" s="7" t="s">
        <v>17</v>
      </c>
      <c r="B192" s="7" t="s">
        <v>20</v>
      </c>
      <c r="C192" s="7" t="s">
        <v>2</v>
      </c>
      <c r="D192" s="7"/>
      <c r="E192" s="7" t="s">
        <v>76</v>
      </c>
      <c r="F192" s="7" t="s">
        <v>17</v>
      </c>
      <c r="G192" s="7" t="s">
        <v>22</v>
      </c>
      <c r="H192" s="7" t="s">
        <v>2</v>
      </c>
      <c r="I192" s="7" t="s">
        <v>2</v>
      </c>
      <c r="J192" s="7" t="s">
        <v>78</v>
      </c>
    </row>
    <row r="193" spans="1:10" x14ac:dyDescent="0.25" outlineLevel="1" collapsed="1">
      <c r="A193" s="8" t="s">
        <v>15</v>
      </c>
      <c r="B193" s="9" t="s">
        <v>823</v>
      </c>
      <c r="C193" s="8" t="s">
        <v>2</v>
      </c>
      <c r="D193" s="8"/>
      <c r="E193" s="8" t="s">
        <v>934</v>
      </c>
      <c r="F193" s="8" t="s">
        <v>17</v>
      </c>
      <c r="G193" s="8" t="s">
        <v>2</v>
      </c>
      <c r="H193" s="8" t="s">
        <v>2</v>
      </c>
      <c r="I193" s="8" t="s">
        <v>2</v>
      </c>
      <c r="J193" s="8" t="s">
        <v>935</v>
      </c>
    </row>
    <row r="194" spans="1:10" x14ac:dyDescent="0.25" outlineLevel="2" collapsed="1">
      <c r="A194" s="7" t="s">
        <v>15</v>
      </c>
      <c r="B194" s="7" t="s">
        <v>44</v>
      </c>
      <c r="C194" s="10" t="s">
        <v>826</v>
      </c>
      <c r="D194" s="7"/>
      <c r="E194" s="7" t="s">
        <v>827</v>
      </c>
      <c r="F194" s="7" t="s">
        <v>17</v>
      </c>
      <c r="G194" s="7" t="s">
        <v>15</v>
      </c>
      <c r="H194" s="7" t="s">
        <v>2</v>
      </c>
      <c r="I194" s="7" t="s">
        <v>2</v>
      </c>
      <c r="J194" s="7" t="s">
        <v>828</v>
      </c>
    </row>
    <row r="195" spans="1:10" x14ac:dyDescent="0.25" outlineLevel="2" collapsed="1">
      <c r="A195" s="7" t="s">
        <v>17</v>
      </c>
      <c r="B195" s="7" t="s">
        <v>20</v>
      </c>
      <c r="C195" s="7" t="s">
        <v>2</v>
      </c>
      <c r="D195" s="7"/>
      <c r="E195" s="7" t="s">
        <v>76</v>
      </c>
      <c r="F195" s="7" t="s">
        <v>17</v>
      </c>
      <c r="G195" s="7" t="s">
        <v>22</v>
      </c>
      <c r="H195" s="7" t="s">
        <v>2</v>
      </c>
      <c r="I195" s="7" t="s">
        <v>2</v>
      </c>
      <c r="J195" s="7" t="s">
        <v>78</v>
      </c>
    </row>
    <row r="196" spans="1:10" x14ac:dyDescent="0.25" outlineLevel="1" collapsed="1">
      <c r="A196" s="8" t="s">
        <v>15</v>
      </c>
      <c r="B196" s="9" t="s">
        <v>823</v>
      </c>
      <c r="C196" s="8" t="s">
        <v>2</v>
      </c>
      <c r="D196" s="8"/>
      <c r="E196" s="8" t="s">
        <v>936</v>
      </c>
      <c r="F196" s="8" t="s">
        <v>17</v>
      </c>
      <c r="G196" s="8" t="s">
        <v>2</v>
      </c>
      <c r="H196" s="8" t="s">
        <v>2</v>
      </c>
      <c r="I196" s="8" t="s">
        <v>2</v>
      </c>
      <c r="J196" s="8" t="s">
        <v>937</v>
      </c>
    </row>
    <row r="197" spans="1:10" x14ac:dyDescent="0.25" outlineLevel="2" collapsed="1">
      <c r="A197" s="7" t="s">
        <v>15</v>
      </c>
      <c r="B197" s="7" t="s">
        <v>44</v>
      </c>
      <c r="C197" s="10" t="s">
        <v>826</v>
      </c>
      <c r="D197" s="7"/>
      <c r="E197" s="7" t="s">
        <v>827</v>
      </c>
      <c r="F197" s="7" t="s">
        <v>17</v>
      </c>
      <c r="G197" s="7" t="s">
        <v>15</v>
      </c>
      <c r="H197" s="7" t="s">
        <v>2</v>
      </c>
      <c r="I197" s="7" t="s">
        <v>2</v>
      </c>
      <c r="J197" s="7" t="s">
        <v>828</v>
      </c>
    </row>
    <row r="198" spans="1:10" x14ac:dyDescent="0.25" outlineLevel="2" collapsed="1">
      <c r="A198" s="7" t="s">
        <v>17</v>
      </c>
      <c r="B198" s="7" t="s">
        <v>20</v>
      </c>
      <c r="C198" s="7" t="s">
        <v>2</v>
      </c>
      <c r="D198" s="7"/>
      <c r="E198" s="7" t="s">
        <v>76</v>
      </c>
      <c r="F198" s="7" t="s">
        <v>17</v>
      </c>
      <c r="G198" s="7" t="s">
        <v>22</v>
      </c>
      <c r="H198" s="7" t="s">
        <v>2</v>
      </c>
      <c r="I198" s="7" t="s">
        <v>2</v>
      </c>
      <c r="J198" s="7" t="s">
        <v>78</v>
      </c>
    </row>
    <row r="199" spans="1:10" x14ac:dyDescent="0.25" outlineLevel="1" collapsed="1">
      <c r="A199" s="8" t="s">
        <v>15</v>
      </c>
      <c r="B199" s="9" t="s">
        <v>823</v>
      </c>
      <c r="C199" s="8" t="s">
        <v>2</v>
      </c>
      <c r="D199" s="8"/>
      <c r="E199" s="8" t="s">
        <v>938</v>
      </c>
      <c r="F199" s="8" t="s">
        <v>17</v>
      </c>
      <c r="G199" s="8" t="s">
        <v>2</v>
      </c>
      <c r="H199" s="8" t="s">
        <v>2</v>
      </c>
      <c r="I199" s="8" t="s">
        <v>2</v>
      </c>
      <c r="J199" s="8" t="s">
        <v>939</v>
      </c>
    </row>
    <row r="200" spans="1:10" x14ac:dyDescent="0.25" outlineLevel="2" collapsed="1">
      <c r="A200" s="7" t="s">
        <v>15</v>
      </c>
      <c r="B200" s="7" t="s">
        <v>44</v>
      </c>
      <c r="C200" s="10" t="s">
        <v>826</v>
      </c>
      <c r="D200" s="7"/>
      <c r="E200" s="7" t="s">
        <v>827</v>
      </c>
      <c r="F200" s="7" t="s">
        <v>17</v>
      </c>
      <c r="G200" s="7" t="s">
        <v>15</v>
      </c>
      <c r="H200" s="7" t="s">
        <v>2</v>
      </c>
      <c r="I200" s="7" t="s">
        <v>2</v>
      </c>
      <c r="J200" s="7" t="s">
        <v>828</v>
      </c>
    </row>
    <row r="201" spans="1:10" x14ac:dyDescent="0.25" outlineLevel="2" collapsed="1">
      <c r="A201" s="7" t="s">
        <v>17</v>
      </c>
      <c r="B201" s="7" t="s">
        <v>20</v>
      </c>
      <c r="C201" s="7" t="s">
        <v>2</v>
      </c>
      <c r="D201" s="7"/>
      <c r="E201" s="7" t="s">
        <v>76</v>
      </c>
      <c r="F201" s="7" t="s">
        <v>17</v>
      </c>
      <c r="G201" s="7" t="s">
        <v>22</v>
      </c>
      <c r="H201" s="7" t="s">
        <v>2</v>
      </c>
      <c r="I201" s="7" t="s">
        <v>2</v>
      </c>
      <c r="J201" s="7" t="s">
        <v>78</v>
      </c>
    </row>
    <row r="202" spans="1:10" x14ac:dyDescent="0.25">
      <c r="A202" s="5" t="s">
        <v>15</v>
      </c>
      <c r="B202" s="6" t="s">
        <v>940</v>
      </c>
      <c r="C202" s="5" t="s">
        <v>2</v>
      </c>
      <c r="D202" s="5"/>
      <c r="E202" s="5" t="s">
        <v>940</v>
      </c>
      <c r="F202" s="5" t="s">
        <v>17</v>
      </c>
      <c r="G202" s="5" t="s">
        <v>941</v>
      </c>
      <c r="H202" s="5" t="s">
        <v>2</v>
      </c>
      <c r="I202" s="5" t="s">
        <v>2</v>
      </c>
      <c r="J202" s="5" t="s">
        <v>942</v>
      </c>
    </row>
    <row r="203" spans="1:10" x14ac:dyDescent="0.25" outlineLevel="1" collapsed="1">
      <c r="A203" s="8" t="s">
        <v>15</v>
      </c>
      <c r="B203" s="9" t="s">
        <v>823</v>
      </c>
      <c r="C203" s="8" t="s">
        <v>2</v>
      </c>
      <c r="D203" s="8"/>
      <c r="E203" s="8" t="s">
        <v>943</v>
      </c>
      <c r="F203" s="8" t="s">
        <v>17</v>
      </c>
      <c r="G203" s="8" t="s">
        <v>2</v>
      </c>
      <c r="H203" s="8" t="s">
        <v>2</v>
      </c>
      <c r="I203" s="8" t="s">
        <v>2</v>
      </c>
      <c r="J203" s="8" t="s">
        <v>944</v>
      </c>
    </row>
    <row r="204" spans="1:10" x14ac:dyDescent="0.25" outlineLevel="2" collapsed="1">
      <c r="A204" s="7" t="s">
        <v>15</v>
      </c>
      <c r="B204" s="7" t="s">
        <v>44</v>
      </c>
      <c r="C204" s="10" t="s">
        <v>826</v>
      </c>
      <c r="D204" s="7"/>
      <c r="E204" s="7" t="s">
        <v>827</v>
      </c>
      <c r="F204" s="7" t="s">
        <v>17</v>
      </c>
      <c r="G204" s="7" t="s">
        <v>15</v>
      </c>
      <c r="H204" s="7" t="s">
        <v>2</v>
      </c>
      <c r="I204" s="7" t="s">
        <v>2</v>
      </c>
      <c r="J204" s="7" t="s">
        <v>828</v>
      </c>
    </row>
    <row r="205" spans="1:10" x14ac:dyDescent="0.25" outlineLevel="2" collapsed="1">
      <c r="A205" s="7" t="s">
        <v>17</v>
      </c>
      <c r="B205" s="7" t="s">
        <v>20</v>
      </c>
      <c r="C205" s="7" t="s">
        <v>2</v>
      </c>
      <c r="D205" s="7"/>
      <c r="E205" s="7" t="s">
        <v>76</v>
      </c>
      <c r="F205" s="7" t="s">
        <v>17</v>
      </c>
      <c r="G205" s="7" t="s">
        <v>22</v>
      </c>
      <c r="H205" s="7" t="s">
        <v>2</v>
      </c>
      <c r="I205" s="7" t="s">
        <v>2</v>
      </c>
      <c r="J205" s="7" t="s">
        <v>78</v>
      </c>
    </row>
    <row r="206" spans="1:10" x14ac:dyDescent="0.25" outlineLevel="1" collapsed="1">
      <c r="A206" s="8" t="s">
        <v>15</v>
      </c>
      <c r="B206" s="9" t="s">
        <v>823</v>
      </c>
      <c r="C206" s="8" t="s">
        <v>2</v>
      </c>
      <c r="D206" s="8"/>
      <c r="E206" s="8" t="s">
        <v>945</v>
      </c>
      <c r="F206" s="8" t="s">
        <v>17</v>
      </c>
      <c r="G206" s="8" t="s">
        <v>2</v>
      </c>
      <c r="H206" s="8" t="s">
        <v>2</v>
      </c>
      <c r="I206" s="8" t="s">
        <v>2</v>
      </c>
      <c r="J206" s="8" t="s">
        <v>946</v>
      </c>
    </row>
    <row r="207" spans="1:10" x14ac:dyDescent="0.25" outlineLevel="2" collapsed="1">
      <c r="A207" s="7" t="s">
        <v>15</v>
      </c>
      <c r="B207" s="7" t="s">
        <v>44</v>
      </c>
      <c r="C207" s="10" t="s">
        <v>826</v>
      </c>
      <c r="D207" s="7"/>
      <c r="E207" s="7" t="s">
        <v>827</v>
      </c>
      <c r="F207" s="7" t="s">
        <v>17</v>
      </c>
      <c r="G207" s="7" t="s">
        <v>15</v>
      </c>
      <c r="H207" s="7" t="s">
        <v>2</v>
      </c>
      <c r="I207" s="7" t="s">
        <v>2</v>
      </c>
      <c r="J207" s="7" t="s">
        <v>828</v>
      </c>
    </row>
    <row r="208" spans="1:10" x14ac:dyDescent="0.25" outlineLevel="2" collapsed="1">
      <c r="A208" s="7" t="s">
        <v>17</v>
      </c>
      <c r="B208" s="7" t="s">
        <v>20</v>
      </c>
      <c r="C208" s="7" t="s">
        <v>2</v>
      </c>
      <c r="D208" s="7"/>
      <c r="E208" s="7" t="s">
        <v>76</v>
      </c>
      <c r="F208" s="7" t="s">
        <v>17</v>
      </c>
      <c r="G208" s="7" t="s">
        <v>22</v>
      </c>
      <c r="H208" s="7" t="s">
        <v>2</v>
      </c>
      <c r="I208" s="7" t="s">
        <v>2</v>
      </c>
      <c r="J208" s="7" t="s">
        <v>78</v>
      </c>
    </row>
    <row r="209" spans="1:10" x14ac:dyDescent="0.25" outlineLevel="1" collapsed="1">
      <c r="A209" s="8" t="s">
        <v>15</v>
      </c>
      <c r="B209" s="9" t="s">
        <v>823</v>
      </c>
      <c r="C209" s="8" t="s">
        <v>2</v>
      </c>
      <c r="D209" s="8"/>
      <c r="E209" s="8" t="s">
        <v>947</v>
      </c>
      <c r="F209" s="8" t="s">
        <v>17</v>
      </c>
      <c r="G209" s="8" t="s">
        <v>2</v>
      </c>
      <c r="H209" s="8" t="s">
        <v>2</v>
      </c>
      <c r="I209" s="8" t="s">
        <v>2</v>
      </c>
      <c r="J209" s="8" t="s">
        <v>948</v>
      </c>
    </row>
    <row r="210" spans="1:10" x14ac:dyDescent="0.25" outlineLevel="2" collapsed="1">
      <c r="A210" s="7" t="s">
        <v>15</v>
      </c>
      <c r="B210" s="7" t="s">
        <v>44</v>
      </c>
      <c r="C210" s="10" t="s">
        <v>826</v>
      </c>
      <c r="D210" s="7"/>
      <c r="E210" s="7" t="s">
        <v>827</v>
      </c>
      <c r="F210" s="7" t="s">
        <v>17</v>
      </c>
      <c r="G210" s="7" t="s">
        <v>15</v>
      </c>
      <c r="H210" s="7" t="s">
        <v>2</v>
      </c>
      <c r="I210" s="7" t="s">
        <v>2</v>
      </c>
      <c r="J210" s="7" t="s">
        <v>828</v>
      </c>
    </row>
    <row r="211" spans="1:10" x14ac:dyDescent="0.25" outlineLevel="2" collapsed="1">
      <c r="A211" s="7" t="s">
        <v>17</v>
      </c>
      <c r="B211" s="7" t="s">
        <v>20</v>
      </c>
      <c r="C211" s="7" t="s">
        <v>2</v>
      </c>
      <c r="D211" s="7"/>
      <c r="E211" s="7" t="s">
        <v>76</v>
      </c>
      <c r="F211" s="7" t="s">
        <v>17</v>
      </c>
      <c r="G211" s="7" t="s">
        <v>22</v>
      </c>
      <c r="H211" s="7" t="s">
        <v>2</v>
      </c>
      <c r="I211" s="7" t="s">
        <v>2</v>
      </c>
      <c r="J211" s="7" t="s">
        <v>78</v>
      </c>
    </row>
    <row r="212" spans="1:10" x14ac:dyDescent="0.25" outlineLevel="1" collapsed="1">
      <c r="A212" s="8" t="s">
        <v>15</v>
      </c>
      <c r="B212" s="9" t="s">
        <v>823</v>
      </c>
      <c r="C212" s="8" t="s">
        <v>2</v>
      </c>
      <c r="D212" s="8"/>
      <c r="E212" s="8" t="s">
        <v>949</v>
      </c>
      <c r="F212" s="8" t="s">
        <v>17</v>
      </c>
      <c r="G212" s="8" t="s">
        <v>2</v>
      </c>
      <c r="H212" s="8" t="s">
        <v>2</v>
      </c>
      <c r="I212" s="8" t="s">
        <v>2</v>
      </c>
      <c r="J212" s="8" t="s">
        <v>950</v>
      </c>
    </row>
    <row r="213" spans="1:10" x14ac:dyDescent="0.25" outlineLevel="2" collapsed="1">
      <c r="A213" s="7" t="s">
        <v>15</v>
      </c>
      <c r="B213" s="7" t="s">
        <v>44</v>
      </c>
      <c r="C213" s="10" t="s">
        <v>826</v>
      </c>
      <c r="D213" s="7"/>
      <c r="E213" s="7" t="s">
        <v>827</v>
      </c>
      <c r="F213" s="7" t="s">
        <v>17</v>
      </c>
      <c r="G213" s="7" t="s">
        <v>15</v>
      </c>
      <c r="H213" s="7" t="s">
        <v>2</v>
      </c>
      <c r="I213" s="7" t="s">
        <v>2</v>
      </c>
      <c r="J213" s="7" t="s">
        <v>828</v>
      </c>
    </row>
    <row r="214" spans="1:10" x14ac:dyDescent="0.25" outlineLevel="2" collapsed="1">
      <c r="A214" s="7" t="s">
        <v>17</v>
      </c>
      <c r="B214" s="7" t="s">
        <v>20</v>
      </c>
      <c r="C214" s="7" t="s">
        <v>2</v>
      </c>
      <c r="D214" s="7"/>
      <c r="E214" s="7" t="s">
        <v>76</v>
      </c>
      <c r="F214" s="7" t="s">
        <v>17</v>
      </c>
      <c r="G214" s="7" t="s">
        <v>22</v>
      </c>
      <c r="H214" s="7" t="s">
        <v>2</v>
      </c>
      <c r="I214" s="7" t="s">
        <v>2</v>
      </c>
      <c r="J214" s="7" t="s">
        <v>78</v>
      </c>
    </row>
    <row r="215" spans="1:10" x14ac:dyDescent="0.25" outlineLevel="1" collapsed="1">
      <c r="A215" s="8" t="s">
        <v>15</v>
      </c>
      <c r="B215" s="9" t="s">
        <v>823</v>
      </c>
      <c r="C215" s="8" t="s">
        <v>2</v>
      </c>
      <c r="D215" s="8"/>
      <c r="E215" s="8" t="s">
        <v>951</v>
      </c>
      <c r="F215" s="8" t="s">
        <v>17</v>
      </c>
      <c r="G215" s="8" t="s">
        <v>2</v>
      </c>
      <c r="H215" s="8" t="s">
        <v>2</v>
      </c>
      <c r="I215" s="8" t="s">
        <v>2</v>
      </c>
      <c r="J215" s="8" t="s">
        <v>952</v>
      </c>
    </row>
    <row r="216" spans="1:10" x14ac:dyDescent="0.25" outlineLevel="2" collapsed="1">
      <c r="A216" s="7" t="s">
        <v>15</v>
      </c>
      <c r="B216" s="7" t="s">
        <v>44</v>
      </c>
      <c r="C216" s="10" t="s">
        <v>826</v>
      </c>
      <c r="D216" s="7"/>
      <c r="E216" s="7" t="s">
        <v>827</v>
      </c>
      <c r="F216" s="7" t="s">
        <v>17</v>
      </c>
      <c r="G216" s="7" t="s">
        <v>15</v>
      </c>
      <c r="H216" s="7" t="s">
        <v>2</v>
      </c>
      <c r="I216" s="7" t="s">
        <v>2</v>
      </c>
      <c r="J216" s="7" t="s">
        <v>828</v>
      </c>
    </row>
    <row r="217" spans="1:10" x14ac:dyDescent="0.25" outlineLevel="2" collapsed="1">
      <c r="A217" s="7" t="s">
        <v>17</v>
      </c>
      <c r="B217" s="7" t="s">
        <v>20</v>
      </c>
      <c r="C217" s="7" t="s">
        <v>2</v>
      </c>
      <c r="D217" s="7"/>
      <c r="E217" s="7" t="s">
        <v>76</v>
      </c>
      <c r="F217" s="7" t="s">
        <v>17</v>
      </c>
      <c r="G217" s="7" t="s">
        <v>22</v>
      </c>
      <c r="H217" s="7" t="s">
        <v>2</v>
      </c>
      <c r="I217" s="7" t="s">
        <v>2</v>
      </c>
      <c r="J217" s="7" t="s">
        <v>78</v>
      </c>
    </row>
    <row r="218" spans="1:10" x14ac:dyDescent="0.25">
      <c r="A218" s="5" t="s">
        <v>15</v>
      </c>
      <c r="B218" s="6" t="s">
        <v>953</v>
      </c>
      <c r="C218" s="5" t="s">
        <v>2</v>
      </c>
      <c r="D218" s="5"/>
      <c r="E218" s="5" t="s">
        <v>953</v>
      </c>
      <c r="F218" s="5" t="s">
        <v>17</v>
      </c>
      <c r="G218" s="5" t="s">
        <v>954</v>
      </c>
      <c r="H218" s="5" t="s">
        <v>2</v>
      </c>
      <c r="I218" s="5" t="s">
        <v>2</v>
      </c>
      <c r="J218" s="5" t="s">
        <v>955</v>
      </c>
    </row>
    <row r="219" spans="1:10" x14ac:dyDescent="0.25" outlineLevel="1" collapsed="1">
      <c r="A219" s="8" t="s">
        <v>15</v>
      </c>
      <c r="B219" s="9" t="s">
        <v>823</v>
      </c>
      <c r="C219" s="8" t="s">
        <v>2</v>
      </c>
      <c r="D219" s="8"/>
      <c r="E219" s="8" t="s">
        <v>956</v>
      </c>
      <c r="F219" s="8" t="s">
        <v>17</v>
      </c>
      <c r="G219" s="8" t="s">
        <v>2</v>
      </c>
      <c r="H219" s="8" t="s">
        <v>2</v>
      </c>
      <c r="I219" s="8" t="s">
        <v>2</v>
      </c>
      <c r="J219" s="8" t="s">
        <v>957</v>
      </c>
    </row>
    <row r="220" spans="1:10" x14ac:dyDescent="0.25" outlineLevel="2" collapsed="1">
      <c r="A220" s="7" t="s">
        <v>15</v>
      </c>
      <c r="B220" s="7" t="s">
        <v>44</v>
      </c>
      <c r="C220" s="10" t="s">
        <v>826</v>
      </c>
      <c r="D220" s="7"/>
      <c r="E220" s="7" t="s">
        <v>827</v>
      </c>
      <c r="F220" s="7" t="s">
        <v>17</v>
      </c>
      <c r="G220" s="7" t="s">
        <v>15</v>
      </c>
      <c r="H220" s="7" t="s">
        <v>2</v>
      </c>
      <c r="I220" s="7" t="s">
        <v>2</v>
      </c>
      <c r="J220" s="7" t="s">
        <v>828</v>
      </c>
    </row>
    <row r="221" spans="1:10" x14ac:dyDescent="0.25" outlineLevel="2" collapsed="1">
      <c r="A221" s="7" t="s">
        <v>17</v>
      </c>
      <c r="B221" s="7" t="s">
        <v>20</v>
      </c>
      <c r="C221" s="7" t="s">
        <v>2</v>
      </c>
      <c r="D221" s="7"/>
      <c r="E221" s="7" t="s">
        <v>76</v>
      </c>
      <c r="F221" s="7" t="s">
        <v>17</v>
      </c>
      <c r="G221" s="7" t="s">
        <v>22</v>
      </c>
      <c r="H221" s="7" t="s">
        <v>2</v>
      </c>
      <c r="I221" s="7" t="s">
        <v>2</v>
      </c>
      <c r="J221" s="7" t="s">
        <v>78</v>
      </c>
    </row>
    <row r="222" spans="1:10" x14ac:dyDescent="0.25" outlineLevel="1" collapsed="1">
      <c r="A222" s="8" t="s">
        <v>15</v>
      </c>
      <c r="B222" s="9" t="s">
        <v>823</v>
      </c>
      <c r="C222" s="8" t="s">
        <v>2</v>
      </c>
      <c r="D222" s="8"/>
      <c r="E222" s="8" t="s">
        <v>958</v>
      </c>
      <c r="F222" s="8" t="s">
        <v>17</v>
      </c>
      <c r="G222" s="8" t="s">
        <v>2</v>
      </c>
      <c r="H222" s="8" t="s">
        <v>2</v>
      </c>
      <c r="I222" s="8" t="s">
        <v>2</v>
      </c>
      <c r="J222" s="8" t="s">
        <v>959</v>
      </c>
    </row>
    <row r="223" spans="1:10" x14ac:dyDescent="0.25" outlineLevel="2" collapsed="1">
      <c r="A223" s="7" t="s">
        <v>15</v>
      </c>
      <c r="B223" s="7" t="s">
        <v>44</v>
      </c>
      <c r="C223" s="10" t="s">
        <v>826</v>
      </c>
      <c r="D223" s="7"/>
      <c r="E223" s="7" t="s">
        <v>827</v>
      </c>
      <c r="F223" s="7" t="s">
        <v>17</v>
      </c>
      <c r="G223" s="7" t="s">
        <v>15</v>
      </c>
      <c r="H223" s="7" t="s">
        <v>2</v>
      </c>
      <c r="I223" s="7" t="s">
        <v>2</v>
      </c>
      <c r="J223" s="7" t="s">
        <v>828</v>
      </c>
    </row>
    <row r="224" spans="1:10" x14ac:dyDescent="0.25" outlineLevel="2" collapsed="1">
      <c r="A224" s="7" t="s">
        <v>17</v>
      </c>
      <c r="B224" s="7" t="s">
        <v>20</v>
      </c>
      <c r="C224" s="7" t="s">
        <v>2</v>
      </c>
      <c r="D224" s="7"/>
      <c r="E224" s="7" t="s">
        <v>76</v>
      </c>
      <c r="F224" s="7" t="s">
        <v>17</v>
      </c>
      <c r="G224" s="7" t="s">
        <v>22</v>
      </c>
      <c r="H224" s="7" t="s">
        <v>2</v>
      </c>
      <c r="I224" s="7" t="s">
        <v>2</v>
      </c>
      <c r="J224" s="7" t="s">
        <v>78</v>
      </c>
    </row>
    <row r="225" spans="1:10" x14ac:dyDescent="0.25" outlineLevel="1" collapsed="1">
      <c r="A225" s="8" t="s">
        <v>15</v>
      </c>
      <c r="B225" s="9" t="s">
        <v>823</v>
      </c>
      <c r="C225" s="8" t="s">
        <v>2</v>
      </c>
      <c r="D225" s="8"/>
      <c r="E225" s="8" t="s">
        <v>960</v>
      </c>
      <c r="F225" s="8" t="s">
        <v>17</v>
      </c>
      <c r="G225" s="8" t="s">
        <v>2</v>
      </c>
      <c r="H225" s="8" t="s">
        <v>2</v>
      </c>
      <c r="I225" s="8" t="s">
        <v>2</v>
      </c>
      <c r="J225" s="8" t="s">
        <v>961</v>
      </c>
    </row>
    <row r="226" spans="1:10" x14ac:dyDescent="0.25" outlineLevel="2" collapsed="1">
      <c r="A226" s="7" t="s">
        <v>15</v>
      </c>
      <c r="B226" s="7" t="s">
        <v>44</v>
      </c>
      <c r="C226" s="10" t="s">
        <v>826</v>
      </c>
      <c r="D226" s="7"/>
      <c r="E226" s="7" t="s">
        <v>827</v>
      </c>
      <c r="F226" s="7" t="s">
        <v>17</v>
      </c>
      <c r="G226" s="7" t="s">
        <v>15</v>
      </c>
      <c r="H226" s="7" t="s">
        <v>2</v>
      </c>
      <c r="I226" s="7" t="s">
        <v>2</v>
      </c>
      <c r="J226" s="7" t="s">
        <v>828</v>
      </c>
    </row>
    <row r="227" spans="1:10" x14ac:dyDescent="0.25" outlineLevel="2" collapsed="1">
      <c r="A227" s="7" t="s">
        <v>17</v>
      </c>
      <c r="B227" s="7" t="s">
        <v>20</v>
      </c>
      <c r="C227" s="7" t="s">
        <v>2</v>
      </c>
      <c r="D227" s="7"/>
      <c r="E227" s="7" t="s">
        <v>76</v>
      </c>
      <c r="F227" s="7" t="s">
        <v>17</v>
      </c>
      <c r="G227" s="7" t="s">
        <v>22</v>
      </c>
      <c r="H227" s="7" t="s">
        <v>2</v>
      </c>
      <c r="I227" s="7" t="s">
        <v>2</v>
      </c>
      <c r="J227" s="7" t="s">
        <v>78</v>
      </c>
    </row>
    <row r="228" spans="1:10" x14ac:dyDescent="0.25" outlineLevel="1" collapsed="1">
      <c r="A228" s="8" t="s">
        <v>15</v>
      </c>
      <c r="B228" s="9" t="s">
        <v>823</v>
      </c>
      <c r="C228" s="8" t="s">
        <v>2</v>
      </c>
      <c r="D228" s="8"/>
      <c r="E228" s="8" t="s">
        <v>962</v>
      </c>
      <c r="F228" s="8" t="s">
        <v>17</v>
      </c>
      <c r="G228" s="8" t="s">
        <v>2</v>
      </c>
      <c r="H228" s="8" t="s">
        <v>2</v>
      </c>
      <c r="I228" s="8" t="s">
        <v>2</v>
      </c>
      <c r="J228" s="8" t="s">
        <v>963</v>
      </c>
    </row>
    <row r="229" spans="1:10" x14ac:dyDescent="0.25" outlineLevel="2" collapsed="1">
      <c r="A229" s="7" t="s">
        <v>15</v>
      </c>
      <c r="B229" s="7" t="s">
        <v>44</v>
      </c>
      <c r="C229" s="10" t="s">
        <v>826</v>
      </c>
      <c r="D229" s="7"/>
      <c r="E229" s="7" t="s">
        <v>827</v>
      </c>
      <c r="F229" s="7" t="s">
        <v>17</v>
      </c>
      <c r="G229" s="7" t="s">
        <v>15</v>
      </c>
      <c r="H229" s="7" t="s">
        <v>2</v>
      </c>
      <c r="I229" s="7" t="s">
        <v>2</v>
      </c>
      <c r="J229" s="7" t="s">
        <v>828</v>
      </c>
    </row>
    <row r="230" spans="1:10" x14ac:dyDescent="0.25" outlineLevel="2" collapsed="1">
      <c r="A230" s="7" t="s">
        <v>17</v>
      </c>
      <c r="B230" s="7" t="s">
        <v>20</v>
      </c>
      <c r="C230" s="7" t="s">
        <v>2</v>
      </c>
      <c r="D230" s="7"/>
      <c r="E230" s="7" t="s">
        <v>76</v>
      </c>
      <c r="F230" s="7" t="s">
        <v>17</v>
      </c>
      <c r="G230" s="7" t="s">
        <v>22</v>
      </c>
      <c r="H230" s="7" t="s">
        <v>2</v>
      </c>
      <c r="I230" s="7" t="s">
        <v>2</v>
      </c>
      <c r="J230" s="7" t="s">
        <v>78</v>
      </c>
    </row>
    <row r="231" spans="1:10" x14ac:dyDescent="0.25" outlineLevel="1" collapsed="1">
      <c r="A231" s="8" t="s">
        <v>15</v>
      </c>
      <c r="B231" s="9" t="s">
        <v>823</v>
      </c>
      <c r="C231" s="8" t="s">
        <v>2</v>
      </c>
      <c r="D231" s="8"/>
      <c r="E231" s="8" t="s">
        <v>964</v>
      </c>
      <c r="F231" s="8" t="s">
        <v>17</v>
      </c>
      <c r="G231" s="8" t="s">
        <v>2</v>
      </c>
      <c r="H231" s="8" t="s">
        <v>2</v>
      </c>
      <c r="I231" s="8" t="s">
        <v>2</v>
      </c>
      <c r="J231" s="8" t="s">
        <v>965</v>
      </c>
    </row>
    <row r="232" spans="1:10" x14ac:dyDescent="0.25" outlineLevel="2" collapsed="1">
      <c r="A232" s="7" t="s">
        <v>15</v>
      </c>
      <c r="B232" s="7" t="s">
        <v>44</v>
      </c>
      <c r="C232" s="10" t="s">
        <v>826</v>
      </c>
      <c r="D232" s="7"/>
      <c r="E232" s="7" t="s">
        <v>827</v>
      </c>
      <c r="F232" s="7" t="s">
        <v>17</v>
      </c>
      <c r="G232" s="7" t="s">
        <v>15</v>
      </c>
      <c r="H232" s="7" t="s">
        <v>2</v>
      </c>
      <c r="I232" s="7" t="s">
        <v>2</v>
      </c>
      <c r="J232" s="7" t="s">
        <v>828</v>
      </c>
    </row>
    <row r="233" spans="1:10" x14ac:dyDescent="0.25" outlineLevel="2" collapsed="1">
      <c r="A233" s="7" t="s">
        <v>17</v>
      </c>
      <c r="B233" s="7" t="s">
        <v>20</v>
      </c>
      <c r="C233" s="7" t="s">
        <v>2</v>
      </c>
      <c r="D233" s="7"/>
      <c r="E233" s="7" t="s">
        <v>76</v>
      </c>
      <c r="F233" s="7" t="s">
        <v>17</v>
      </c>
      <c r="G233" s="7" t="s">
        <v>22</v>
      </c>
      <c r="H233" s="7" t="s">
        <v>2</v>
      </c>
      <c r="I233" s="7" t="s">
        <v>2</v>
      </c>
      <c r="J233" s="7" t="s">
        <v>78</v>
      </c>
    </row>
    <row r="234" spans="1:10" x14ac:dyDescent="0.25" outlineLevel="1" collapsed="1">
      <c r="A234" s="8" t="s">
        <v>15</v>
      </c>
      <c r="B234" s="9" t="s">
        <v>823</v>
      </c>
      <c r="C234" s="8" t="s">
        <v>2</v>
      </c>
      <c r="D234" s="8"/>
      <c r="E234" s="8" t="s">
        <v>966</v>
      </c>
      <c r="F234" s="8" t="s">
        <v>17</v>
      </c>
      <c r="G234" s="8" t="s">
        <v>2</v>
      </c>
      <c r="H234" s="8" t="s">
        <v>2</v>
      </c>
      <c r="I234" s="8" t="s">
        <v>2</v>
      </c>
      <c r="J234" s="8" t="s">
        <v>967</v>
      </c>
    </row>
    <row r="235" spans="1:10" x14ac:dyDescent="0.25" outlineLevel="2" collapsed="1">
      <c r="A235" s="7" t="s">
        <v>15</v>
      </c>
      <c r="B235" s="7" t="s">
        <v>44</v>
      </c>
      <c r="C235" s="10" t="s">
        <v>826</v>
      </c>
      <c r="D235" s="7"/>
      <c r="E235" s="7" t="s">
        <v>827</v>
      </c>
      <c r="F235" s="7" t="s">
        <v>17</v>
      </c>
      <c r="G235" s="7" t="s">
        <v>15</v>
      </c>
      <c r="H235" s="7" t="s">
        <v>2</v>
      </c>
      <c r="I235" s="7" t="s">
        <v>2</v>
      </c>
      <c r="J235" s="7" t="s">
        <v>828</v>
      </c>
    </row>
    <row r="236" spans="1:10" x14ac:dyDescent="0.25" outlineLevel="2" collapsed="1">
      <c r="A236" s="7" t="s">
        <v>17</v>
      </c>
      <c r="B236" s="7" t="s">
        <v>20</v>
      </c>
      <c r="C236" s="7" t="s">
        <v>2</v>
      </c>
      <c r="D236" s="7"/>
      <c r="E236" s="7" t="s">
        <v>76</v>
      </c>
      <c r="F236" s="7" t="s">
        <v>17</v>
      </c>
      <c r="G236" s="7" t="s">
        <v>22</v>
      </c>
      <c r="H236" s="7" t="s">
        <v>2</v>
      </c>
      <c r="I236" s="7" t="s">
        <v>2</v>
      </c>
      <c r="J236" s="7" t="s">
        <v>78</v>
      </c>
    </row>
    <row r="237" spans="1:10" x14ac:dyDescent="0.25" outlineLevel="1" collapsed="1">
      <c r="A237" s="8" t="s">
        <v>15</v>
      </c>
      <c r="B237" s="9" t="s">
        <v>823</v>
      </c>
      <c r="C237" s="8" t="s">
        <v>2</v>
      </c>
      <c r="D237" s="8"/>
      <c r="E237" s="8" t="s">
        <v>968</v>
      </c>
      <c r="F237" s="8" t="s">
        <v>17</v>
      </c>
      <c r="G237" s="8" t="s">
        <v>2</v>
      </c>
      <c r="H237" s="8" t="s">
        <v>2</v>
      </c>
      <c r="I237" s="8" t="s">
        <v>2</v>
      </c>
      <c r="J237" s="8" t="s">
        <v>969</v>
      </c>
    </row>
    <row r="238" spans="1:10" x14ac:dyDescent="0.25" outlineLevel="2" collapsed="1">
      <c r="A238" s="7" t="s">
        <v>15</v>
      </c>
      <c r="B238" s="7" t="s">
        <v>44</v>
      </c>
      <c r="C238" s="10" t="s">
        <v>826</v>
      </c>
      <c r="D238" s="7"/>
      <c r="E238" s="7" t="s">
        <v>827</v>
      </c>
      <c r="F238" s="7" t="s">
        <v>17</v>
      </c>
      <c r="G238" s="7" t="s">
        <v>15</v>
      </c>
      <c r="H238" s="7" t="s">
        <v>2</v>
      </c>
      <c r="I238" s="7" t="s">
        <v>2</v>
      </c>
      <c r="J238" s="7" t="s">
        <v>828</v>
      </c>
    </row>
    <row r="239" spans="1:10" x14ac:dyDescent="0.25" outlineLevel="2" collapsed="1">
      <c r="A239" s="7" t="s">
        <v>17</v>
      </c>
      <c r="B239" s="7" t="s">
        <v>20</v>
      </c>
      <c r="C239" s="7" t="s">
        <v>2</v>
      </c>
      <c r="D239" s="7"/>
      <c r="E239" s="7" t="s">
        <v>76</v>
      </c>
      <c r="F239" s="7" t="s">
        <v>17</v>
      </c>
      <c r="G239" s="7" t="s">
        <v>22</v>
      </c>
      <c r="H239" s="7" t="s">
        <v>2</v>
      </c>
      <c r="I239" s="7" t="s">
        <v>2</v>
      </c>
      <c r="J239" s="7" t="s">
        <v>78</v>
      </c>
    </row>
    <row r="240" spans="1:10" x14ac:dyDescent="0.25" outlineLevel="1" collapsed="1">
      <c r="A240" s="8" t="s">
        <v>15</v>
      </c>
      <c r="B240" s="9" t="s">
        <v>823</v>
      </c>
      <c r="C240" s="8" t="s">
        <v>2</v>
      </c>
      <c r="D240" s="8"/>
      <c r="E240" s="8" t="s">
        <v>970</v>
      </c>
      <c r="F240" s="8" t="s">
        <v>17</v>
      </c>
      <c r="G240" s="8" t="s">
        <v>2</v>
      </c>
      <c r="H240" s="8" t="s">
        <v>2</v>
      </c>
      <c r="I240" s="8" t="s">
        <v>2</v>
      </c>
      <c r="J240" s="8" t="s">
        <v>971</v>
      </c>
    </row>
    <row r="241" spans="1:10" x14ac:dyDescent="0.25" outlineLevel="2" collapsed="1">
      <c r="A241" s="7" t="s">
        <v>15</v>
      </c>
      <c r="B241" s="7" t="s">
        <v>44</v>
      </c>
      <c r="C241" s="10" t="s">
        <v>826</v>
      </c>
      <c r="D241" s="7"/>
      <c r="E241" s="7" t="s">
        <v>827</v>
      </c>
      <c r="F241" s="7" t="s">
        <v>17</v>
      </c>
      <c r="G241" s="7" t="s">
        <v>15</v>
      </c>
      <c r="H241" s="7" t="s">
        <v>2</v>
      </c>
      <c r="I241" s="7" t="s">
        <v>2</v>
      </c>
      <c r="J241" s="7" t="s">
        <v>828</v>
      </c>
    </row>
    <row r="242" spans="1:10" x14ac:dyDescent="0.25" outlineLevel="2" collapsed="1">
      <c r="A242" s="7" t="s">
        <v>17</v>
      </c>
      <c r="B242" s="7" t="s">
        <v>20</v>
      </c>
      <c r="C242" s="7" t="s">
        <v>2</v>
      </c>
      <c r="D242" s="7"/>
      <c r="E242" s="7" t="s">
        <v>76</v>
      </c>
      <c r="F242" s="7" t="s">
        <v>17</v>
      </c>
      <c r="G242" s="7" t="s">
        <v>22</v>
      </c>
      <c r="H242" s="7" t="s">
        <v>2</v>
      </c>
      <c r="I242" s="7" t="s">
        <v>2</v>
      </c>
      <c r="J242" s="7" t="s">
        <v>78</v>
      </c>
    </row>
    <row r="243" spans="1:10" x14ac:dyDescent="0.25" outlineLevel="1" collapsed="1">
      <c r="A243" s="8" t="s">
        <v>15</v>
      </c>
      <c r="B243" s="9" t="s">
        <v>823</v>
      </c>
      <c r="C243" s="8" t="s">
        <v>2</v>
      </c>
      <c r="D243" s="8"/>
      <c r="E243" s="8" t="s">
        <v>972</v>
      </c>
      <c r="F243" s="8" t="s">
        <v>17</v>
      </c>
      <c r="G243" s="8" t="s">
        <v>2</v>
      </c>
      <c r="H243" s="8" t="s">
        <v>2</v>
      </c>
      <c r="I243" s="8" t="s">
        <v>2</v>
      </c>
      <c r="J243" s="8" t="s">
        <v>973</v>
      </c>
    </row>
    <row r="244" spans="1:10" x14ac:dyDescent="0.25" outlineLevel="2" collapsed="1">
      <c r="A244" s="7" t="s">
        <v>15</v>
      </c>
      <c r="B244" s="7" t="s">
        <v>44</v>
      </c>
      <c r="C244" s="10" t="s">
        <v>826</v>
      </c>
      <c r="D244" s="7"/>
      <c r="E244" s="7" t="s">
        <v>827</v>
      </c>
      <c r="F244" s="7" t="s">
        <v>17</v>
      </c>
      <c r="G244" s="7" t="s">
        <v>15</v>
      </c>
      <c r="H244" s="7" t="s">
        <v>2</v>
      </c>
      <c r="I244" s="7" t="s">
        <v>2</v>
      </c>
      <c r="J244" s="7" t="s">
        <v>828</v>
      </c>
    </row>
    <row r="245" spans="1:10" x14ac:dyDescent="0.25" outlineLevel="2" collapsed="1">
      <c r="A245" s="7" t="s">
        <v>17</v>
      </c>
      <c r="B245" s="7" t="s">
        <v>20</v>
      </c>
      <c r="C245" s="7" t="s">
        <v>2</v>
      </c>
      <c r="D245" s="7"/>
      <c r="E245" s="7" t="s">
        <v>76</v>
      </c>
      <c r="F245" s="7" t="s">
        <v>17</v>
      </c>
      <c r="G245" s="7" t="s">
        <v>22</v>
      </c>
      <c r="H245" s="7" t="s">
        <v>2</v>
      </c>
      <c r="I245" s="7" t="s">
        <v>2</v>
      </c>
      <c r="J245" s="7" t="s">
        <v>78</v>
      </c>
    </row>
    <row r="246" spans="1:10" x14ac:dyDescent="0.25" outlineLevel="1" collapsed="1">
      <c r="A246" s="8" t="s">
        <v>15</v>
      </c>
      <c r="B246" s="9" t="s">
        <v>823</v>
      </c>
      <c r="C246" s="8" t="s">
        <v>2</v>
      </c>
      <c r="D246" s="8"/>
      <c r="E246" s="8" t="s">
        <v>974</v>
      </c>
      <c r="F246" s="8" t="s">
        <v>17</v>
      </c>
      <c r="G246" s="8" t="s">
        <v>2</v>
      </c>
      <c r="H246" s="8" t="s">
        <v>2</v>
      </c>
      <c r="I246" s="8" t="s">
        <v>2</v>
      </c>
      <c r="J246" s="8" t="s">
        <v>975</v>
      </c>
    </row>
    <row r="247" spans="1:10" x14ac:dyDescent="0.25" outlineLevel="2" collapsed="1">
      <c r="A247" s="7" t="s">
        <v>15</v>
      </c>
      <c r="B247" s="7" t="s">
        <v>44</v>
      </c>
      <c r="C247" s="10" t="s">
        <v>826</v>
      </c>
      <c r="D247" s="7"/>
      <c r="E247" s="7" t="s">
        <v>827</v>
      </c>
      <c r="F247" s="7" t="s">
        <v>17</v>
      </c>
      <c r="G247" s="7" t="s">
        <v>15</v>
      </c>
      <c r="H247" s="7" t="s">
        <v>2</v>
      </c>
      <c r="I247" s="7" t="s">
        <v>2</v>
      </c>
      <c r="J247" s="7" t="s">
        <v>828</v>
      </c>
    </row>
    <row r="248" spans="1:10" x14ac:dyDescent="0.25" outlineLevel="2" collapsed="1">
      <c r="A248" s="7" t="s">
        <v>17</v>
      </c>
      <c r="B248" s="7" t="s">
        <v>20</v>
      </c>
      <c r="C248" s="7" t="s">
        <v>2</v>
      </c>
      <c r="D248" s="7"/>
      <c r="E248" s="7" t="s">
        <v>76</v>
      </c>
      <c r="F248" s="7" t="s">
        <v>17</v>
      </c>
      <c r="G248" s="7" t="s">
        <v>22</v>
      </c>
      <c r="H248" s="7" t="s">
        <v>2</v>
      </c>
      <c r="I248" s="7" t="s">
        <v>2</v>
      </c>
      <c r="J248" s="7" t="s">
        <v>78</v>
      </c>
    </row>
    <row r="249" spans="1:10" x14ac:dyDescent="0.25" outlineLevel="1" collapsed="1">
      <c r="A249" s="8" t="s">
        <v>15</v>
      </c>
      <c r="B249" s="9" t="s">
        <v>823</v>
      </c>
      <c r="C249" s="8" t="s">
        <v>2</v>
      </c>
      <c r="D249" s="8"/>
      <c r="E249" s="8" t="s">
        <v>976</v>
      </c>
      <c r="F249" s="8" t="s">
        <v>17</v>
      </c>
      <c r="G249" s="8" t="s">
        <v>2</v>
      </c>
      <c r="H249" s="8" t="s">
        <v>2</v>
      </c>
      <c r="I249" s="8" t="s">
        <v>2</v>
      </c>
      <c r="J249" s="8" t="s">
        <v>977</v>
      </c>
    </row>
    <row r="250" spans="1:10" x14ac:dyDescent="0.25" outlineLevel="2" collapsed="1">
      <c r="A250" s="7" t="s">
        <v>15</v>
      </c>
      <c r="B250" s="7" t="s">
        <v>44</v>
      </c>
      <c r="C250" s="10" t="s">
        <v>826</v>
      </c>
      <c r="D250" s="7"/>
      <c r="E250" s="7" t="s">
        <v>827</v>
      </c>
      <c r="F250" s="7" t="s">
        <v>17</v>
      </c>
      <c r="G250" s="7" t="s">
        <v>15</v>
      </c>
      <c r="H250" s="7" t="s">
        <v>2</v>
      </c>
      <c r="I250" s="7" t="s">
        <v>2</v>
      </c>
      <c r="J250" s="7" t="s">
        <v>828</v>
      </c>
    </row>
    <row r="251" spans="1:10" x14ac:dyDescent="0.25" outlineLevel="2" collapsed="1">
      <c r="A251" s="7" t="s">
        <v>17</v>
      </c>
      <c r="B251" s="7" t="s">
        <v>20</v>
      </c>
      <c r="C251" s="7" t="s">
        <v>2</v>
      </c>
      <c r="D251" s="7"/>
      <c r="E251" s="7" t="s">
        <v>76</v>
      </c>
      <c r="F251" s="7" t="s">
        <v>17</v>
      </c>
      <c r="G251" s="7" t="s">
        <v>22</v>
      </c>
      <c r="H251" s="7" t="s">
        <v>2</v>
      </c>
      <c r="I251" s="7" t="s">
        <v>2</v>
      </c>
      <c r="J251" s="7" t="s">
        <v>78</v>
      </c>
    </row>
    <row r="252" spans="1:10" x14ac:dyDescent="0.25" outlineLevel="1" collapsed="1">
      <c r="A252" s="8" t="s">
        <v>15</v>
      </c>
      <c r="B252" s="9" t="s">
        <v>823</v>
      </c>
      <c r="C252" s="8" t="s">
        <v>2</v>
      </c>
      <c r="D252" s="8"/>
      <c r="E252" s="8" t="s">
        <v>978</v>
      </c>
      <c r="F252" s="8" t="s">
        <v>17</v>
      </c>
      <c r="G252" s="8" t="s">
        <v>2</v>
      </c>
      <c r="H252" s="8" t="s">
        <v>2</v>
      </c>
      <c r="I252" s="8" t="s">
        <v>2</v>
      </c>
      <c r="J252" s="8" t="s">
        <v>979</v>
      </c>
    </row>
    <row r="253" spans="1:10" x14ac:dyDescent="0.25" outlineLevel="2" collapsed="1">
      <c r="A253" s="7" t="s">
        <v>15</v>
      </c>
      <c r="B253" s="7" t="s">
        <v>44</v>
      </c>
      <c r="C253" s="10" t="s">
        <v>826</v>
      </c>
      <c r="D253" s="7"/>
      <c r="E253" s="7" t="s">
        <v>827</v>
      </c>
      <c r="F253" s="7" t="s">
        <v>17</v>
      </c>
      <c r="G253" s="7" t="s">
        <v>15</v>
      </c>
      <c r="H253" s="7" t="s">
        <v>2</v>
      </c>
      <c r="I253" s="7" t="s">
        <v>2</v>
      </c>
      <c r="J253" s="7" t="s">
        <v>828</v>
      </c>
    </row>
    <row r="254" spans="1:10" x14ac:dyDescent="0.25" outlineLevel="2" collapsed="1">
      <c r="A254" s="7" t="s">
        <v>17</v>
      </c>
      <c r="B254" s="7" t="s">
        <v>20</v>
      </c>
      <c r="C254" s="7" t="s">
        <v>2</v>
      </c>
      <c r="D254" s="7"/>
      <c r="E254" s="7" t="s">
        <v>76</v>
      </c>
      <c r="F254" s="7" t="s">
        <v>17</v>
      </c>
      <c r="G254" s="7" t="s">
        <v>22</v>
      </c>
      <c r="H254" s="7" t="s">
        <v>2</v>
      </c>
      <c r="I254" s="7" t="s">
        <v>2</v>
      </c>
      <c r="J254" s="7" t="s">
        <v>78</v>
      </c>
    </row>
    <row r="255" spans="1:10" x14ac:dyDescent="0.25" outlineLevel="1" collapsed="1">
      <c r="A255" s="8" t="s">
        <v>15</v>
      </c>
      <c r="B255" s="9" t="s">
        <v>823</v>
      </c>
      <c r="C255" s="8" t="s">
        <v>2</v>
      </c>
      <c r="D255" s="8"/>
      <c r="E255" s="8" t="s">
        <v>980</v>
      </c>
      <c r="F255" s="8" t="s">
        <v>17</v>
      </c>
      <c r="G255" s="8" t="s">
        <v>2</v>
      </c>
      <c r="H255" s="8" t="s">
        <v>2</v>
      </c>
      <c r="I255" s="8" t="s">
        <v>2</v>
      </c>
      <c r="J255" s="8" t="s">
        <v>981</v>
      </c>
    </row>
    <row r="256" spans="1:10" x14ac:dyDescent="0.25" outlineLevel="2" collapsed="1">
      <c r="A256" s="7" t="s">
        <v>15</v>
      </c>
      <c r="B256" s="7" t="s">
        <v>44</v>
      </c>
      <c r="C256" s="10" t="s">
        <v>826</v>
      </c>
      <c r="D256" s="7"/>
      <c r="E256" s="7" t="s">
        <v>827</v>
      </c>
      <c r="F256" s="7" t="s">
        <v>17</v>
      </c>
      <c r="G256" s="7" t="s">
        <v>15</v>
      </c>
      <c r="H256" s="7" t="s">
        <v>2</v>
      </c>
      <c r="I256" s="7" t="s">
        <v>2</v>
      </c>
      <c r="J256" s="7" t="s">
        <v>828</v>
      </c>
    </row>
    <row r="257" spans="1:10" x14ac:dyDescent="0.25" outlineLevel="2" collapsed="1">
      <c r="A257" s="7" t="s">
        <v>17</v>
      </c>
      <c r="B257" s="7" t="s">
        <v>20</v>
      </c>
      <c r="C257" s="7" t="s">
        <v>2</v>
      </c>
      <c r="D257" s="7"/>
      <c r="E257" s="7" t="s">
        <v>76</v>
      </c>
      <c r="F257" s="7" t="s">
        <v>17</v>
      </c>
      <c r="G257" s="7" t="s">
        <v>22</v>
      </c>
      <c r="H257" s="7" t="s">
        <v>2</v>
      </c>
      <c r="I257" s="7" t="s">
        <v>2</v>
      </c>
      <c r="J257" s="7" t="s">
        <v>78</v>
      </c>
    </row>
    <row r="258" spans="1:10" x14ac:dyDescent="0.25" outlineLevel="1" collapsed="1">
      <c r="A258" s="8" t="s">
        <v>15</v>
      </c>
      <c r="B258" s="9" t="s">
        <v>823</v>
      </c>
      <c r="C258" s="8" t="s">
        <v>2</v>
      </c>
      <c r="D258" s="8"/>
      <c r="E258" s="8" t="s">
        <v>982</v>
      </c>
      <c r="F258" s="8" t="s">
        <v>17</v>
      </c>
      <c r="G258" s="8" t="s">
        <v>2</v>
      </c>
      <c r="H258" s="8" t="s">
        <v>2</v>
      </c>
      <c r="I258" s="8" t="s">
        <v>2</v>
      </c>
      <c r="J258" s="8" t="s">
        <v>983</v>
      </c>
    </row>
    <row r="259" spans="1:10" x14ac:dyDescent="0.25" outlineLevel="2" collapsed="1">
      <c r="A259" s="7" t="s">
        <v>15</v>
      </c>
      <c r="B259" s="7" t="s">
        <v>44</v>
      </c>
      <c r="C259" s="10" t="s">
        <v>826</v>
      </c>
      <c r="D259" s="7"/>
      <c r="E259" s="7" t="s">
        <v>827</v>
      </c>
      <c r="F259" s="7" t="s">
        <v>17</v>
      </c>
      <c r="G259" s="7" t="s">
        <v>15</v>
      </c>
      <c r="H259" s="7" t="s">
        <v>2</v>
      </c>
      <c r="I259" s="7" t="s">
        <v>2</v>
      </c>
      <c r="J259" s="7" t="s">
        <v>828</v>
      </c>
    </row>
    <row r="260" spans="1:10" x14ac:dyDescent="0.25" outlineLevel="2" collapsed="1">
      <c r="A260" s="7" t="s">
        <v>17</v>
      </c>
      <c r="B260" s="7" t="s">
        <v>20</v>
      </c>
      <c r="C260" s="7" t="s">
        <v>2</v>
      </c>
      <c r="D260" s="7"/>
      <c r="E260" s="7" t="s">
        <v>76</v>
      </c>
      <c r="F260" s="7" t="s">
        <v>17</v>
      </c>
      <c r="G260" s="7" t="s">
        <v>22</v>
      </c>
      <c r="H260" s="7" t="s">
        <v>2</v>
      </c>
      <c r="I260" s="7" t="s">
        <v>2</v>
      </c>
      <c r="J260" s="7" t="s">
        <v>78</v>
      </c>
    </row>
  </sheetData>
  <mergeCells count="3">
    <mergeCell ref="A1:J1"/>
    <mergeCell ref="B2:J2"/>
    <mergeCell ref="B3:J3"/>
  </mergeCells>
  <dataValidations count="61">
    <dataValidation type="list" allowBlank="1" sqref="G100:I100">
      <formula1>'Enums'!C2707:C2708</formula1>
    </dataValidation>
    <dataValidation type="list" allowBlank="1" sqref="G103:I103">
      <formula1>'Enums'!C2707:C2708</formula1>
    </dataValidation>
    <dataValidation type="list" allowBlank="1" sqref="G106:I106">
      <formula1>'Enums'!C2707:C2708</formula1>
    </dataValidation>
    <dataValidation type="list" allowBlank="1" sqref="G109:I109">
      <formula1>'Enums'!C2707:C2708</formula1>
    </dataValidation>
    <dataValidation type="list" allowBlank="1" sqref="G112:I112">
      <formula1>'Enums'!C2707:C2708</formula1>
    </dataValidation>
    <dataValidation type="list" allowBlank="1" sqref="G115:I115">
      <formula1>'Enums'!C2707:C2708</formula1>
    </dataValidation>
    <dataValidation type="list" allowBlank="1" sqref="G118:I118">
      <formula1>'Enums'!C2707:C2708</formula1>
    </dataValidation>
    <dataValidation type="list" allowBlank="1" sqref="G12:I12">
      <formula1>'Enums'!C2711:C2714</formula1>
    </dataValidation>
    <dataValidation type="list" allowBlank="1" sqref="G121:I121">
      <formula1>'Enums'!C2707:C2708</formula1>
    </dataValidation>
    <dataValidation type="list" allowBlank="1" sqref="G125:I125">
      <formula1>'Enums'!C2707:C2708</formula1>
    </dataValidation>
    <dataValidation type="list" allowBlank="1" sqref="G128:I128">
      <formula1>'Enums'!C2707:C2708</formula1>
    </dataValidation>
    <dataValidation type="list" allowBlank="1" sqref="G131:I131">
      <formula1>'Enums'!C2707:C2708</formula1>
    </dataValidation>
    <dataValidation type="list" allowBlank="1" sqref="G134:I134">
      <formula1>'Enums'!C2707:C2708</formula1>
    </dataValidation>
    <dataValidation type="list" allowBlank="1" sqref="G137:I137">
      <formula1>'Enums'!C2707:C2708</formula1>
    </dataValidation>
    <dataValidation type="list" allowBlank="1" sqref="G14:I14">
      <formula1>'Enums'!C2715:C2717</formula1>
    </dataValidation>
    <dataValidation type="list" allowBlank="1" sqref="G140:I140">
      <formula1>'Enums'!C2707:C2708</formula1>
    </dataValidation>
    <dataValidation type="list" allowBlank="1" sqref="G143:I143">
      <formula1>'Enums'!C2707:C2708</formula1>
    </dataValidation>
    <dataValidation type="list" allowBlank="1" sqref="G162:I162">
      <formula1>'Enums'!C1796:C1797</formula1>
    </dataValidation>
    <dataValidation type="list" allowBlank="1" sqref="G166:I166">
      <formula1>'Enums'!C2707:C2708</formula1>
    </dataValidation>
    <dataValidation type="list" allowBlank="1" sqref="G169:I169">
      <formula1>'Enums'!C2707:C2708</formula1>
    </dataValidation>
    <dataValidation type="list" allowBlank="1" sqref="G172:I172">
      <formula1>'Enums'!C2707:C2708</formula1>
    </dataValidation>
    <dataValidation type="list" allowBlank="1" sqref="G175:I175">
      <formula1>'Enums'!C2707:C2708</formula1>
    </dataValidation>
    <dataValidation type="list" allowBlank="1" sqref="G178:I178">
      <formula1>'Enums'!C2707:C2708</formula1>
    </dataValidation>
    <dataValidation type="list" allowBlank="1" sqref="G18:I18">
      <formula1>'Enums'!C2718:C2733</formula1>
    </dataValidation>
    <dataValidation type="list" allowBlank="1" sqref="G181:I181">
      <formula1>'Enums'!C2707:C2708</formula1>
    </dataValidation>
    <dataValidation type="list" allowBlank="1" sqref="G184:I184">
      <formula1>'Enums'!C2707:C2708</formula1>
    </dataValidation>
    <dataValidation type="list" allowBlank="1" sqref="G187:I187">
      <formula1>'Enums'!C2707:C2708</formula1>
    </dataValidation>
    <dataValidation type="list" allowBlank="1" sqref="G191:I191">
      <formula1>'Enums'!C2707:C2708</formula1>
    </dataValidation>
    <dataValidation type="list" allowBlank="1" sqref="G194:I194">
      <formula1>'Enums'!C2707:C2708</formula1>
    </dataValidation>
    <dataValidation type="list" allowBlank="1" sqref="G197:I197">
      <formula1>'Enums'!C2707:C2708</formula1>
    </dataValidation>
    <dataValidation type="list" allowBlank="1" sqref="G200:I200">
      <formula1>'Enums'!C2707:C2708</formula1>
    </dataValidation>
    <dataValidation type="list" allowBlank="1" sqref="G204:I204">
      <formula1>'Enums'!C2707:C2708</formula1>
    </dataValidation>
    <dataValidation type="list" allowBlank="1" sqref="G207:I207">
      <formula1>'Enums'!C2707:C2708</formula1>
    </dataValidation>
    <dataValidation type="list" allowBlank="1" sqref="G210:I210">
      <formula1>'Enums'!C2707:C2708</formula1>
    </dataValidation>
    <dataValidation type="list" allowBlank="1" sqref="G213:I213">
      <formula1>'Enums'!C2707:C2708</formula1>
    </dataValidation>
    <dataValidation type="list" allowBlank="1" sqref="G216:I216">
      <formula1>'Enums'!C2707:C2708</formula1>
    </dataValidation>
    <dataValidation type="list" allowBlank="1" sqref="G220:I220">
      <formula1>'Enums'!C2707:C2708</formula1>
    </dataValidation>
    <dataValidation type="list" allowBlank="1" sqref="G223:I223">
      <formula1>'Enums'!C2707:C2708</formula1>
    </dataValidation>
    <dataValidation type="list" allowBlank="1" sqref="G226:I226">
      <formula1>'Enums'!C2707:C2708</formula1>
    </dataValidation>
    <dataValidation type="list" allowBlank="1" sqref="G229:I229">
      <formula1>'Enums'!C2707:C2708</formula1>
    </dataValidation>
    <dataValidation type="list" allowBlank="1" sqref="G23:I23">
      <formula1>'Enums'!C2123:C2375</formula1>
    </dataValidation>
    <dataValidation type="list" allowBlank="1" sqref="G232:I232">
      <formula1>'Enums'!C2707:C2708</formula1>
    </dataValidation>
    <dataValidation type="list" allowBlank="1" sqref="G235:I235">
      <formula1>'Enums'!C2707:C2708</formula1>
    </dataValidation>
    <dataValidation type="list" allowBlank="1" sqref="G238:I238">
      <formula1>'Enums'!C2707:C2708</formula1>
    </dataValidation>
    <dataValidation type="list" allowBlank="1" sqref="G241:I241">
      <formula1>'Enums'!C2707:C2708</formula1>
    </dataValidation>
    <dataValidation type="list" allowBlank="1" sqref="G244:I244">
      <formula1>'Enums'!C2707:C2708</formula1>
    </dataValidation>
    <dataValidation type="list" allowBlank="1" sqref="G247:I247">
      <formula1>'Enums'!C2707:C2708</formula1>
    </dataValidation>
    <dataValidation type="list" allowBlank="1" sqref="G250:I250">
      <formula1>'Enums'!C2707:C2708</formula1>
    </dataValidation>
    <dataValidation type="list" allowBlank="1" sqref="G253:I253">
      <formula1>'Enums'!C2707:C2708</formula1>
    </dataValidation>
    <dataValidation type="list" allowBlank="1" sqref="G256:I256">
      <formula1>'Enums'!C2707:C2708</formula1>
    </dataValidation>
    <dataValidation type="list" allowBlank="1" sqref="G259:I259">
      <formula1>'Enums'!C2707:C2708</formula1>
    </dataValidation>
    <dataValidation type="list" allowBlank="1" sqref="G27:I27">
      <formula1>'Enums'!C2376:C2377</formula1>
    </dataValidation>
    <dataValidation type="list" allowBlank="1" sqref="G48:I48">
      <formula1>'Enums'!C2734:C2735</formula1>
    </dataValidation>
    <dataValidation type="list" allowBlank="1" sqref="G50:I50">
      <formula1>'Enums'!C2736:C2742</formula1>
    </dataValidation>
    <dataValidation type="list" allowBlank="1" sqref="G53:I53">
      <formula1>'Enums'!C2743:C2746</formula1>
    </dataValidation>
    <dataValidation type="list" allowBlank="1" sqref="G56:I56">
      <formula1>'Enums'!C1811:C1812</formula1>
    </dataValidation>
    <dataValidation type="list" allowBlank="1" sqref="G88:I88">
      <formula1>'Enums'!C2707:C2708</formula1>
    </dataValidation>
    <dataValidation type="list" allowBlank="1" sqref="G9:I9">
      <formula1>'Enums'!C2709:C2710</formula1>
    </dataValidation>
    <dataValidation type="list" allowBlank="1" sqref="G91:I91">
      <formula1>'Enums'!C2707:C2708</formula1>
    </dataValidation>
    <dataValidation type="list" allowBlank="1" sqref="G94:I94">
      <formula1>'Enums'!C2707:C2708</formula1>
    </dataValidation>
    <dataValidation type="list" allowBlank="1" sqref="G97:I97">
      <formula1>'Enums'!C2707:C2708</formula1>
    </dataValidation>
  </dataValidations>
  <hyperlinks>
    <hyperlink ref="B6" r:id="rId1" location="#'Project Details'!A1"/>
    <hyperlink ref="B17" r:id="rId2" location="#'Contribution of the Project to'!A1"/>
    <hyperlink ref="B21" r:id="rId3" location="#'Project Location Details'!A1"/>
    <hyperlink ref="B22" r:id="rId4" location="#'Country'!A1"/>
    <hyperlink ref="B31" r:id="rId5" location="#'Activity Developer Details'!A1"/>
    <hyperlink ref="B40" r:id="rId6" location="#'Project Resource'!A1"/>
    <hyperlink ref="B46" r:id="rId7" location="#'Water Treatment Technology'!A1"/>
    <hyperlink ref="B47" r:id="rId8" location="#'Treatment Technology Sub-ty 3'!A1"/>
    <hyperlink ref="B49" r:id="rId9" location="#'Treatment Technology Sub-type'!A1"/>
    <hyperlink ref="B52" r:id="rId10" location="#'Treatment Technology Sub-ty 2'!A1"/>
    <hyperlink ref="B70" r:id="rId11" location="#'If the Project Installation is'!A1"/>
    <hyperlink ref="B86" r:id="rId12" location="#'Technology Eligibility Validat'!A1"/>
    <hyperlink ref="B87" r:id="rId13" location="#'Yes or no with comments'!A1"/>
    <hyperlink ref="B90" r:id="rId14" location="#'Yes or no with comments'!A1"/>
    <hyperlink ref="B93" r:id="rId15" location="#'Yes or no with comments'!A1"/>
    <hyperlink ref="B96" r:id="rId16" location="#'Yes or no with comments'!A1"/>
    <hyperlink ref="B99" r:id="rId17" location="#'Yes or no with comments'!A1"/>
    <hyperlink ref="B102" r:id="rId18" location="#'Yes or no with comments'!A1"/>
    <hyperlink ref="B105" r:id="rId19" location="#'Yes or no with comments'!A1"/>
    <hyperlink ref="B108" r:id="rId20" location="#'Yes or no with comments'!A1"/>
    <hyperlink ref="B111" r:id="rId21" location="#'Yes or no with comments'!A1"/>
    <hyperlink ref="B114" r:id="rId22" location="#'Yes or no with comments'!A1"/>
    <hyperlink ref="B117" r:id="rId23" location="#'Yes or no with comments'!A1"/>
    <hyperlink ref="B120" r:id="rId24" location="#'Yes or no with comments'!A1"/>
    <hyperlink ref="B123" r:id="rId25" location="#'Meeting Methodological Princip'!A1"/>
    <hyperlink ref="B124" r:id="rId26" location="#'Yes or no with comments'!A1"/>
    <hyperlink ref="B127" r:id="rId27" location="#'Yes or no with comments'!A1"/>
    <hyperlink ref="B130" r:id="rId28" location="#'Yes or no with comments'!A1"/>
    <hyperlink ref="B133" r:id="rId29" location="#'Yes or no with comments'!A1"/>
    <hyperlink ref="B136" r:id="rId30" location="#'Yes or no with comments'!A1"/>
    <hyperlink ref="B139" r:id="rId31" location="#'Yes or no with comments'!A1"/>
    <hyperlink ref="B142" r:id="rId32" location="#'Yes or no with comments'!A1"/>
    <hyperlink ref="B145" r:id="rId33" location="#'Methodologies and Standardi 2'!A1"/>
    <hyperlink ref="B148" r:id="rId34" location="#'Baseline Emission'!A1"/>
    <hyperlink ref="B151" r:id="rId35" location="#'Estimated Net Emission Reducti'!A1"/>
    <hyperlink ref="B157" r:id="rId36" location="#'Project Crediting Period'!A1"/>
    <hyperlink ref="B159" r:id="rId37" location="#'Duration'!A1"/>
    <hyperlink ref="B164" r:id="rId38" location="#'Baseline Assessment Validation'!A1"/>
    <hyperlink ref="B165" r:id="rId39" location="#'Yes or no with comments'!A1"/>
    <hyperlink ref="B168" r:id="rId40" location="#'Yes or no with comments'!A1"/>
    <hyperlink ref="B171" r:id="rId41" location="#'Yes or no with comments'!A1"/>
    <hyperlink ref="B174" r:id="rId42" location="#'Yes or no with comments'!A1"/>
    <hyperlink ref="B177" r:id="rId43" location="#'Yes or no with comments'!A1"/>
    <hyperlink ref="B180" r:id="rId44" location="#'Yes or no with comments'!A1"/>
    <hyperlink ref="B183" r:id="rId45" location="#'Yes or no with comments'!A1"/>
    <hyperlink ref="B186" r:id="rId46" location="#'Yes or no with comments'!A1"/>
    <hyperlink ref="B189" r:id="rId47" location="#'Project Boundary Validation'!A1"/>
    <hyperlink ref="B190" r:id="rId48" location="#'Yes or no with comments'!A1"/>
    <hyperlink ref="B193" r:id="rId49" location="#'Yes or no with comments'!A1"/>
    <hyperlink ref="B196" r:id="rId50" location="#'Yes or no with comments'!A1"/>
    <hyperlink ref="B199" r:id="rId51" location="#'Yes or no with comments'!A1"/>
    <hyperlink ref="B202" r:id="rId52" location="#'Additionality Validation'!A1"/>
    <hyperlink ref="B203" r:id="rId53" location="#'Yes or no with comments'!A1"/>
    <hyperlink ref="B206" r:id="rId54" location="#'Yes or no with comments'!A1"/>
    <hyperlink ref="B209" r:id="rId55" location="#'Yes or no with comments'!A1"/>
    <hyperlink ref="B212" r:id="rId56" location="#'Yes or no with comments'!A1"/>
    <hyperlink ref="B215" r:id="rId57" location="#'Yes or no with comments'!A1"/>
    <hyperlink ref="B218" r:id="rId58" location="#'Monitoring Plan Validation'!A1"/>
    <hyperlink ref="B219" r:id="rId59" location="#'Yes or no with comments'!A1"/>
    <hyperlink ref="B222" r:id="rId60" location="#'Yes or no with comments'!A1"/>
    <hyperlink ref="B225" r:id="rId61" location="#'Yes or no with comments'!A1"/>
    <hyperlink ref="B228" r:id="rId62" location="#'Yes or no with comments'!A1"/>
    <hyperlink ref="B231" r:id="rId63" location="#'Yes or no with comments'!A1"/>
    <hyperlink ref="B234" r:id="rId64" location="#'Yes or no with comments'!A1"/>
    <hyperlink ref="B237" r:id="rId65" location="#'Yes or no with comments'!A1"/>
    <hyperlink ref="B240" r:id="rId66" location="#'Yes or no with comments'!A1"/>
    <hyperlink ref="B243" r:id="rId67" location="#'Yes or no with comments'!A1"/>
    <hyperlink ref="B246" r:id="rId68" location="#'Yes or no with comments'!A1"/>
    <hyperlink ref="B249" r:id="rId69" location="#'Yes or no with comments'!A1"/>
    <hyperlink ref="B252" r:id="rId70" location="#'Yes or no with comments'!A1"/>
    <hyperlink ref="B255" r:id="rId71" location="#'Yes or no with comments'!A1"/>
    <hyperlink ref="B258" r:id="rId72" location="#'Yes or no with comm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7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984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17</v>
      </c>
      <c r="B5" s="5" t="s">
        <v>20</v>
      </c>
      <c r="C5" s="5" t="s">
        <v>2</v>
      </c>
      <c r="D5" s="5"/>
      <c r="E5" s="5" t="s">
        <v>182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183</v>
      </c>
    </row>
    <row r="6" spans="1:10" x14ac:dyDescent="0.25">
      <c r="A6" s="5" t="s">
        <v>15</v>
      </c>
      <c r="B6" s="6" t="s">
        <v>190</v>
      </c>
      <c r="C6" s="5" t="s">
        <v>2</v>
      </c>
      <c r="D6" s="5"/>
      <c r="E6" s="5" t="s">
        <v>190</v>
      </c>
      <c r="F6" s="5" t="s">
        <v>17</v>
      </c>
      <c r="G6" s="5" t="s">
        <v>985</v>
      </c>
      <c r="H6" s="5" t="s">
        <v>2</v>
      </c>
      <c r="I6" s="5" t="s">
        <v>2</v>
      </c>
      <c r="J6" s="5" t="s">
        <v>986</v>
      </c>
    </row>
    <row r="7" spans="1:10" x14ac:dyDescent="0.25" outlineLevel="1" collapsed="1">
      <c r="A7" s="7" t="s">
        <v>15</v>
      </c>
      <c r="B7" s="7" t="s">
        <v>20</v>
      </c>
      <c r="C7" s="7" t="s">
        <v>2</v>
      </c>
      <c r="D7" s="7"/>
      <c r="E7" s="7" t="s">
        <v>193</v>
      </c>
      <c r="F7" s="7" t="s">
        <v>17</v>
      </c>
      <c r="G7" s="7" t="s">
        <v>22</v>
      </c>
      <c r="H7" s="7" t="s">
        <v>2</v>
      </c>
      <c r="I7" s="7" t="s">
        <v>2</v>
      </c>
      <c r="J7" s="7" t="s">
        <v>104</v>
      </c>
    </row>
    <row r="8" spans="1:10" x14ac:dyDescent="0.25" outlineLevel="1" collapsed="1">
      <c r="A8" s="7" t="s">
        <v>15</v>
      </c>
      <c r="B8" s="7" t="s">
        <v>26</v>
      </c>
      <c r="C8" s="7" t="s">
        <v>2</v>
      </c>
      <c r="D8" s="7"/>
      <c r="E8" s="7" t="s">
        <v>987</v>
      </c>
      <c r="F8" s="7" t="s">
        <v>17</v>
      </c>
      <c r="G8" s="7" t="s">
        <v>37</v>
      </c>
      <c r="H8" s="7" t="s">
        <v>2</v>
      </c>
      <c r="I8" s="7" t="s">
        <v>2</v>
      </c>
      <c r="J8" s="7" t="s">
        <v>400</v>
      </c>
    </row>
    <row r="9" spans="1:10" x14ac:dyDescent="0.25">
      <c r="A9" s="5" t="s">
        <v>15</v>
      </c>
      <c r="B9" s="6" t="s">
        <v>185</v>
      </c>
      <c r="C9" s="5" t="s">
        <v>2</v>
      </c>
      <c r="D9" s="5"/>
      <c r="E9" s="5" t="s">
        <v>185</v>
      </c>
      <c r="F9" s="5" t="s">
        <v>17</v>
      </c>
      <c r="G9" s="5" t="s">
        <v>988</v>
      </c>
      <c r="H9" s="5" t="s">
        <v>2</v>
      </c>
      <c r="I9" s="5" t="s">
        <v>2</v>
      </c>
      <c r="J9" s="5" t="s">
        <v>19</v>
      </c>
    </row>
    <row r="10" spans="1:10" x14ac:dyDescent="0.25" outlineLevel="1" collapsed="1">
      <c r="A10" s="7" t="s">
        <v>15</v>
      </c>
      <c r="B10" s="7" t="s">
        <v>133</v>
      </c>
      <c r="C10" s="7" t="s">
        <v>187</v>
      </c>
      <c r="D10" s="7"/>
      <c r="E10" s="7" t="s">
        <v>21</v>
      </c>
      <c r="F10" s="7" t="s">
        <v>17</v>
      </c>
      <c r="G10" s="7" t="s">
        <v>989</v>
      </c>
      <c r="H10" s="7" t="s">
        <v>2</v>
      </c>
      <c r="I10" s="7" t="s">
        <v>2</v>
      </c>
      <c r="J10" s="7" t="s">
        <v>23</v>
      </c>
    </row>
    <row r="11" spans="1:10" x14ac:dyDescent="0.25" outlineLevel="1" collapsed="1">
      <c r="A11" s="7" t="s">
        <v>15</v>
      </c>
      <c r="B11" s="7" t="s">
        <v>133</v>
      </c>
      <c r="C11" s="7" t="s">
        <v>730</v>
      </c>
      <c r="D11" s="7"/>
      <c r="E11" s="7" t="s">
        <v>731</v>
      </c>
      <c r="F11" s="7" t="s">
        <v>17</v>
      </c>
      <c r="G11" s="7" t="s">
        <v>990</v>
      </c>
      <c r="H11" s="7" t="s">
        <v>2</v>
      </c>
      <c r="I11" s="7" t="s">
        <v>2</v>
      </c>
      <c r="J11" s="7" t="s">
        <v>733</v>
      </c>
    </row>
    <row r="12" spans="1:10" x14ac:dyDescent="0.25" outlineLevel="1" collapsed="1">
      <c r="A12" s="7" t="s">
        <v>15</v>
      </c>
      <c r="B12" s="7" t="s">
        <v>44</v>
      </c>
      <c r="C12" s="10" t="s">
        <v>734</v>
      </c>
      <c r="D12" s="7"/>
      <c r="E12" s="7" t="s">
        <v>735</v>
      </c>
      <c r="F12" s="7" t="s">
        <v>17</v>
      </c>
      <c r="G12" s="7" t="s">
        <v>736</v>
      </c>
      <c r="H12" s="7" t="s">
        <v>2</v>
      </c>
      <c r="I12" s="7" t="s">
        <v>2</v>
      </c>
      <c r="J12" s="7" t="s">
        <v>737</v>
      </c>
    </row>
    <row r="13" spans="1:10" x14ac:dyDescent="0.25" outlineLevel="1" collapsed="1">
      <c r="A13" s="7" t="s">
        <v>15</v>
      </c>
      <c r="B13" s="7" t="s">
        <v>26</v>
      </c>
      <c r="C13" s="7" t="s">
        <v>2</v>
      </c>
      <c r="D13" s="7"/>
      <c r="E13" s="7" t="s">
        <v>738</v>
      </c>
      <c r="F13" s="7" t="s">
        <v>17</v>
      </c>
      <c r="G13" s="7" t="s">
        <v>37</v>
      </c>
      <c r="H13" s="7" t="s">
        <v>2</v>
      </c>
      <c r="I13" s="7" t="s">
        <v>2</v>
      </c>
      <c r="J13" s="7" t="s">
        <v>739</v>
      </c>
    </row>
    <row r="14" spans="1:10" x14ac:dyDescent="0.25" outlineLevel="1" collapsed="1">
      <c r="A14" s="7" t="s">
        <v>15</v>
      </c>
      <c r="B14" s="7" t="s">
        <v>26</v>
      </c>
      <c r="C14" s="7" t="s">
        <v>2</v>
      </c>
      <c r="D14" s="7"/>
      <c r="E14" s="7" t="s">
        <v>740</v>
      </c>
      <c r="F14" s="7" t="s">
        <v>17</v>
      </c>
      <c r="G14" s="7" t="s">
        <v>37</v>
      </c>
      <c r="H14" s="7" t="s">
        <v>2</v>
      </c>
      <c r="I14" s="7" t="s">
        <v>2</v>
      </c>
      <c r="J14" s="7" t="s">
        <v>741</v>
      </c>
    </row>
    <row r="15" spans="1:10" x14ac:dyDescent="0.25" outlineLevel="1" collapsed="1">
      <c r="A15" s="7" t="s">
        <v>15</v>
      </c>
      <c r="B15" s="7" t="s">
        <v>44</v>
      </c>
      <c r="C15" s="10" t="s">
        <v>742</v>
      </c>
      <c r="D15" s="7"/>
      <c r="E15" s="7" t="s">
        <v>743</v>
      </c>
      <c r="F15" s="7" t="s">
        <v>17</v>
      </c>
      <c r="G15" s="7" t="s">
        <v>744</v>
      </c>
      <c r="H15" s="7" t="s">
        <v>2</v>
      </c>
      <c r="I15" s="7" t="s">
        <v>2</v>
      </c>
      <c r="J15" s="7" t="s">
        <v>745</v>
      </c>
    </row>
    <row r="16" spans="1:10" x14ac:dyDescent="0.25" outlineLevel="1" collapsed="1">
      <c r="A16" s="7" t="s">
        <v>15</v>
      </c>
      <c r="B16" s="7" t="s">
        <v>133</v>
      </c>
      <c r="C16" s="7" t="s">
        <v>730</v>
      </c>
      <c r="D16" s="7"/>
      <c r="E16" s="7" t="s">
        <v>746</v>
      </c>
      <c r="F16" s="7" t="s">
        <v>17</v>
      </c>
      <c r="G16" s="7" t="s">
        <v>991</v>
      </c>
      <c r="H16" s="7" t="s">
        <v>2</v>
      </c>
      <c r="I16" s="7" t="s">
        <v>2</v>
      </c>
      <c r="J16" s="7" t="s">
        <v>748</v>
      </c>
    </row>
    <row r="17" spans="1:10" x14ac:dyDescent="0.25" outlineLevel="1" collapsed="1">
      <c r="A17" s="7" t="s">
        <v>15</v>
      </c>
      <c r="B17" s="7" t="s">
        <v>44</v>
      </c>
      <c r="C17" s="10" t="s">
        <v>749</v>
      </c>
      <c r="D17" s="7"/>
      <c r="E17" s="7" t="s">
        <v>750</v>
      </c>
      <c r="F17" s="7" t="s">
        <v>17</v>
      </c>
      <c r="G17" s="7" t="s">
        <v>751</v>
      </c>
      <c r="H17" s="7" t="s">
        <v>2</v>
      </c>
      <c r="I17" s="7" t="s">
        <v>2</v>
      </c>
      <c r="J17" s="7" t="s">
        <v>752</v>
      </c>
    </row>
    <row r="18" spans="1:10" x14ac:dyDescent="0.25" outlineLevel="1" collapsed="1">
      <c r="A18" s="7" t="s">
        <v>15</v>
      </c>
      <c r="B18" s="7" t="s">
        <v>20</v>
      </c>
      <c r="C18" s="7" t="s">
        <v>2</v>
      </c>
      <c r="D18" s="7"/>
      <c r="E18" s="7" t="s">
        <v>753</v>
      </c>
      <c r="F18" s="7" t="s">
        <v>17</v>
      </c>
      <c r="G18" s="7" t="s">
        <v>22</v>
      </c>
      <c r="H18" s="7" t="s">
        <v>2</v>
      </c>
      <c r="I18" s="7" t="s">
        <v>2</v>
      </c>
      <c r="J18" s="7" t="s">
        <v>754</v>
      </c>
    </row>
    <row r="19" spans="1:10" x14ac:dyDescent="0.25" outlineLevel="1" collapsed="1">
      <c r="A19" s="7" t="s">
        <v>15</v>
      </c>
      <c r="B19" s="7" t="s">
        <v>133</v>
      </c>
      <c r="C19" s="7" t="s">
        <v>730</v>
      </c>
      <c r="D19" s="7"/>
      <c r="E19" s="7" t="s">
        <v>755</v>
      </c>
      <c r="F19" s="7" t="s">
        <v>17</v>
      </c>
      <c r="G19" s="7" t="s">
        <v>992</v>
      </c>
      <c r="H19" s="7" t="s">
        <v>2</v>
      </c>
      <c r="I19" s="7" t="s">
        <v>2</v>
      </c>
      <c r="J19" s="7" t="s">
        <v>717</v>
      </c>
    </row>
    <row r="20" spans="1:10" x14ac:dyDescent="0.25" outlineLevel="1" collapsed="1">
      <c r="A20" s="8" t="s">
        <v>17</v>
      </c>
      <c r="B20" s="9" t="s">
        <v>757</v>
      </c>
      <c r="C20" s="8" t="s">
        <v>2</v>
      </c>
      <c r="D20" s="8"/>
      <c r="E20" s="8" t="s">
        <v>758</v>
      </c>
      <c r="F20" s="8" t="s">
        <v>15</v>
      </c>
      <c r="G20" s="8" t="s">
        <v>2</v>
      </c>
      <c r="H20" s="8" t="s">
        <v>2</v>
      </c>
      <c r="I20" s="8" t="s">
        <v>2</v>
      </c>
      <c r="J20" s="8" t="s">
        <v>759</v>
      </c>
    </row>
    <row r="21" spans="1:10" x14ac:dyDescent="0.25" outlineLevel="2" collapsed="1">
      <c r="A21" s="7" t="s">
        <v>15</v>
      </c>
      <c r="B21" s="7" t="s">
        <v>44</v>
      </c>
      <c r="C21" s="10" t="s">
        <v>760</v>
      </c>
      <c r="D21" s="7"/>
      <c r="E21" s="7" t="s">
        <v>761</v>
      </c>
      <c r="F21" s="7" t="s">
        <v>17</v>
      </c>
      <c r="G21" s="7" t="s">
        <v>762</v>
      </c>
      <c r="H21" s="7" t="s">
        <v>2</v>
      </c>
      <c r="I21" s="7" t="s">
        <v>2</v>
      </c>
      <c r="J21" s="7" t="s">
        <v>763</v>
      </c>
    </row>
    <row r="22" spans="1:10" x14ac:dyDescent="0.25" outlineLevel="2" collapsed="1">
      <c r="A22" s="7" t="s">
        <v>15</v>
      </c>
      <c r="B22" s="7" t="s">
        <v>20</v>
      </c>
      <c r="C22" s="7" t="s">
        <v>2</v>
      </c>
      <c r="D22" s="7"/>
      <c r="E22" s="7" t="s">
        <v>764</v>
      </c>
      <c r="F22" s="7" t="s">
        <v>17</v>
      </c>
      <c r="G22" s="7" t="s">
        <v>22</v>
      </c>
      <c r="H22" s="7" t="s">
        <v>2</v>
      </c>
      <c r="I22" s="7" t="s">
        <v>2</v>
      </c>
      <c r="J22" s="7" t="s">
        <v>765</v>
      </c>
    </row>
    <row r="23" spans="1:10" x14ac:dyDescent="0.25" outlineLevel="1" collapsed="1">
      <c r="A23" s="7" t="s">
        <v>15</v>
      </c>
      <c r="B23" s="7" t="s">
        <v>20</v>
      </c>
      <c r="C23" s="7" t="s">
        <v>2</v>
      </c>
      <c r="D23" s="7"/>
      <c r="E23" s="7" t="s">
        <v>766</v>
      </c>
      <c r="F23" s="7" t="s">
        <v>17</v>
      </c>
      <c r="G23" s="7" t="s">
        <v>22</v>
      </c>
      <c r="H23" s="7" t="s">
        <v>2</v>
      </c>
      <c r="I23" s="7" t="s">
        <v>2</v>
      </c>
      <c r="J23" s="7" t="s">
        <v>767</v>
      </c>
    </row>
    <row r="24" spans="1:10" x14ac:dyDescent="0.25">
      <c r="A24" s="5" t="s">
        <v>15</v>
      </c>
      <c r="B24" s="6" t="s">
        <v>333</v>
      </c>
      <c r="C24" s="5" t="s">
        <v>2</v>
      </c>
      <c r="D24" s="5"/>
      <c r="E24" s="5" t="s">
        <v>333</v>
      </c>
      <c r="F24" s="5" t="s">
        <v>15</v>
      </c>
      <c r="G24" s="5" t="s">
        <v>993</v>
      </c>
      <c r="H24" s="5" t="s">
        <v>2</v>
      </c>
      <c r="I24" s="5" t="s">
        <v>2</v>
      </c>
      <c r="J24" s="5" t="s">
        <v>994</v>
      </c>
    </row>
    <row r="25" spans="1:10" x14ac:dyDescent="0.25" outlineLevel="1" collapsed="1">
      <c r="A25" s="8" t="s">
        <v>15</v>
      </c>
      <c r="B25" s="9" t="s">
        <v>337</v>
      </c>
      <c r="C25" s="8" t="s">
        <v>2</v>
      </c>
      <c r="D25" s="8"/>
      <c r="E25" s="8" t="s">
        <v>337</v>
      </c>
      <c r="F25" s="8" t="s">
        <v>17</v>
      </c>
      <c r="G25" s="8" t="s">
        <v>2</v>
      </c>
      <c r="H25" s="8" t="s">
        <v>2</v>
      </c>
      <c r="I25" s="8" t="s">
        <v>2</v>
      </c>
      <c r="J25" s="8" t="s">
        <v>338</v>
      </c>
    </row>
    <row r="26" spans="1:10" x14ac:dyDescent="0.25" outlineLevel="2" collapsed="1">
      <c r="A26" s="7" t="s">
        <v>15</v>
      </c>
      <c r="B26" s="7" t="s">
        <v>44</v>
      </c>
      <c r="C26" s="10" t="s">
        <v>769</v>
      </c>
      <c r="D26" s="7"/>
      <c r="E26" s="7" t="s">
        <v>337</v>
      </c>
      <c r="F26" s="7" t="s">
        <v>17</v>
      </c>
      <c r="G26" s="7" t="s">
        <v>340</v>
      </c>
      <c r="H26" s="7" t="s">
        <v>2</v>
      </c>
      <c r="I26" s="7" t="s">
        <v>2</v>
      </c>
      <c r="J26" s="7" t="s">
        <v>338</v>
      </c>
    </row>
    <row r="27" spans="1:10" x14ac:dyDescent="0.25" outlineLevel="1" collapsed="1">
      <c r="A27" s="7" t="s">
        <v>15</v>
      </c>
      <c r="B27" s="7" t="s">
        <v>133</v>
      </c>
      <c r="C27" s="7" t="s">
        <v>341</v>
      </c>
      <c r="D27" s="7"/>
      <c r="E27" s="7" t="s">
        <v>342</v>
      </c>
      <c r="F27" s="7" t="s">
        <v>17</v>
      </c>
      <c r="G27" s="7" t="s">
        <v>995</v>
      </c>
      <c r="H27" s="7" t="s">
        <v>2</v>
      </c>
      <c r="I27" s="7" t="s">
        <v>2</v>
      </c>
      <c r="J27" s="7" t="s">
        <v>344</v>
      </c>
    </row>
    <row r="28" spans="1:10" x14ac:dyDescent="0.25" outlineLevel="1" collapsed="1">
      <c r="A28" s="7" t="s">
        <v>15</v>
      </c>
      <c r="B28" s="7" t="s">
        <v>133</v>
      </c>
      <c r="C28" s="7" t="s">
        <v>268</v>
      </c>
      <c r="D28" s="7"/>
      <c r="E28" s="7" t="s">
        <v>345</v>
      </c>
      <c r="F28" s="7" t="s">
        <v>17</v>
      </c>
      <c r="G28" s="7" t="s">
        <v>996</v>
      </c>
      <c r="H28" s="7" t="s">
        <v>2</v>
      </c>
      <c r="I28" s="7" t="s">
        <v>2</v>
      </c>
      <c r="J28" s="7" t="s">
        <v>347</v>
      </c>
    </row>
    <row r="29" spans="1:10" x14ac:dyDescent="0.25" outlineLevel="1" collapsed="1">
      <c r="A29" s="7" t="s">
        <v>15</v>
      </c>
      <c r="B29" s="7" t="s">
        <v>133</v>
      </c>
      <c r="C29" s="7" t="s">
        <v>348</v>
      </c>
      <c r="D29" s="7"/>
      <c r="E29" s="7" t="s">
        <v>349</v>
      </c>
      <c r="F29" s="7" t="s">
        <v>17</v>
      </c>
      <c r="G29" s="7" t="s">
        <v>997</v>
      </c>
      <c r="H29" s="7" t="s">
        <v>2</v>
      </c>
      <c r="I29" s="7" t="s">
        <v>2</v>
      </c>
      <c r="J29" s="7" t="s">
        <v>351</v>
      </c>
    </row>
    <row r="30" spans="1:10" x14ac:dyDescent="0.25" outlineLevel="1" collapsed="1">
      <c r="A30" s="7" t="s">
        <v>15</v>
      </c>
      <c r="B30" s="7" t="s">
        <v>44</v>
      </c>
      <c r="C30" s="10" t="s">
        <v>773</v>
      </c>
      <c r="D30" s="7"/>
      <c r="E30" s="7" t="s">
        <v>353</v>
      </c>
      <c r="F30" s="7" t="s">
        <v>17</v>
      </c>
      <c r="G30" s="7" t="s">
        <v>354</v>
      </c>
      <c r="H30" s="7" t="s">
        <v>2</v>
      </c>
      <c r="I30" s="7" t="s">
        <v>2</v>
      </c>
      <c r="J30" s="7" t="s">
        <v>355</v>
      </c>
    </row>
    <row r="31" spans="1:10" x14ac:dyDescent="0.25" outlineLevel="1" collapsed="1">
      <c r="A31" s="7" t="s">
        <v>15</v>
      </c>
      <c r="B31" s="7" t="s">
        <v>356</v>
      </c>
      <c r="C31" s="7" t="s">
        <v>2</v>
      </c>
      <c r="D31" s="7"/>
      <c r="E31" s="7" t="s">
        <v>357</v>
      </c>
      <c r="F31" s="7" t="s">
        <v>17</v>
      </c>
      <c r="G31" s="7" t="s">
        <v>2</v>
      </c>
      <c r="H31" s="7" t="s">
        <v>2</v>
      </c>
      <c r="I31" s="7" t="s">
        <v>2</v>
      </c>
      <c r="J31" s="7" t="s">
        <v>335</v>
      </c>
    </row>
    <row r="32" spans="1:10" x14ac:dyDescent="0.25" outlineLevel="1" collapsed="1">
      <c r="A32" s="7" t="s">
        <v>15</v>
      </c>
      <c r="B32" s="7" t="s">
        <v>133</v>
      </c>
      <c r="C32" s="7" t="s">
        <v>358</v>
      </c>
      <c r="D32" s="7"/>
      <c r="E32" s="7" t="s">
        <v>359</v>
      </c>
      <c r="F32" s="7" t="s">
        <v>17</v>
      </c>
      <c r="G32" s="7" t="s">
        <v>998</v>
      </c>
      <c r="H32" s="7" t="s">
        <v>2</v>
      </c>
      <c r="I32" s="7" t="s">
        <v>2</v>
      </c>
      <c r="J32" s="7" t="s">
        <v>361</v>
      </c>
    </row>
    <row r="33" spans="1:10" x14ac:dyDescent="0.25" outlineLevel="1" collapsed="1">
      <c r="A33" s="7" t="s">
        <v>15</v>
      </c>
      <c r="B33" s="7" t="s">
        <v>133</v>
      </c>
      <c r="C33" s="7" t="s">
        <v>362</v>
      </c>
      <c r="D33" s="7"/>
      <c r="E33" s="7" t="s">
        <v>363</v>
      </c>
      <c r="F33" s="7" t="s">
        <v>17</v>
      </c>
      <c r="G33" s="7" t="s">
        <v>999</v>
      </c>
      <c r="H33" s="7" t="s">
        <v>2</v>
      </c>
      <c r="I33" s="7" t="s">
        <v>2</v>
      </c>
      <c r="J33" s="7" t="s">
        <v>365</v>
      </c>
    </row>
    <row r="34" spans="1:10" x14ac:dyDescent="0.25">
      <c r="A34" s="5" t="s">
        <v>15</v>
      </c>
      <c r="B34" s="6" t="s">
        <v>207</v>
      </c>
      <c r="C34" s="5" t="s">
        <v>2</v>
      </c>
      <c r="D34" s="5"/>
      <c r="E34" s="5" t="s">
        <v>207</v>
      </c>
      <c r="F34" s="5" t="s">
        <v>17</v>
      </c>
      <c r="G34" s="5" t="s">
        <v>1000</v>
      </c>
      <c r="H34" s="5" t="s">
        <v>2</v>
      </c>
      <c r="I34" s="5" t="s">
        <v>2</v>
      </c>
      <c r="J34" s="5" t="s">
        <v>1001</v>
      </c>
    </row>
    <row r="35" spans="1:10" x14ac:dyDescent="0.25" outlineLevel="1" collapsed="1">
      <c r="A35" s="7" t="s">
        <v>15</v>
      </c>
      <c r="B35" s="7" t="s">
        <v>20</v>
      </c>
      <c r="C35" s="7" t="s">
        <v>2</v>
      </c>
      <c r="D35" s="7"/>
      <c r="E35" s="7" t="s">
        <v>135</v>
      </c>
      <c r="F35" s="7" t="s">
        <v>17</v>
      </c>
      <c r="G35" s="7" t="s">
        <v>22</v>
      </c>
      <c r="H35" s="7" t="s">
        <v>2</v>
      </c>
      <c r="I35" s="7" t="s">
        <v>2</v>
      </c>
      <c r="J35" s="7" t="s">
        <v>210</v>
      </c>
    </row>
    <row r="36" spans="1:10" x14ac:dyDescent="0.25" outlineLevel="1" collapsed="1">
      <c r="A36" s="7" t="s">
        <v>15</v>
      </c>
      <c r="B36" s="7" t="s">
        <v>160</v>
      </c>
      <c r="C36" s="7" t="s">
        <v>2</v>
      </c>
      <c r="D36" s="7"/>
      <c r="E36" s="7" t="s">
        <v>211</v>
      </c>
      <c r="F36" s="7" t="s">
        <v>17</v>
      </c>
      <c r="G36" s="7" t="s">
        <v>162</v>
      </c>
      <c r="H36" s="7" t="s">
        <v>2</v>
      </c>
      <c r="I36" s="7" t="s">
        <v>2</v>
      </c>
      <c r="J36" s="7" t="s">
        <v>212</v>
      </c>
    </row>
    <row r="37" spans="1:10" x14ac:dyDescent="0.25" outlineLevel="1" collapsed="1">
      <c r="A37" s="7" t="s">
        <v>15</v>
      </c>
      <c r="B37" s="7" t="s">
        <v>20</v>
      </c>
      <c r="C37" s="7" t="s">
        <v>2</v>
      </c>
      <c r="D37" s="7"/>
      <c r="E37" s="7" t="s">
        <v>213</v>
      </c>
      <c r="F37" s="7" t="s">
        <v>17</v>
      </c>
      <c r="G37" s="7" t="s">
        <v>22</v>
      </c>
      <c r="H37" s="7" t="s">
        <v>2</v>
      </c>
      <c r="I37" s="7" t="s">
        <v>2</v>
      </c>
      <c r="J37" s="7" t="s">
        <v>214</v>
      </c>
    </row>
    <row r="38" spans="1:10" x14ac:dyDescent="0.25" outlineLevel="1" collapsed="1">
      <c r="A38" s="7" t="s">
        <v>15</v>
      </c>
      <c r="B38" s="7" t="s">
        <v>133</v>
      </c>
      <c r="C38" s="7" t="s">
        <v>215</v>
      </c>
      <c r="D38" s="7"/>
      <c r="E38" s="7" t="s">
        <v>216</v>
      </c>
      <c r="F38" s="7" t="s">
        <v>17</v>
      </c>
      <c r="G38" s="7" t="s">
        <v>1002</v>
      </c>
      <c r="H38" s="7" t="s">
        <v>2</v>
      </c>
      <c r="I38" s="7" t="s">
        <v>2</v>
      </c>
      <c r="J38" s="7" t="s">
        <v>218</v>
      </c>
    </row>
    <row r="39" spans="1:10" x14ac:dyDescent="0.25" outlineLevel="1" collapsed="1">
      <c r="A39" s="7" t="s">
        <v>17</v>
      </c>
      <c r="B39" s="7" t="s">
        <v>133</v>
      </c>
      <c r="C39" s="7" t="s">
        <v>215</v>
      </c>
      <c r="D39" s="7"/>
      <c r="E39" s="7" t="s">
        <v>219</v>
      </c>
      <c r="F39" s="7" t="s">
        <v>17</v>
      </c>
      <c r="G39" s="7" t="s">
        <v>1003</v>
      </c>
      <c r="H39" s="7" t="s">
        <v>2</v>
      </c>
      <c r="I39" s="7" t="s">
        <v>2</v>
      </c>
      <c r="J39" s="7" t="s">
        <v>221</v>
      </c>
    </row>
    <row r="40" spans="1:10" x14ac:dyDescent="0.25" outlineLevel="1" collapsed="1">
      <c r="A40" s="7" t="s">
        <v>17</v>
      </c>
      <c r="B40" s="7" t="s">
        <v>20</v>
      </c>
      <c r="C40" s="7" t="s">
        <v>2</v>
      </c>
      <c r="D40" s="7"/>
      <c r="E40" s="7" t="s">
        <v>222</v>
      </c>
      <c r="F40" s="7" t="s">
        <v>17</v>
      </c>
      <c r="G40" s="7" t="s">
        <v>22</v>
      </c>
      <c r="H40" s="7" t="s">
        <v>2</v>
      </c>
      <c r="I40" s="7" t="s">
        <v>2</v>
      </c>
      <c r="J40" s="7" t="s">
        <v>223</v>
      </c>
    </row>
    <row r="41" spans="1:10" x14ac:dyDescent="0.25" outlineLevel="1" collapsed="1">
      <c r="A41" s="7" t="s">
        <v>17</v>
      </c>
      <c r="B41" s="7" t="s">
        <v>133</v>
      </c>
      <c r="C41" s="7" t="s">
        <v>146</v>
      </c>
      <c r="D41" s="7"/>
      <c r="E41" s="7" t="s">
        <v>147</v>
      </c>
      <c r="F41" s="7" t="s">
        <v>17</v>
      </c>
      <c r="G41" s="7" t="s">
        <v>1004</v>
      </c>
      <c r="H41" s="7" t="s">
        <v>2</v>
      </c>
      <c r="I41" s="7" t="s">
        <v>2</v>
      </c>
      <c r="J41" s="7" t="s">
        <v>149</v>
      </c>
    </row>
    <row r="42" spans="1:10" x14ac:dyDescent="0.25" outlineLevel="1" collapsed="1">
      <c r="A42" s="7" t="s">
        <v>15</v>
      </c>
      <c r="B42" s="7" t="s">
        <v>53</v>
      </c>
      <c r="C42" s="7" t="s">
        <v>2</v>
      </c>
      <c r="D42" s="7"/>
      <c r="E42" s="7" t="s">
        <v>225</v>
      </c>
      <c r="F42" s="7" t="s">
        <v>17</v>
      </c>
      <c r="G42" s="7">
        <v>1</v>
      </c>
      <c r="H42" s="7" t="s">
        <v>2</v>
      </c>
      <c r="I42" s="7" t="s">
        <v>2</v>
      </c>
      <c r="J42" s="7" t="s">
        <v>226</v>
      </c>
    </row>
    <row r="43" spans="1:10" x14ac:dyDescent="0.25">
      <c r="A43" s="5" t="s">
        <v>15</v>
      </c>
      <c r="B43" s="6" t="s">
        <v>227</v>
      </c>
      <c r="C43" s="5" t="s">
        <v>2</v>
      </c>
      <c r="D43" s="5"/>
      <c r="E43" s="5" t="s">
        <v>227</v>
      </c>
      <c r="F43" s="5" t="s">
        <v>17</v>
      </c>
      <c r="G43" s="5" t="s">
        <v>1005</v>
      </c>
      <c r="H43" s="5" t="s">
        <v>2</v>
      </c>
      <c r="I43" s="5" t="s">
        <v>2</v>
      </c>
      <c r="J43" s="5" t="s">
        <v>229</v>
      </c>
    </row>
    <row r="44" spans="1:10" x14ac:dyDescent="0.25" outlineLevel="1" collapsed="1">
      <c r="A44" s="8" t="s">
        <v>15</v>
      </c>
      <c r="B44" s="9" t="s">
        <v>230</v>
      </c>
      <c r="C44" s="8" t="s">
        <v>2</v>
      </c>
      <c r="D44" s="8"/>
      <c r="E44" s="8" t="s">
        <v>231</v>
      </c>
      <c r="F44" s="8" t="s">
        <v>17</v>
      </c>
      <c r="G44" s="8" t="s">
        <v>2</v>
      </c>
      <c r="H44" s="8" t="s">
        <v>2</v>
      </c>
      <c r="I44" s="8" t="s">
        <v>2</v>
      </c>
      <c r="J44" s="8" t="s">
        <v>232</v>
      </c>
    </row>
    <row r="45" spans="1:10" x14ac:dyDescent="0.25" outlineLevel="2" collapsed="1">
      <c r="A45" s="7" t="s">
        <v>15</v>
      </c>
      <c r="B45" s="7" t="s">
        <v>44</v>
      </c>
      <c r="C45" s="10" t="s">
        <v>233</v>
      </c>
      <c r="D45" s="7"/>
      <c r="E45" s="7" t="s">
        <v>231</v>
      </c>
      <c r="F45" s="7" t="s">
        <v>17</v>
      </c>
      <c r="G45" s="7" t="s">
        <v>234</v>
      </c>
      <c r="H45" s="7" t="s">
        <v>2</v>
      </c>
      <c r="I45" s="7" t="s">
        <v>2</v>
      </c>
      <c r="J45" s="7" t="s">
        <v>232</v>
      </c>
    </row>
    <row r="46" spans="1:10" x14ac:dyDescent="0.25" outlineLevel="2" collapsed="1">
      <c r="A46" s="8" t="s">
        <v>17</v>
      </c>
      <c r="B46" s="9" t="s">
        <v>235</v>
      </c>
      <c r="C46" s="8" t="s">
        <v>2</v>
      </c>
      <c r="D46" s="8">
        <f>EXACT(G45,"HWT, IWT, CWT")</f>
      </c>
      <c r="E46" s="8" t="s">
        <v>235</v>
      </c>
      <c r="F46" s="8" t="s">
        <v>17</v>
      </c>
      <c r="G46" s="8" t="s">
        <v>2</v>
      </c>
      <c r="H46" s="8" t="s">
        <v>2</v>
      </c>
      <c r="I46" s="8" t="s">
        <v>2</v>
      </c>
      <c r="J46" s="8" t="s">
        <v>236</v>
      </c>
    </row>
    <row r="47" spans="1:10" x14ac:dyDescent="0.25" outlineLevel="3" collapsed="1">
      <c r="A47" s="7" t="s">
        <v>15</v>
      </c>
      <c r="B47" s="7" t="s">
        <v>44</v>
      </c>
      <c r="C47" s="10" t="s">
        <v>237</v>
      </c>
      <c r="D47" s="7"/>
      <c r="E47" s="7" t="s">
        <v>235</v>
      </c>
      <c r="F47" s="7" t="s">
        <v>17</v>
      </c>
      <c r="G47" s="7" t="s">
        <v>238</v>
      </c>
      <c r="H47" s="7" t="s">
        <v>2</v>
      </c>
      <c r="I47" s="7" t="s">
        <v>2</v>
      </c>
      <c r="J47" s="7" t="s">
        <v>239</v>
      </c>
    </row>
    <row r="48" spans="1:10" x14ac:dyDescent="0.25" outlineLevel="3" collapsed="1">
      <c r="A48" s="7" t="s">
        <v>17</v>
      </c>
      <c r="B48" s="7" t="s">
        <v>20</v>
      </c>
      <c r="C48" s="7" t="s">
        <v>2</v>
      </c>
      <c r="D48" s="7">
        <f>EXACT(G47,"Other (Specify)")</f>
      </c>
      <c r="E48" s="7" t="s">
        <v>240</v>
      </c>
      <c r="F48" s="7" t="s">
        <v>17</v>
      </c>
      <c r="G48" s="7" t="s">
        <v>22</v>
      </c>
      <c r="H48" s="7" t="s">
        <v>2</v>
      </c>
      <c r="I48" s="7" t="s">
        <v>2</v>
      </c>
      <c r="J48" s="7" t="s">
        <v>241</v>
      </c>
    </row>
    <row r="49" spans="1:10" x14ac:dyDescent="0.25" outlineLevel="2" collapsed="1">
      <c r="A49" s="8" t="s">
        <v>17</v>
      </c>
      <c r="B49" s="9" t="s">
        <v>242</v>
      </c>
      <c r="C49" s="8" t="s">
        <v>2</v>
      </c>
      <c r="D49" s="8">
        <f>EXACT(G45,"CWS")</f>
      </c>
      <c r="E49" s="8" t="s">
        <v>235</v>
      </c>
      <c r="F49" s="8" t="s">
        <v>17</v>
      </c>
      <c r="G49" s="8" t="s">
        <v>2</v>
      </c>
      <c r="H49" s="8" t="s">
        <v>2</v>
      </c>
      <c r="I49" s="8" t="s">
        <v>2</v>
      </c>
      <c r="J49" s="8" t="s">
        <v>243</v>
      </c>
    </row>
    <row r="50" spans="1:10" x14ac:dyDescent="0.25" outlineLevel="3" collapsed="1">
      <c r="A50" s="7" t="s">
        <v>15</v>
      </c>
      <c r="B50" s="7" t="s">
        <v>44</v>
      </c>
      <c r="C50" s="10" t="s">
        <v>244</v>
      </c>
      <c r="D50" s="7"/>
      <c r="E50" s="7" t="s">
        <v>235</v>
      </c>
      <c r="F50" s="7" t="s">
        <v>17</v>
      </c>
      <c r="G50" s="7" t="s">
        <v>245</v>
      </c>
      <c r="H50" s="7" t="s">
        <v>2</v>
      </c>
      <c r="I50" s="7" t="s">
        <v>2</v>
      </c>
      <c r="J50" s="7" t="s">
        <v>246</v>
      </c>
    </row>
    <row r="51" spans="1:10" x14ac:dyDescent="0.25" outlineLevel="3" collapsed="1">
      <c r="A51" s="7" t="s">
        <v>17</v>
      </c>
      <c r="B51" s="7" t="s">
        <v>20</v>
      </c>
      <c r="C51" s="7" t="s">
        <v>2</v>
      </c>
      <c r="D51" s="7">
        <f>EXACT(G50,"Other (Specify)")</f>
      </c>
      <c r="E51" s="7" t="s">
        <v>240</v>
      </c>
      <c r="F51" s="7" t="s">
        <v>17</v>
      </c>
      <c r="G51" s="7" t="s">
        <v>22</v>
      </c>
      <c r="H51" s="7" t="s">
        <v>2</v>
      </c>
      <c r="I51" s="7" t="s">
        <v>2</v>
      </c>
      <c r="J51" s="7" t="s">
        <v>241</v>
      </c>
    </row>
    <row r="52" spans="1:10" x14ac:dyDescent="0.25" outlineLevel="1" collapsed="1">
      <c r="A52" s="7" t="s">
        <v>15</v>
      </c>
      <c r="B52" s="7" t="s">
        <v>20</v>
      </c>
      <c r="C52" s="7" t="s">
        <v>2</v>
      </c>
      <c r="D52" s="7"/>
      <c r="E52" s="7" t="s">
        <v>247</v>
      </c>
      <c r="F52" s="7" t="s">
        <v>17</v>
      </c>
      <c r="G52" s="7" t="s">
        <v>22</v>
      </c>
      <c r="H52" s="7" t="s">
        <v>2</v>
      </c>
      <c r="I52" s="7" t="s">
        <v>2</v>
      </c>
      <c r="J52" s="7" t="s">
        <v>248</v>
      </c>
    </row>
    <row r="53" spans="1:10" x14ac:dyDescent="0.25" outlineLevel="1" collapsed="1">
      <c r="A53" s="7" t="s">
        <v>15</v>
      </c>
      <c r="B53" s="7" t="s">
        <v>44</v>
      </c>
      <c r="C53" s="10" t="s">
        <v>249</v>
      </c>
      <c r="D53" s="7"/>
      <c r="E53" s="7" t="s">
        <v>250</v>
      </c>
      <c r="F53" s="7" t="s">
        <v>17</v>
      </c>
      <c r="G53" s="7" t="s">
        <v>251</v>
      </c>
      <c r="H53" s="7" t="s">
        <v>2</v>
      </c>
      <c r="I53" s="7" t="s">
        <v>2</v>
      </c>
      <c r="J53" s="7" t="s">
        <v>252</v>
      </c>
    </row>
    <row r="54" spans="1:10" x14ac:dyDescent="0.25" outlineLevel="1" collapsed="1">
      <c r="A54" s="7" t="s">
        <v>17</v>
      </c>
      <c r="B54" s="7" t="s">
        <v>125</v>
      </c>
      <c r="C54" s="7" t="s">
        <v>2</v>
      </c>
      <c r="D54" s="7">
        <f>EXACT(G53,"CWT, CWS")</f>
      </c>
      <c r="E54" s="7" t="s">
        <v>253</v>
      </c>
      <c r="F54" s="7" t="s">
        <v>17</v>
      </c>
      <c r="G54" s="7" t="s">
        <v>1006</v>
      </c>
      <c r="H54" s="7" t="s">
        <v>2</v>
      </c>
      <c r="I54" s="7" t="s">
        <v>2</v>
      </c>
      <c r="J54" s="7" t="s">
        <v>255</v>
      </c>
    </row>
    <row r="55" spans="1:10" x14ac:dyDescent="0.25" outlineLevel="1" collapsed="1">
      <c r="A55" s="7" t="s">
        <v>17</v>
      </c>
      <c r="B55" s="7" t="s">
        <v>133</v>
      </c>
      <c r="C55" s="7" t="s">
        <v>256</v>
      </c>
      <c r="D55" s="7">
        <f>EXACT(G53,"CWT, CWS")</f>
      </c>
      <c r="E55" s="7" t="s">
        <v>257</v>
      </c>
      <c r="F55" s="7" t="s">
        <v>17</v>
      </c>
      <c r="G55" s="7" t="s">
        <v>1007</v>
      </c>
      <c r="H55" s="7" t="s">
        <v>2</v>
      </c>
      <c r="I55" s="7" t="s">
        <v>2</v>
      </c>
      <c r="J55" s="7" t="s">
        <v>259</v>
      </c>
    </row>
    <row r="56" spans="1:10" x14ac:dyDescent="0.25" outlineLevel="1" collapsed="1">
      <c r="A56" s="7" t="s">
        <v>17</v>
      </c>
      <c r="B56" s="7" t="s">
        <v>133</v>
      </c>
      <c r="C56" s="7" t="s">
        <v>256</v>
      </c>
      <c r="D56" s="7">
        <f>EXACT(G53,"CWT, CWS")</f>
      </c>
      <c r="E56" s="7" t="s">
        <v>260</v>
      </c>
      <c r="F56" s="7" t="s">
        <v>17</v>
      </c>
      <c r="G56" s="7" t="s">
        <v>1008</v>
      </c>
      <c r="H56" s="7" t="s">
        <v>2</v>
      </c>
      <c r="I56" s="7" t="s">
        <v>2</v>
      </c>
      <c r="J56" s="7" t="s">
        <v>262</v>
      </c>
    </row>
    <row r="57" spans="1:10" x14ac:dyDescent="0.25" outlineLevel="1" collapsed="1">
      <c r="A57" s="7" t="s">
        <v>17</v>
      </c>
      <c r="B57" s="7" t="s">
        <v>47</v>
      </c>
      <c r="C57" s="7" t="s">
        <v>2</v>
      </c>
      <c r="D57" s="7">
        <f>EXACT(G53,"CWT, CWS")</f>
      </c>
      <c r="E57" s="7" t="s">
        <v>263</v>
      </c>
      <c r="F57" s="7" t="s">
        <v>17</v>
      </c>
      <c r="G57" s="7" t="b">
        <v>1</v>
      </c>
      <c r="H57" s="7" t="s">
        <v>2</v>
      </c>
      <c r="I57" s="7" t="s">
        <v>2</v>
      </c>
      <c r="J57" s="7" t="s">
        <v>264</v>
      </c>
    </row>
    <row r="58" spans="1:10" x14ac:dyDescent="0.25" outlineLevel="1" collapsed="1">
      <c r="A58" s="7" t="s">
        <v>17</v>
      </c>
      <c r="B58" s="7" t="s">
        <v>133</v>
      </c>
      <c r="C58" s="7" t="s">
        <v>256</v>
      </c>
      <c r="D58" s="7">
        <f>EXACT(G53,"CWT, CWS")</f>
      </c>
      <c r="E58" s="7" t="s">
        <v>265</v>
      </c>
      <c r="F58" s="7" t="s">
        <v>17</v>
      </c>
      <c r="G58" s="7" t="s">
        <v>1009</v>
      </c>
      <c r="H58" s="7" t="s">
        <v>2</v>
      </c>
      <c r="I58" s="7" t="s">
        <v>2</v>
      </c>
      <c r="J58" s="7" t="s">
        <v>267</v>
      </c>
    </row>
    <row r="59" spans="1:10" x14ac:dyDescent="0.25" outlineLevel="1" collapsed="1">
      <c r="A59" s="7" t="s">
        <v>17</v>
      </c>
      <c r="B59" s="7" t="s">
        <v>133</v>
      </c>
      <c r="C59" s="7" t="s">
        <v>268</v>
      </c>
      <c r="D59" s="7">
        <f>EXACT(G53,"CWT, CWS")</f>
      </c>
      <c r="E59" s="7" t="s">
        <v>269</v>
      </c>
      <c r="F59" s="7" t="s">
        <v>17</v>
      </c>
      <c r="G59" s="7" t="s">
        <v>1010</v>
      </c>
      <c r="H59" s="7" t="s">
        <v>2</v>
      </c>
      <c r="I59" s="7" t="s">
        <v>2</v>
      </c>
      <c r="J59" s="7" t="s">
        <v>271</v>
      </c>
    </row>
    <row r="60" spans="1:10" x14ac:dyDescent="0.25" outlineLevel="1" collapsed="1">
      <c r="A60" s="7" t="s">
        <v>17</v>
      </c>
      <c r="B60" s="7" t="s">
        <v>133</v>
      </c>
      <c r="C60" s="7" t="s">
        <v>256</v>
      </c>
      <c r="D60" s="7">
        <f>EXACT(G53,"CWT, CWS")</f>
      </c>
      <c r="E60" s="7" t="s">
        <v>272</v>
      </c>
      <c r="F60" s="7" t="s">
        <v>17</v>
      </c>
      <c r="G60" s="7" t="s">
        <v>1011</v>
      </c>
      <c r="H60" s="7" t="s">
        <v>2</v>
      </c>
      <c r="I60" s="7" t="s">
        <v>2</v>
      </c>
      <c r="J60" s="7" t="s">
        <v>274</v>
      </c>
    </row>
    <row r="61" spans="1:10" x14ac:dyDescent="0.25" outlineLevel="1" collapsed="1">
      <c r="A61" s="7" t="s">
        <v>17</v>
      </c>
      <c r="B61" s="7" t="s">
        <v>194</v>
      </c>
      <c r="C61" s="7" t="s">
        <v>2</v>
      </c>
      <c r="D61" s="7">
        <f>EXACT(G53,"CWT, CWS")</f>
      </c>
      <c r="E61" s="7" t="s">
        <v>275</v>
      </c>
      <c r="F61" s="7" t="s">
        <v>17</v>
      </c>
      <c r="G61" s="7">
        <v>1</v>
      </c>
      <c r="H61" s="7" t="s">
        <v>2</v>
      </c>
      <c r="I61" s="7" t="s">
        <v>2</v>
      </c>
      <c r="J61" s="7" t="s">
        <v>276</v>
      </c>
    </row>
    <row r="62" spans="1:10" x14ac:dyDescent="0.25" outlineLevel="1" collapsed="1">
      <c r="A62" s="7" t="s">
        <v>17</v>
      </c>
      <c r="B62" s="7" t="s">
        <v>53</v>
      </c>
      <c r="C62" s="7" t="s">
        <v>2</v>
      </c>
      <c r="D62" s="7">
        <f>EXACT(G53,"CWT, CWS")</f>
      </c>
      <c r="E62" s="7" t="s">
        <v>277</v>
      </c>
      <c r="F62" s="7" t="s">
        <v>17</v>
      </c>
      <c r="G62" s="7">
        <v>1</v>
      </c>
      <c r="H62" s="7" t="s">
        <v>2</v>
      </c>
      <c r="I62" s="7" t="s">
        <v>2</v>
      </c>
      <c r="J62" s="7" t="s">
        <v>278</v>
      </c>
    </row>
    <row r="63" spans="1:10" x14ac:dyDescent="0.25" outlineLevel="1" collapsed="1">
      <c r="A63" s="7" t="s">
        <v>17</v>
      </c>
      <c r="B63" s="7" t="s">
        <v>194</v>
      </c>
      <c r="C63" s="7" t="s">
        <v>2</v>
      </c>
      <c r="D63" s="7">
        <f>EXACT(G53,"CWT, CWS")</f>
      </c>
      <c r="E63" s="7" t="s">
        <v>279</v>
      </c>
      <c r="F63" s="7" t="s">
        <v>17</v>
      </c>
      <c r="G63" s="7">
        <v>1</v>
      </c>
      <c r="H63" s="7" t="s">
        <v>2</v>
      </c>
      <c r="I63" s="7" t="s">
        <v>2</v>
      </c>
      <c r="J63" s="7" t="s">
        <v>280</v>
      </c>
    </row>
    <row r="64" spans="1:10" x14ac:dyDescent="0.25" outlineLevel="1" collapsed="1">
      <c r="A64" s="7" t="s">
        <v>17</v>
      </c>
      <c r="B64" s="7" t="s">
        <v>133</v>
      </c>
      <c r="C64" s="7" t="s">
        <v>281</v>
      </c>
      <c r="D64" s="7">
        <f>EXACT(G53,"CWT, CWS")</f>
      </c>
      <c r="E64" s="7" t="s">
        <v>282</v>
      </c>
      <c r="F64" s="7" t="s">
        <v>17</v>
      </c>
      <c r="G64" s="7" t="s">
        <v>1012</v>
      </c>
      <c r="H64" s="7" t="s">
        <v>2</v>
      </c>
      <c r="I64" s="7" t="s">
        <v>2</v>
      </c>
      <c r="J64" s="7" t="s">
        <v>284</v>
      </c>
    </row>
    <row r="65" spans="1:10" x14ac:dyDescent="0.25" outlineLevel="1" collapsed="1">
      <c r="A65" s="7" t="s">
        <v>17</v>
      </c>
      <c r="B65" s="7" t="s">
        <v>133</v>
      </c>
      <c r="C65" s="7" t="s">
        <v>256</v>
      </c>
      <c r="D65" s="7">
        <f>EXACT(G53,"CWT, CWS")</f>
      </c>
      <c r="E65" s="7" t="s">
        <v>285</v>
      </c>
      <c r="F65" s="7" t="s">
        <v>17</v>
      </c>
      <c r="G65" s="7" t="s">
        <v>1013</v>
      </c>
      <c r="H65" s="7" t="s">
        <v>2</v>
      </c>
      <c r="I65" s="7" t="s">
        <v>2</v>
      </c>
      <c r="J65" s="7" t="s">
        <v>287</v>
      </c>
    </row>
    <row r="66" spans="1:10" x14ac:dyDescent="0.25" outlineLevel="1" collapsed="1">
      <c r="A66" s="7" t="s">
        <v>17</v>
      </c>
      <c r="B66" s="7" t="s">
        <v>133</v>
      </c>
      <c r="C66" s="7" t="s">
        <v>256</v>
      </c>
      <c r="D66" s="7">
        <f>EXACT(G53,"CWT, CWS")</f>
      </c>
      <c r="E66" s="7" t="s">
        <v>288</v>
      </c>
      <c r="F66" s="7" t="s">
        <v>17</v>
      </c>
      <c r="G66" s="7" t="s">
        <v>289</v>
      </c>
      <c r="H66" s="7" t="s">
        <v>2</v>
      </c>
      <c r="I66" s="7" t="s">
        <v>2</v>
      </c>
      <c r="J66" s="7" t="s">
        <v>290</v>
      </c>
    </row>
    <row r="67" spans="1:10" x14ac:dyDescent="0.25" outlineLevel="1" collapsed="1">
      <c r="A67" s="8" t="s">
        <v>17</v>
      </c>
      <c r="B67" s="9" t="s">
        <v>291</v>
      </c>
      <c r="C67" s="8" t="s">
        <v>2</v>
      </c>
      <c r="D67" s="8">
        <f>EXACT(G53,"CWT, CWS")</f>
      </c>
      <c r="E67" s="8" t="s">
        <v>292</v>
      </c>
      <c r="F67" s="8" t="s">
        <v>17</v>
      </c>
      <c r="G67" s="8" t="s">
        <v>2</v>
      </c>
      <c r="H67" s="8" t="s">
        <v>2</v>
      </c>
      <c r="I67" s="8" t="s">
        <v>2</v>
      </c>
      <c r="J67" s="8" t="s">
        <v>293</v>
      </c>
    </row>
    <row r="68" spans="1:10" x14ac:dyDescent="0.25" outlineLevel="2" collapsed="1">
      <c r="A68" s="7" t="s">
        <v>15</v>
      </c>
      <c r="B68" s="7" t="s">
        <v>47</v>
      </c>
      <c r="C68" s="7" t="s">
        <v>2</v>
      </c>
      <c r="D68" s="7"/>
      <c r="E68" s="7" t="s">
        <v>294</v>
      </c>
      <c r="F68" s="7" t="s">
        <v>17</v>
      </c>
      <c r="G68" s="7" t="b">
        <v>1</v>
      </c>
      <c r="H68" s="7" t="s">
        <v>2</v>
      </c>
      <c r="I68" s="7" t="s">
        <v>2</v>
      </c>
      <c r="J68" s="7" t="s">
        <v>295</v>
      </c>
    </row>
    <row r="69" spans="1:10" x14ac:dyDescent="0.25" outlineLevel="2" collapsed="1">
      <c r="A69" s="7" t="s">
        <v>17</v>
      </c>
      <c r="B69" s="7" t="s">
        <v>26</v>
      </c>
      <c r="C69" s="7" t="s">
        <v>2</v>
      </c>
      <c r="D69" s="7">
        <f>EXACT(G68,true)</f>
      </c>
      <c r="E69" s="7" t="s">
        <v>296</v>
      </c>
      <c r="F69" s="7" t="s">
        <v>17</v>
      </c>
      <c r="G69" s="7" t="s">
        <v>37</v>
      </c>
      <c r="H69" s="7" t="s">
        <v>2</v>
      </c>
      <c r="I69" s="7" t="s">
        <v>2</v>
      </c>
      <c r="J69" s="7" t="s">
        <v>297</v>
      </c>
    </row>
    <row r="70" spans="1:10" x14ac:dyDescent="0.25" outlineLevel="2" collapsed="1">
      <c r="A70" s="7" t="s">
        <v>17</v>
      </c>
      <c r="B70" s="7" t="s">
        <v>133</v>
      </c>
      <c r="C70" s="7" t="s">
        <v>298</v>
      </c>
      <c r="D70" s="7">
        <f>EXACT(G68,true)</f>
      </c>
      <c r="E70" s="7" t="s">
        <v>299</v>
      </c>
      <c r="F70" s="7" t="s">
        <v>17</v>
      </c>
      <c r="G70" s="7" t="s">
        <v>1014</v>
      </c>
      <c r="H70" s="7" t="s">
        <v>2</v>
      </c>
      <c r="I70" s="7" t="s">
        <v>2</v>
      </c>
      <c r="J70" s="7" t="s">
        <v>301</v>
      </c>
    </row>
    <row r="71" spans="1:10" x14ac:dyDescent="0.25" outlineLevel="2" collapsed="1">
      <c r="A71" s="7" t="s">
        <v>17</v>
      </c>
      <c r="B71" s="7" t="s">
        <v>26</v>
      </c>
      <c r="C71" s="7" t="s">
        <v>2</v>
      </c>
      <c r="D71" s="7">
        <f>EXACT(G68,true)</f>
      </c>
      <c r="E71" s="7" t="s">
        <v>302</v>
      </c>
      <c r="F71" s="7" t="s">
        <v>17</v>
      </c>
      <c r="G71" s="7" t="s">
        <v>37</v>
      </c>
      <c r="H71" s="7" t="s">
        <v>2</v>
      </c>
      <c r="I71" s="7" t="s">
        <v>2</v>
      </c>
      <c r="J71" s="7" t="s">
        <v>303</v>
      </c>
    </row>
    <row r="72" spans="1:10" x14ac:dyDescent="0.25" outlineLevel="2" collapsed="1">
      <c r="A72" s="7" t="s">
        <v>17</v>
      </c>
      <c r="B72" s="7" t="s">
        <v>125</v>
      </c>
      <c r="C72" s="7" t="s">
        <v>2</v>
      </c>
      <c r="D72" s="7">
        <f>EXACT(G68,true)</f>
      </c>
      <c r="E72" s="7" t="s">
        <v>304</v>
      </c>
      <c r="F72" s="7" t="s">
        <v>17</v>
      </c>
      <c r="G72" s="7" t="s">
        <v>1015</v>
      </c>
      <c r="H72" s="7" t="s">
        <v>2</v>
      </c>
      <c r="I72" s="7" t="s">
        <v>2</v>
      </c>
      <c r="J72" s="7" t="s">
        <v>306</v>
      </c>
    </row>
    <row r="73" spans="1:10" x14ac:dyDescent="0.25" outlineLevel="2" collapsed="1">
      <c r="A73" s="7" t="s">
        <v>17</v>
      </c>
      <c r="B73" s="7" t="s">
        <v>125</v>
      </c>
      <c r="C73" s="7" t="s">
        <v>2</v>
      </c>
      <c r="D73" s="7">
        <f>EXACT(G68,true)</f>
      </c>
      <c r="E73" s="7" t="s">
        <v>307</v>
      </c>
      <c r="F73" s="7" t="s">
        <v>17</v>
      </c>
      <c r="G73" s="7" t="s">
        <v>1016</v>
      </c>
      <c r="H73" s="7" t="s">
        <v>2</v>
      </c>
      <c r="I73" s="7" t="s">
        <v>2</v>
      </c>
      <c r="J73" s="7" t="s">
        <v>309</v>
      </c>
    </row>
    <row r="74" spans="1:10" x14ac:dyDescent="0.25" outlineLevel="1" collapsed="1">
      <c r="A74" s="7" t="s">
        <v>17</v>
      </c>
      <c r="B74" s="7" t="s">
        <v>125</v>
      </c>
      <c r="C74" s="7" t="s">
        <v>2</v>
      </c>
      <c r="D74" s="7">
        <f>EXACT(G53,"HWT, IWT")</f>
      </c>
      <c r="E74" s="7" t="s">
        <v>253</v>
      </c>
      <c r="F74" s="7" t="s">
        <v>17</v>
      </c>
      <c r="G74" s="7" t="s">
        <v>1017</v>
      </c>
      <c r="H74" s="7" t="s">
        <v>2</v>
      </c>
      <c r="I74" s="7" t="s">
        <v>2</v>
      </c>
      <c r="J74" s="7" t="s">
        <v>311</v>
      </c>
    </row>
    <row r="75" spans="1:10" x14ac:dyDescent="0.25" outlineLevel="1" collapsed="1">
      <c r="A75" s="7" t="s">
        <v>17</v>
      </c>
      <c r="B75" s="7" t="s">
        <v>133</v>
      </c>
      <c r="C75" s="7" t="s">
        <v>268</v>
      </c>
      <c r="D75" s="7">
        <f>EXACT(G53,"HWT, IWT")</f>
      </c>
      <c r="E75" s="7" t="s">
        <v>312</v>
      </c>
      <c r="F75" s="7" t="s">
        <v>17</v>
      </c>
      <c r="G75" s="7" t="s">
        <v>1018</v>
      </c>
      <c r="H75" s="7" t="s">
        <v>2</v>
      </c>
      <c r="I75" s="7" t="s">
        <v>2</v>
      </c>
      <c r="J75" s="7" t="s">
        <v>314</v>
      </c>
    </row>
    <row r="76" spans="1:10" x14ac:dyDescent="0.25" outlineLevel="1" collapsed="1">
      <c r="A76" s="7" t="s">
        <v>17</v>
      </c>
      <c r="B76" s="7" t="s">
        <v>133</v>
      </c>
      <c r="C76" s="7" t="s">
        <v>268</v>
      </c>
      <c r="D76" s="7">
        <f>EXACT(G53,"HWT, IWT")</f>
      </c>
      <c r="E76" s="7" t="s">
        <v>315</v>
      </c>
      <c r="F76" s="7" t="s">
        <v>17</v>
      </c>
      <c r="G76" s="7" t="s">
        <v>1019</v>
      </c>
      <c r="H76" s="7" t="s">
        <v>2</v>
      </c>
      <c r="I76" s="7" t="s">
        <v>2</v>
      </c>
      <c r="J76" s="7" t="s">
        <v>317</v>
      </c>
    </row>
    <row r="77" spans="1:10" x14ac:dyDescent="0.25" outlineLevel="1" collapsed="1">
      <c r="A77" s="7" t="s">
        <v>17</v>
      </c>
      <c r="B77" s="7" t="s">
        <v>133</v>
      </c>
      <c r="C77" s="7" t="s">
        <v>268</v>
      </c>
      <c r="D77" s="7">
        <f>EXACT(G53,"HWT, IWT")</f>
      </c>
      <c r="E77" s="7" t="s">
        <v>318</v>
      </c>
      <c r="F77" s="7" t="s">
        <v>17</v>
      </c>
      <c r="G77" s="7" t="s">
        <v>1020</v>
      </c>
      <c r="H77" s="7" t="s">
        <v>2</v>
      </c>
      <c r="I77" s="7" t="s">
        <v>2</v>
      </c>
      <c r="J77" s="7" t="s">
        <v>320</v>
      </c>
    </row>
    <row r="78" spans="1:10" x14ac:dyDescent="0.25" outlineLevel="1" collapsed="1">
      <c r="A78" s="7" t="s">
        <v>17</v>
      </c>
      <c r="B78" s="7" t="s">
        <v>53</v>
      </c>
      <c r="C78" s="7" t="s">
        <v>2</v>
      </c>
      <c r="D78" s="7">
        <f>EXACT(G53,"HWT, IWT")</f>
      </c>
      <c r="E78" s="7" t="s">
        <v>321</v>
      </c>
      <c r="F78" s="7" t="s">
        <v>17</v>
      </c>
      <c r="G78" s="7">
        <v>1</v>
      </c>
      <c r="H78" s="7" t="s">
        <v>2</v>
      </c>
      <c r="I78" s="7" t="s">
        <v>2</v>
      </c>
      <c r="J78" s="7" t="s">
        <v>322</v>
      </c>
    </row>
    <row r="79" spans="1:10" x14ac:dyDescent="0.25" outlineLevel="1" collapsed="1">
      <c r="A79" s="7" t="s">
        <v>17</v>
      </c>
      <c r="B79" s="7" t="s">
        <v>133</v>
      </c>
      <c r="C79" s="7" t="s">
        <v>268</v>
      </c>
      <c r="D79" s="7">
        <f>EXACT(G53,"HWT, IWT")</f>
      </c>
      <c r="E79" s="7" t="s">
        <v>269</v>
      </c>
      <c r="F79" s="7" t="s">
        <v>17</v>
      </c>
      <c r="G79" s="7" t="s">
        <v>1021</v>
      </c>
      <c r="H79" s="7" t="s">
        <v>2</v>
      </c>
      <c r="I79" s="7" t="s">
        <v>2</v>
      </c>
      <c r="J79" s="7" t="s">
        <v>324</v>
      </c>
    </row>
    <row r="80" spans="1:10" x14ac:dyDescent="0.25" outlineLevel="1" collapsed="1">
      <c r="A80" s="7" t="s">
        <v>17</v>
      </c>
      <c r="B80" s="7" t="s">
        <v>133</v>
      </c>
      <c r="C80" s="7" t="s">
        <v>256</v>
      </c>
      <c r="D80" s="7">
        <f>EXACT(G53,"HWT, IWT")</f>
      </c>
      <c r="E80" s="7" t="s">
        <v>272</v>
      </c>
      <c r="F80" s="7" t="s">
        <v>17</v>
      </c>
      <c r="G80" s="7" t="s">
        <v>1022</v>
      </c>
      <c r="H80" s="7" t="s">
        <v>2</v>
      </c>
      <c r="I80" s="7" t="s">
        <v>2</v>
      </c>
      <c r="J80" s="7" t="s">
        <v>326</v>
      </c>
    </row>
    <row r="81" spans="1:10" x14ac:dyDescent="0.25" outlineLevel="1" collapsed="1">
      <c r="A81" s="7" t="s">
        <v>17</v>
      </c>
      <c r="B81" s="7" t="s">
        <v>133</v>
      </c>
      <c r="C81" s="7" t="s">
        <v>256</v>
      </c>
      <c r="D81" s="7">
        <f>EXACT(G53,"HWT, IWT")</f>
      </c>
      <c r="E81" s="7" t="s">
        <v>327</v>
      </c>
      <c r="F81" s="7" t="s">
        <v>17</v>
      </c>
      <c r="G81" s="7" t="s">
        <v>1023</v>
      </c>
      <c r="H81" s="7" t="s">
        <v>2</v>
      </c>
      <c r="I81" s="7" t="s">
        <v>2</v>
      </c>
      <c r="J81" s="7" t="s">
        <v>329</v>
      </c>
    </row>
    <row r="82" spans="1:10" x14ac:dyDescent="0.25" outlineLevel="1" collapsed="1">
      <c r="A82" s="7" t="s">
        <v>17</v>
      </c>
      <c r="B82" s="7" t="s">
        <v>133</v>
      </c>
      <c r="C82" s="7" t="s">
        <v>256</v>
      </c>
      <c r="D82" s="7">
        <f>EXACT(G53,"HWT, IWT")</f>
      </c>
      <c r="E82" s="7" t="s">
        <v>288</v>
      </c>
      <c r="F82" s="7" t="s">
        <v>17</v>
      </c>
      <c r="G82" s="7" t="s">
        <v>1024</v>
      </c>
      <c r="H82" s="7" t="s">
        <v>2</v>
      </c>
      <c r="I82" s="7" t="s">
        <v>2</v>
      </c>
      <c r="J82" s="7" t="s">
        <v>331</v>
      </c>
    </row>
    <row r="83" spans="1:10" x14ac:dyDescent="0.25">
      <c r="A83" s="5" t="s">
        <v>15</v>
      </c>
      <c r="B83" s="6" t="s">
        <v>1025</v>
      </c>
      <c r="C83" s="5" t="s">
        <v>2</v>
      </c>
      <c r="D83" s="5"/>
      <c r="E83" s="5" t="s">
        <v>1026</v>
      </c>
      <c r="F83" s="5" t="s">
        <v>17</v>
      </c>
      <c r="G83" s="5" t="s">
        <v>1027</v>
      </c>
      <c r="H83" s="5" t="s">
        <v>2</v>
      </c>
      <c r="I83" s="5" t="s">
        <v>2</v>
      </c>
      <c r="J83" s="5" t="s">
        <v>1028</v>
      </c>
    </row>
    <row r="84" spans="1:10" x14ac:dyDescent="0.25" outlineLevel="1" collapsed="1">
      <c r="A84" s="7" t="s">
        <v>15</v>
      </c>
      <c r="B84" s="7" t="s">
        <v>20</v>
      </c>
      <c r="C84" s="7" t="s">
        <v>2</v>
      </c>
      <c r="D84" s="7"/>
      <c r="E84" s="7" t="s">
        <v>1029</v>
      </c>
      <c r="F84" s="7" t="s">
        <v>17</v>
      </c>
      <c r="G84" s="7" t="s">
        <v>1030</v>
      </c>
      <c r="H84" s="7" t="s">
        <v>2</v>
      </c>
      <c r="I84" s="7" t="s">
        <v>2</v>
      </c>
      <c r="J84" s="7" t="s">
        <v>1028</v>
      </c>
    </row>
    <row r="85" spans="1:10" x14ac:dyDescent="0.25" outlineLevel="1" collapsed="1">
      <c r="A85" s="7" t="s">
        <v>15</v>
      </c>
      <c r="B85" s="7" t="s">
        <v>20</v>
      </c>
      <c r="C85" s="7" t="s">
        <v>2</v>
      </c>
      <c r="D85" s="7"/>
      <c r="E85" s="7" t="s">
        <v>1031</v>
      </c>
      <c r="F85" s="7" t="s">
        <v>17</v>
      </c>
      <c r="G85" s="7" t="s">
        <v>1032</v>
      </c>
      <c r="H85" s="7" t="s">
        <v>2</v>
      </c>
      <c r="I85" s="7" t="s">
        <v>2</v>
      </c>
      <c r="J85" s="7" t="s">
        <v>1033</v>
      </c>
    </row>
    <row r="86" spans="1:10" x14ac:dyDescent="0.25" outlineLevel="1" collapsed="1">
      <c r="A86" s="7" t="s">
        <v>15</v>
      </c>
      <c r="B86" s="7" t="s">
        <v>20</v>
      </c>
      <c r="C86" s="7" t="s">
        <v>2</v>
      </c>
      <c r="D86" s="7"/>
      <c r="E86" s="7" t="s">
        <v>1034</v>
      </c>
      <c r="F86" s="7" t="s">
        <v>17</v>
      </c>
      <c r="G86" s="7" t="s">
        <v>1035</v>
      </c>
      <c r="H86" s="7" t="s">
        <v>2</v>
      </c>
      <c r="I86" s="7" t="s">
        <v>2</v>
      </c>
      <c r="J86" s="7" t="s">
        <v>1036</v>
      </c>
    </row>
    <row r="87" spans="1:10" x14ac:dyDescent="0.25" outlineLevel="1" collapsed="1">
      <c r="A87" s="7" t="s">
        <v>17</v>
      </c>
      <c r="B87" s="7" t="s">
        <v>125</v>
      </c>
      <c r="C87" s="7" t="s">
        <v>2</v>
      </c>
      <c r="D87" s="7"/>
      <c r="E87" s="7" t="s">
        <v>1037</v>
      </c>
      <c r="F87" s="7" t="s">
        <v>17</v>
      </c>
      <c r="G87" s="7" t="s">
        <v>1038</v>
      </c>
      <c r="H87" s="7" t="s">
        <v>2</v>
      </c>
      <c r="I87" s="7" t="s">
        <v>2</v>
      </c>
      <c r="J87" s="7" t="s">
        <v>1039</v>
      </c>
    </row>
    <row r="88" spans="1:10" x14ac:dyDescent="0.25">
      <c r="A88" s="5" t="s">
        <v>15</v>
      </c>
      <c r="B88" s="6" t="s">
        <v>1040</v>
      </c>
      <c r="C88" s="5" t="s">
        <v>2</v>
      </c>
      <c r="D88" s="5"/>
      <c r="E88" s="5" t="s">
        <v>1041</v>
      </c>
      <c r="F88" s="5" t="s">
        <v>17</v>
      </c>
      <c r="G88" s="5" t="s">
        <v>1042</v>
      </c>
      <c r="H88" s="5" t="s">
        <v>2</v>
      </c>
      <c r="I88" s="5" t="s">
        <v>2</v>
      </c>
      <c r="J88" s="5" t="s">
        <v>1043</v>
      </c>
    </row>
    <row r="89" spans="1:10" x14ac:dyDescent="0.25" outlineLevel="1" collapsed="1">
      <c r="A89" s="7" t="s">
        <v>15</v>
      </c>
      <c r="B89" s="7" t="s">
        <v>125</v>
      </c>
      <c r="C89" s="7" t="s">
        <v>2</v>
      </c>
      <c r="D89" s="7"/>
      <c r="E89" s="7" t="s">
        <v>1044</v>
      </c>
      <c r="F89" s="7" t="s">
        <v>17</v>
      </c>
      <c r="G89" s="7" t="s">
        <v>1045</v>
      </c>
      <c r="H89" s="7" t="s">
        <v>2</v>
      </c>
      <c r="I89" s="7" t="s">
        <v>2</v>
      </c>
      <c r="J89" s="7" t="s">
        <v>1046</v>
      </c>
    </row>
    <row r="90" spans="1:10" x14ac:dyDescent="0.25" outlineLevel="1" collapsed="1">
      <c r="A90" s="7" t="s">
        <v>15</v>
      </c>
      <c r="B90" s="7" t="s">
        <v>125</v>
      </c>
      <c r="C90" s="7" t="s">
        <v>2</v>
      </c>
      <c r="D90" s="7"/>
      <c r="E90" s="7" t="s">
        <v>1047</v>
      </c>
      <c r="F90" s="7" t="s">
        <v>17</v>
      </c>
      <c r="G90" s="7" t="s">
        <v>1045</v>
      </c>
      <c r="H90" s="7" t="s">
        <v>2</v>
      </c>
      <c r="I90" s="7" t="s">
        <v>2</v>
      </c>
      <c r="J90" s="7" t="s">
        <v>1048</v>
      </c>
    </row>
    <row r="91" spans="1:10" x14ac:dyDescent="0.25" outlineLevel="1" collapsed="1">
      <c r="A91" s="8" t="s">
        <v>15</v>
      </c>
      <c r="B91" s="9" t="s">
        <v>1049</v>
      </c>
      <c r="C91" s="8" t="s">
        <v>2</v>
      </c>
      <c r="D91" s="8"/>
      <c r="E91" s="8" t="s">
        <v>1050</v>
      </c>
      <c r="F91" s="8" t="s">
        <v>17</v>
      </c>
      <c r="G91" s="8" t="s">
        <v>2</v>
      </c>
      <c r="H91" s="8" t="s">
        <v>2</v>
      </c>
      <c r="I91" s="8" t="s">
        <v>2</v>
      </c>
      <c r="J91" s="8" t="s">
        <v>1051</v>
      </c>
    </row>
    <row r="92" spans="1:10" x14ac:dyDescent="0.25" outlineLevel="2" collapsed="1">
      <c r="A92" s="8" t="s">
        <v>15</v>
      </c>
      <c r="B92" s="9" t="s">
        <v>1050</v>
      </c>
      <c r="C92" s="8" t="s">
        <v>2</v>
      </c>
      <c r="D92" s="8"/>
      <c r="E92" s="8" t="s">
        <v>1052</v>
      </c>
      <c r="F92" s="8" t="s">
        <v>15</v>
      </c>
      <c r="G92" s="8" t="s">
        <v>2</v>
      </c>
      <c r="H92" s="8" t="s">
        <v>2</v>
      </c>
      <c r="I92" s="8" t="s">
        <v>2</v>
      </c>
      <c r="J92" s="8" t="s">
        <v>1053</v>
      </c>
    </row>
    <row r="93" spans="1:10" x14ac:dyDescent="0.25" outlineLevel="3" collapsed="1">
      <c r="A93" s="7" t="s">
        <v>15</v>
      </c>
      <c r="B93" s="7" t="s">
        <v>356</v>
      </c>
      <c r="C93" s="7" t="s">
        <v>2</v>
      </c>
      <c r="D93" s="7"/>
      <c r="E93" s="7" t="s">
        <v>432</v>
      </c>
      <c r="F93" s="7" t="s">
        <v>17</v>
      </c>
      <c r="G93" s="7" t="s">
        <v>2</v>
      </c>
      <c r="H93" s="7" t="s">
        <v>2</v>
      </c>
      <c r="I93" s="7" t="s">
        <v>2</v>
      </c>
      <c r="J93" s="7" t="s">
        <v>433</v>
      </c>
    </row>
    <row r="94" spans="1:10" x14ac:dyDescent="0.25" outlineLevel="3" collapsed="1">
      <c r="A94" s="8" t="s">
        <v>15</v>
      </c>
      <c r="B94" s="9" t="s">
        <v>1054</v>
      </c>
      <c r="C94" s="8" t="s">
        <v>2</v>
      </c>
      <c r="D94" s="8"/>
      <c r="E94" s="8" t="s">
        <v>1055</v>
      </c>
      <c r="F94" s="8" t="s">
        <v>15</v>
      </c>
      <c r="G94" s="8" t="s">
        <v>2</v>
      </c>
      <c r="H94" s="8" t="s">
        <v>2</v>
      </c>
      <c r="I94" s="8" t="s">
        <v>2</v>
      </c>
      <c r="J94" s="8" t="s">
        <v>1056</v>
      </c>
    </row>
    <row r="95" spans="1:10" x14ac:dyDescent="0.25" outlineLevel="4" collapsed="1">
      <c r="A95" s="7" t="s">
        <v>15</v>
      </c>
      <c r="B95" s="7" t="s">
        <v>53</v>
      </c>
      <c r="C95" s="7" t="s">
        <v>2</v>
      </c>
      <c r="D95" s="7"/>
      <c r="E95" s="7" t="s">
        <v>1057</v>
      </c>
      <c r="F95" s="7" t="s">
        <v>17</v>
      </c>
      <c r="G95" s="7">
        <v>1</v>
      </c>
      <c r="H95" s="7" t="s">
        <v>2</v>
      </c>
      <c r="I95" s="7" t="s">
        <v>2</v>
      </c>
      <c r="J95" s="7" t="s">
        <v>1058</v>
      </c>
    </row>
    <row r="96" spans="1:10" x14ac:dyDescent="0.25" outlineLevel="4" collapsed="1">
      <c r="A96" s="7" t="s">
        <v>15</v>
      </c>
      <c r="B96" s="7" t="s">
        <v>53</v>
      </c>
      <c r="C96" s="7" t="s">
        <v>2</v>
      </c>
      <c r="D96" s="7"/>
      <c r="E96" s="7" t="s">
        <v>1059</v>
      </c>
      <c r="F96" s="7" t="s">
        <v>17</v>
      </c>
      <c r="G96" s="7">
        <v>1</v>
      </c>
      <c r="H96" s="7" t="s">
        <v>2</v>
      </c>
      <c r="I96" s="7" t="s">
        <v>2</v>
      </c>
      <c r="J96" s="7" t="s">
        <v>1060</v>
      </c>
    </row>
    <row r="97" spans="1:10" x14ac:dyDescent="0.25" outlineLevel="3" collapsed="1">
      <c r="A97" s="8" t="s">
        <v>15</v>
      </c>
      <c r="B97" s="9" t="s">
        <v>1061</v>
      </c>
      <c r="C97" s="8" t="s">
        <v>2</v>
      </c>
      <c r="D97" s="8"/>
      <c r="E97" s="8" t="s">
        <v>1061</v>
      </c>
      <c r="F97" s="8" t="s">
        <v>15</v>
      </c>
      <c r="G97" s="8" t="s">
        <v>2</v>
      </c>
      <c r="H97" s="8" t="s">
        <v>2</v>
      </c>
      <c r="I97" s="8" t="s">
        <v>2</v>
      </c>
      <c r="J97" s="8" t="s">
        <v>1062</v>
      </c>
    </row>
    <row r="98" spans="1:10" x14ac:dyDescent="0.25" outlineLevel="4" collapsed="1">
      <c r="A98" s="7" t="s">
        <v>15</v>
      </c>
      <c r="B98" s="7" t="s">
        <v>20</v>
      </c>
      <c r="C98" s="7" t="s">
        <v>2</v>
      </c>
      <c r="D98" s="7"/>
      <c r="E98" s="7" t="s">
        <v>1063</v>
      </c>
      <c r="F98" s="7" t="s">
        <v>17</v>
      </c>
      <c r="G98" s="7" t="s">
        <v>22</v>
      </c>
      <c r="H98" s="7" t="s">
        <v>2</v>
      </c>
      <c r="I98" s="7" t="s">
        <v>2</v>
      </c>
      <c r="J98" s="7" t="s">
        <v>1064</v>
      </c>
    </row>
    <row r="99" spans="1:10" x14ac:dyDescent="0.25" outlineLevel="4" collapsed="1">
      <c r="A99" s="7" t="s">
        <v>15</v>
      </c>
      <c r="B99" s="7" t="s">
        <v>133</v>
      </c>
      <c r="C99" s="7" t="s">
        <v>1065</v>
      </c>
      <c r="D99" s="7"/>
      <c r="E99" s="7" t="s">
        <v>1066</v>
      </c>
      <c r="F99" s="7" t="s">
        <v>17</v>
      </c>
      <c r="G99" s="7" t="s">
        <v>1067</v>
      </c>
      <c r="H99" s="7" t="s">
        <v>2</v>
      </c>
      <c r="I99" s="7" t="s">
        <v>2</v>
      </c>
      <c r="J99" s="7" t="s">
        <v>1068</v>
      </c>
    </row>
    <row r="100" spans="1:10" x14ac:dyDescent="0.25" outlineLevel="3" collapsed="1">
      <c r="A100" s="7" t="s">
        <v>15</v>
      </c>
      <c r="B100" s="7" t="s">
        <v>125</v>
      </c>
      <c r="C100" s="7" t="s">
        <v>2</v>
      </c>
      <c r="D100" s="7"/>
      <c r="E100" s="7" t="s">
        <v>1069</v>
      </c>
      <c r="F100" s="7" t="s">
        <v>17</v>
      </c>
      <c r="G100" s="7" t="s">
        <v>1070</v>
      </c>
      <c r="H100" s="7" t="s">
        <v>2</v>
      </c>
      <c r="I100" s="7" t="s">
        <v>2</v>
      </c>
      <c r="J100" s="7" t="s">
        <v>1071</v>
      </c>
    </row>
    <row r="101" spans="1:10" x14ac:dyDescent="0.25" outlineLevel="1" collapsed="1">
      <c r="A101" s="8" t="s">
        <v>15</v>
      </c>
      <c r="B101" s="9" t="s">
        <v>1072</v>
      </c>
      <c r="C101" s="8" t="s">
        <v>2</v>
      </c>
      <c r="D101" s="8"/>
      <c r="E101" s="8" t="s">
        <v>1073</v>
      </c>
      <c r="F101" s="8" t="s">
        <v>17</v>
      </c>
      <c r="G101" s="8" t="s">
        <v>2</v>
      </c>
      <c r="H101" s="8" t="s">
        <v>2</v>
      </c>
      <c r="I101" s="8" t="s">
        <v>2</v>
      </c>
      <c r="J101" s="8" t="s">
        <v>1074</v>
      </c>
    </row>
    <row r="102" spans="1:10" x14ac:dyDescent="0.25" outlineLevel="2" collapsed="1">
      <c r="A102" s="8" t="s">
        <v>15</v>
      </c>
      <c r="B102" s="9" t="s">
        <v>1075</v>
      </c>
      <c r="C102" s="8" t="s">
        <v>2</v>
      </c>
      <c r="D102" s="8"/>
      <c r="E102" s="8" t="s">
        <v>1073</v>
      </c>
      <c r="F102" s="8" t="s">
        <v>15</v>
      </c>
      <c r="G102" s="8" t="s">
        <v>2</v>
      </c>
      <c r="H102" s="8" t="s">
        <v>2</v>
      </c>
      <c r="I102" s="8" t="s">
        <v>2</v>
      </c>
      <c r="J102" s="8" t="s">
        <v>1074</v>
      </c>
    </row>
    <row r="103" spans="1:10" x14ac:dyDescent="0.25" outlineLevel="3" collapsed="1">
      <c r="A103" s="7" t="s">
        <v>15</v>
      </c>
      <c r="B103" s="7" t="s">
        <v>356</v>
      </c>
      <c r="C103" s="7" t="s">
        <v>2</v>
      </c>
      <c r="D103" s="7"/>
      <c r="E103" s="7" t="s">
        <v>432</v>
      </c>
      <c r="F103" s="7" t="s">
        <v>17</v>
      </c>
      <c r="G103" s="7" t="s">
        <v>2</v>
      </c>
      <c r="H103" s="7" t="s">
        <v>2</v>
      </c>
      <c r="I103" s="7" t="s">
        <v>2</v>
      </c>
      <c r="J103" s="7" t="s">
        <v>433</v>
      </c>
    </row>
    <row r="104" spans="1:10" x14ac:dyDescent="0.25" outlineLevel="3" collapsed="1">
      <c r="A104" s="8" t="s">
        <v>15</v>
      </c>
      <c r="B104" s="9" t="s">
        <v>1076</v>
      </c>
      <c r="C104" s="8" t="s">
        <v>2</v>
      </c>
      <c r="D104" s="8"/>
      <c r="E104" s="8" t="s">
        <v>1073</v>
      </c>
      <c r="F104" s="8" t="s">
        <v>15</v>
      </c>
      <c r="G104" s="8" t="s">
        <v>2</v>
      </c>
      <c r="H104" s="8" t="s">
        <v>2</v>
      </c>
      <c r="I104" s="8" t="s">
        <v>2</v>
      </c>
      <c r="J104" s="8" t="s">
        <v>1077</v>
      </c>
    </row>
    <row r="105" spans="1:10" x14ac:dyDescent="0.25" outlineLevel="4" collapsed="1">
      <c r="A105" s="7" t="s">
        <v>15</v>
      </c>
      <c r="B105" s="7" t="s">
        <v>20</v>
      </c>
      <c r="C105" s="7" t="s">
        <v>2</v>
      </c>
      <c r="D105" s="7"/>
      <c r="E105" s="7" t="s">
        <v>1078</v>
      </c>
      <c r="F105" s="7" t="s">
        <v>17</v>
      </c>
      <c r="G105" s="7" t="s">
        <v>22</v>
      </c>
      <c r="H105" s="7" t="s">
        <v>2</v>
      </c>
      <c r="I105" s="7" t="s">
        <v>2</v>
      </c>
      <c r="J105" s="7" t="s">
        <v>1079</v>
      </c>
    </row>
    <row r="106" spans="1:10" x14ac:dyDescent="0.25" outlineLevel="4" collapsed="1">
      <c r="A106" s="7" t="s">
        <v>15</v>
      </c>
      <c r="B106" s="7" t="s">
        <v>133</v>
      </c>
      <c r="C106" s="7" t="s">
        <v>1065</v>
      </c>
      <c r="D106" s="7"/>
      <c r="E106" s="7" t="s">
        <v>1080</v>
      </c>
      <c r="F106" s="7" t="s">
        <v>17</v>
      </c>
      <c r="G106" s="7" t="s">
        <v>1081</v>
      </c>
      <c r="H106" s="7" t="s">
        <v>2</v>
      </c>
      <c r="I106" s="7" t="s">
        <v>2</v>
      </c>
      <c r="J106" s="7" t="s">
        <v>1082</v>
      </c>
    </row>
    <row r="107" spans="1:10" x14ac:dyDescent="0.25" outlineLevel="4" collapsed="1">
      <c r="A107" s="7" t="s">
        <v>15</v>
      </c>
      <c r="B107" s="7" t="s">
        <v>20</v>
      </c>
      <c r="C107" s="7" t="s">
        <v>2</v>
      </c>
      <c r="D107" s="7"/>
      <c r="E107" s="7" t="s">
        <v>1083</v>
      </c>
      <c r="F107" s="7" t="s">
        <v>17</v>
      </c>
      <c r="G107" s="7" t="s">
        <v>22</v>
      </c>
      <c r="H107" s="7" t="s">
        <v>2</v>
      </c>
      <c r="I107" s="7" t="s">
        <v>2</v>
      </c>
      <c r="J107" s="7" t="s">
        <v>1084</v>
      </c>
    </row>
    <row r="108" spans="1:10" x14ac:dyDescent="0.25" outlineLevel="1" collapsed="1">
      <c r="A108" s="8" t="s">
        <v>15</v>
      </c>
      <c r="B108" s="9" t="s">
        <v>1085</v>
      </c>
      <c r="C108" s="8" t="s">
        <v>2</v>
      </c>
      <c r="D108" s="8"/>
      <c r="E108" s="8" t="s">
        <v>1086</v>
      </c>
      <c r="F108" s="8" t="s">
        <v>17</v>
      </c>
      <c r="G108" s="8" t="s">
        <v>2</v>
      </c>
      <c r="H108" s="8" t="s">
        <v>2</v>
      </c>
      <c r="I108" s="8" t="s">
        <v>2</v>
      </c>
      <c r="J108" s="8" t="s">
        <v>501</v>
      </c>
    </row>
    <row r="109" spans="1:10" x14ac:dyDescent="0.25" outlineLevel="2" collapsed="1">
      <c r="A109" s="8" t="s">
        <v>15</v>
      </c>
      <c r="B109" s="9" t="s">
        <v>1087</v>
      </c>
      <c r="C109" s="8" t="s">
        <v>2</v>
      </c>
      <c r="D109" s="8"/>
      <c r="E109" s="8" t="s">
        <v>1086</v>
      </c>
      <c r="F109" s="8" t="s">
        <v>15</v>
      </c>
      <c r="G109" s="8" t="s">
        <v>2</v>
      </c>
      <c r="H109" s="8" t="s">
        <v>2</v>
      </c>
      <c r="I109" s="8" t="s">
        <v>2</v>
      </c>
      <c r="J109" s="8" t="s">
        <v>501</v>
      </c>
    </row>
    <row r="110" spans="1:10" x14ac:dyDescent="0.25" outlineLevel="3" collapsed="1">
      <c r="A110" s="7" t="s">
        <v>15</v>
      </c>
      <c r="B110" s="7" t="s">
        <v>356</v>
      </c>
      <c r="C110" s="7" t="s">
        <v>2</v>
      </c>
      <c r="D110" s="7"/>
      <c r="E110" s="7" t="s">
        <v>432</v>
      </c>
      <c r="F110" s="7" t="s">
        <v>17</v>
      </c>
      <c r="G110" s="7" t="s">
        <v>2</v>
      </c>
      <c r="H110" s="7" t="s">
        <v>2</v>
      </c>
      <c r="I110" s="7" t="s">
        <v>2</v>
      </c>
      <c r="J110" s="7" t="s">
        <v>433</v>
      </c>
    </row>
    <row r="111" spans="1:10" x14ac:dyDescent="0.25" outlineLevel="3" collapsed="1">
      <c r="A111" s="8" t="s">
        <v>15</v>
      </c>
      <c r="B111" s="9" t="s">
        <v>1088</v>
      </c>
      <c r="C111" s="8" t="s">
        <v>2</v>
      </c>
      <c r="D111" s="8"/>
      <c r="E111" s="8" t="s">
        <v>1089</v>
      </c>
      <c r="F111" s="8" t="s">
        <v>15</v>
      </c>
      <c r="G111" s="8" t="s">
        <v>2</v>
      </c>
      <c r="H111" s="8" t="s">
        <v>2</v>
      </c>
      <c r="I111" s="8" t="s">
        <v>2</v>
      </c>
      <c r="J111" s="8" t="s">
        <v>1090</v>
      </c>
    </row>
    <row r="112" spans="1:10" x14ac:dyDescent="0.25" outlineLevel="4" collapsed="1">
      <c r="A112" s="7" t="s">
        <v>15</v>
      </c>
      <c r="B112" s="7" t="s">
        <v>133</v>
      </c>
      <c r="C112" s="7" t="s">
        <v>1091</v>
      </c>
      <c r="D112" s="7"/>
      <c r="E112" s="7" t="s">
        <v>502</v>
      </c>
      <c r="F112" s="7" t="s">
        <v>17</v>
      </c>
      <c r="G112" s="7" t="s">
        <v>1092</v>
      </c>
      <c r="H112" s="7" t="s">
        <v>2</v>
      </c>
      <c r="I112" s="7" t="s">
        <v>2</v>
      </c>
      <c r="J112" s="7" t="s">
        <v>503</v>
      </c>
    </row>
    <row r="113" spans="1:10" x14ac:dyDescent="0.25" outlineLevel="4" collapsed="1">
      <c r="A113" s="7" t="s">
        <v>15</v>
      </c>
      <c r="B113" s="7" t="s">
        <v>133</v>
      </c>
      <c r="C113" s="7" t="s">
        <v>1091</v>
      </c>
      <c r="D113" s="7"/>
      <c r="E113" s="7" t="s">
        <v>1093</v>
      </c>
      <c r="F113" s="7" t="s">
        <v>17</v>
      </c>
      <c r="G113" s="7" t="s">
        <v>1094</v>
      </c>
      <c r="H113" s="7" t="s">
        <v>2</v>
      </c>
      <c r="I113" s="7" t="s">
        <v>2</v>
      </c>
      <c r="J113" s="7" t="s">
        <v>1095</v>
      </c>
    </row>
    <row r="114" spans="1:10" x14ac:dyDescent="0.25" outlineLevel="4" collapsed="1">
      <c r="A114" s="7" t="s">
        <v>15</v>
      </c>
      <c r="B114" s="7" t="s">
        <v>133</v>
      </c>
      <c r="C114" s="7" t="s">
        <v>1065</v>
      </c>
      <c r="D114" s="7"/>
      <c r="E114" s="7" t="s">
        <v>1096</v>
      </c>
      <c r="F114" s="7" t="s">
        <v>17</v>
      </c>
      <c r="G114" s="7" t="s">
        <v>1097</v>
      </c>
      <c r="H114" s="7" t="s">
        <v>2</v>
      </c>
      <c r="I114" s="7" t="s">
        <v>2</v>
      </c>
      <c r="J114" s="7" t="s">
        <v>1098</v>
      </c>
    </row>
    <row r="115" spans="1:10" x14ac:dyDescent="0.25" outlineLevel="4" collapsed="1">
      <c r="A115" s="7" t="s">
        <v>15</v>
      </c>
      <c r="B115" s="7" t="s">
        <v>133</v>
      </c>
      <c r="C115" s="7" t="s">
        <v>1065</v>
      </c>
      <c r="D115" s="7"/>
      <c r="E115" s="7" t="s">
        <v>1099</v>
      </c>
      <c r="F115" s="7" t="s">
        <v>17</v>
      </c>
      <c r="G115" s="7" t="s">
        <v>1100</v>
      </c>
      <c r="H115" s="7" t="s">
        <v>2</v>
      </c>
      <c r="I115" s="7" t="s">
        <v>2</v>
      </c>
      <c r="J115" s="7" t="s">
        <v>1101</v>
      </c>
    </row>
    <row r="116" spans="1:10" x14ac:dyDescent="0.25" outlineLevel="1" collapsed="1">
      <c r="A116" s="8" t="s">
        <v>15</v>
      </c>
      <c r="B116" s="9" t="s">
        <v>1102</v>
      </c>
      <c r="C116" s="8" t="s">
        <v>2</v>
      </c>
      <c r="D116" s="8"/>
      <c r="E116" s="8" t="s">
        <v>1103</v>
      </c>
      <c r="F116" s="8" t="s">
        <v>17</v>
      </c>
      <c r="G116" s="8" t="s">
        <v>2</v>
      </c>
      <c r="H116" s="8" t="s">
        <v>2</v>
      </c>
      <c r="I116" s="8" t="s">
        <v>2</v>
      </c>
      <c r="J116" s="8" t="s">
        <v>1104</v>
      </c>
    </row>
    <row r="117" spans="1:10" x14ac:dyDescent="0.25" outlineLevel="2" collapsed="1">
      <c r="A117" s="7" t="s">
        <v>15</v>
      </c>
      <c r="B117" s="7" t="s">
        <v>356</v>
      </c>
      <c r="C117" s="7" t="s">
        <v>2</v>
      </c>
      <c r="D117" s="7"/>
      <c r="E117" s="7" t="s">
        <v>432</v>
      </c>
      <c r="F117" s="7" t="s">
        <v>17</v>
      </c>
      <c r="G117" s="7" t="s">
        <v>2</v>
      </c>
      <c r="H117" s="7" t="s">
        <v>2</v>
      </c>
      <c r="I117" s="7" t="s">
        <v>2</v>
      </c>
      <c r="J117" s="7" t="s">
        <v>433</v>
      </c>
    </row>
    <row r="118" spans="1:10" x14ac:dyDescent="0.25" outlineLevel="2" collapsed="1">
      <c r="A118" s="7" t="s">
        <v>15</v>
      </c>
      <c r="B118" s="7" t="s">
        <v>53</v>
      </c>
      <c r="C118" s="7" t="s">
        <v>2</v>
      </c>
      <c r="D118" s="7"/>
      <c r="E118" s="7" t="s">
        <v>1105</v>
      </c>
      <c r="F118" s="7" t="s">
        <v>17</v>
      </c>
      <c r="G118" s="7">
        <v>1</v>
      </c>
      <c r="H118" s="7" t="s">
        <v>2</v>
      </c>
      <c r="I118" s="7" t="s">
        <v>2</v>
      </c>
      <c r="J118" s="7" t="s">
        <v>1106</v>
      </c>
    </row>
    <row r="119" spans="1:10" x14ac:dyDescent="0.25" outlineLevel="2" collapsed="1">
      <c r="A119" s="8" t="s">
        <v>15</v>
      </c>
      <c r="B119" s="9" t="s">
        <v>1107</v>
      </c>
      <c r="C119" s="8" t="s">
        <v>2</v>
      </c>
      <c r="D119" s="8"/>
      <c r="E119" s="8" t="s">
        <v>1107</v>
      </c>
      <c r="F119" s="8" t="s">
        <v>17</v>
      </c>
      <c r="G119" s="8" t="s">
        <v>2</v>
      </c>
      <c r="H119" s="8" t="s">
        <v>2</v>
      </c>
      <c r="I119" s="8" t="s">
        <v>2</v>
      </c>
      <c r="J119" s="8" t="s">
        <v>1108</v>
      </c>
    </row>
    <row r="120" spans="1:10" x14ac:dyDescent="0.25" outlineLevel="3" collapsed="1">
      <c r="A120" s="7" t="s">
        <v>15</v>
      </c>
      <c r="B120" s="7" t="s">
        <v>47</v>
      </c>
      <c r="C120" s="7" t="s">
        <v>2</v>
      </c>
      <c r="D120" s="7"/>
      <c r="E120" s="7" t="s">
        <v>1109</v>
      </c>
      <c r="F120" s="7" t="s">
        <v>17</v>
      </c>
      <c r="G120" s="7" t="b">
        <v>1</v>
      </c>
      <c r="H120" s="7" t="s">
        <v>2</v>
      </c>
      <c r="I120" s="7" t="s">
        <v>2</v>
      </c>
      <c r="J120" s="7" t="s">
        <v>1110</v>
      </c>
    </row>
    <row r="121" spans="1:10" x14ac:dyDescent="0.25" outlineLevel="3" collapsed="1">
      <c r="A121" s="7" t="s">
        <v>15</v>
      </c>
      <c r="B121" s="7" t="s">
        <v>125</v>
      </c>
      <c r="C121" s="7" t="s">
        <v>2</v>
      </c>
      <c r="D121" s="7"/>
      <c r="E121" s="7" t="s">
        <v>1111</v>
      </c>
      <c r="F121" s="7" t="s">
        <v>17</v>
      </c>
      <c r="G121" s="7" t="s">
        <v>1112</v>
      </c>
      <c r="H121" s="7" t="s">
        <v>2</v>
      </c>
      <c r="I121" s="7" t="s">
        <v>2</v>
      </c>
      <c r="J121" s="7" t="s">
        <v>1113</v>
      </c>
    </row>
    <row r="122" spans="1:10" x14ac:dyDescent="0.25" outlineLevel="3" collapsed="1">
      <c r="A122" s="7" t="s">
        <v>17</v>
      </c>
      <c r="B122" s="7" t="s">
        <v>133</v>
      </c>
      <c r="C122" s="7" t="s">
        <v>1114</v>
      </c>
      <c r="D122" s="7">
        <f>EXACT(G120,true)</f>
      </c>
      <c r="E122" s="7" t="s">
        <v>1115</v>
      </c>
      <c r="F122" s="7" t="s">
        <v>17</v>
      </c>
      <c r="G122" s="7" t="s">
        <v>1116</v>
      </c>
      <c r="H122" s="7" t="s">
        <v>2</v>
      </c>
      <c r="I122" s="7" t="s">
        <v>2</v>
      </c>
      <c r="J122" s="7" t="s">
        <v>1117</v>
      </c>
    </row>
    <row r="123" spans="1:10" x14ac:dyDescent="0.25" outlineLevel="3" collapsed="1">
      <c r="A123" s="7" t="s">
        <v>17</v>
      </c>
      <c r="B123" s="7" t="s">
        <v>133</v>
      </c>
      <c r="C123" s="7" t="s">
        <v>1114</v>
      </c>
      <c r="D123" s="7">
        <f>EXACT(G120,true)</f>
      </c>
      <c r="E123" s="7" t="s">
        <v>1118</v>
      </c>
      <c r="F123" s="7" t="s">
        <v>17</v>
      </c>
      <c r="G123" s="7" t="s">
        <v>1119</v>
      </c>
      <c r="H123" s="7" t="s">
        <v>2</v>
      </c>
      <c r="I123" s="7" t="s">
        <v>2</v>
      </c>
      <c r="J123" s="7" t="s">
        <v>1120</v>
      </c>
    </row>
    <row r="124" spans="1:10" x14ac:dyDescent="0.25" outlineLevel="3" collapsed="1">
      <c r="A124" s="7" t="s">
        <v>17</v>
      </c>
      <c r="B124" s="7" t="s">
        <v>125</v>
      </c>
      <c r="C124" s="7" t="s">
        <v>2</v>
      </c>
      <c r="D124" s="7">
        <f>EXACT(G120,true)</f>
      </c>
      <c r="E124" s="7" t="s">
        <v>1121</v>
      </c>
      <c r="F124" s="7" t="s">
        <v>17</v>
      </c>
      <c r="G124" s="7" t="s">
        <v>1122</v>
      </c>
      <c r="H124" s="7" t="s">
        <v>2</v>
      </c>
      <c r="I124" s="7" t="s">
        <v>2</v>
      </c>
      <c r="J124" s="7" t="s">
        <v>1123</v>
      </c>
    </row>
    <row r="125" spans="1:10" x14ac:dyDescent="0.25" outlineLevel="2" collapsed="1">
      <c r="A125" s="7" t="s">
        <v>17</v>
      </c>
      <c r="B125" s="7" t="s">
        <v>125</v>
      </c>
      <c r="C125" s="7" t="s">
        <v>2</v>
      </c>
      <c r="D125" s="7"/>
      <c r="E125" s="7" t="s">
        <v>1124</v>
      </c>
      <c r="F125" s="7" t="s">
        <v>15</v>
      </c>
      <c r="G125" s="7" t="s">
        <v>1125</v>
      </c>
      <c r="H125" s="7" t="s">
        <v>2</v>
      </c>
      <c r="I125" s="7" t="s">
        <v>2</v>
      </c>
      <c r="J125" s="7" t="s">
        <v>1126</v>
      </c>
    </row>
    <row r="126" spans="1:10" x14ac:dyDescent="0.25">
      <c r="A126" s="5" t="s">
        <v>15</v>
      </c>
      <c r="B126" s="6" t="s">
        <v>1127</v>
      </c>
      <c r="C126" s="5" t="s">
        <v>2</v>
      </c>
      <c r="D126" s="5"/>
      <c r="E126" s="5" t="s">
        <v>1128</v>
      </c>
      <c r="F126" s="5" t="s">
        <v>17</v>
      </c>
      <c r="G126" s="5" t="s">
        <v>1129</v>
      </c>
      <c r="H126" s="5" t="s">
        <v>2</v>
      </c>
      <c r="I126" s="5" t="s">
        <v>2</v>
      </c>
      <c r="J126" s="5" t="s">
        <v>1130</v>
      </c>
    </row>
    <row r="127" spans="1:10" x14ac:dyDescent="0.25" outlineLevel="1" collapsed="1">
      <c r="A127" s="8" t="s">
        <v>15</v>
      </c>
      <c r="B127" s="9" t="s">
        <v>1131</v>
      </c>
      <c r="C127" s="8" t="s">
        <v>2</v>
      </c>
      <c r="D127" s="8"/>
      <c r="E127" s="8" t="s">
        <v>1132</v>
      </c>
      <c r="F127" s="8" t="s">
        <v>17</v>
      </c>
      <c r="G127" s="8" t="s">
        <v>2</v>
      </c>
      <c r="H127" s="8" t="s">
        <v>2</v>
      </c>
      <c r="I127" s="8" t="s">
        <v>2</v>
      </c>
      <c r="J127" s="8" t="s">
        <v>1133</v>
      </c>
    </row>
    <row r="128" spans="1:10" x14ac:dyDescent="0.25" outlineLevel="2" collapsed="1">
      <c r="A128" s="7" t="s">
        <v>15</v>
      </c>
      <c r="B128" s="7" t="s">
        <v>20</v>
      </c>
      <c r="C128" s="7" t="s">
        <v>2</v>
      </c>
      <c r="D128" s="7"/>
      <c r="E128" s="7" t="s">
        <v>1134</v>
      </c>
      <c r="F128" s="7" t="s">
        <v>17</v>
      </c>
      <c r="G128" s="7" t="s">
        <v>22</v>
      </c>
      <c r="H128" s="7" t="s">
        <v>2</v>
      </c>
      <c r="I128" s="7" t="s">
        <v>2</v>
      </c>
      <c r="J128" s="7" t="s">
        <v>1135</v>
      </c>
    </row>
    <row r="129" spans="1:10" x14ac:dyDescent="0.25" outlineLevel="2" collapsed="1">
      <c r="A129" s="8" t="s">
        <v>15</v>
      </c>
      <c r="B129" s="9" t="s">
        <v>1136</v>
      </c>
      <c r="C129" s="8" t="s">
        <v>2</v>
      </c>
      <c r="D129" s="8"/>
      <c r="E129" s="8" t="s">
        <v>1137</v>
      </c>
      <c r="F129" s="8" t="s">
        <v>15</v>
      </c>
      <c r="G129" s="8" t="s">
        <v>2</v>
      </c>
      <c r="H129" s="8" t="s">
        <v>2</v>
      </c>
      <c r="I129" s="8" t="s">
        <v>2</v>
      </c>
      <c r="J129" s="8" t="s">
        <v>1138</v>
      </c>
    </row>
    <row r="130" spans="1:10" x14ac:dyDescent="0.25" outlineLevel="3" collapsed="1">
      <c r="A130" s="7" t="s">
        <v>15</v>
      </c>
      <c r="B130" s="7" t="s">
        <v>20</v>
      </c>
      <c r="C130" s="7" t="s">
        <v>2</v>
      </c>
      <c r="D130" s="7"/>
      <c r="E130" s="7" t="s">
        <v>1139</v>
      </c>
      <c r="F130" s="7" t="s">
        <v>17</v>
      </c>
      <c r="G130" s="7" t="s">
        <v>22</v>
      </c>
      <c r="H130" s="7" t="s">
        <v>2</v>
      </c>
      <c r="I130" s="7" t="s">
        <v>2</v>
      </c>
      <c r="J130" s="7" t="s">
        <v>1140</v>
      </c>
    </row>
    <row r="131" spans="1:10" x14ac:dyDescent="0.25" outlineLevel="3" collapsed="1">
      <c r="A131" s="7" t="s">
        <v>15</v>
      </c>
      <c r="B131" s="7" t="s">
        <v>20</v>
      </c>
      <c r="C131" s="7" t="s">
        <v>2</v>
      </c>
      <c r="D131" s="7"/>
      <c r="E131" s="7" t="s">
        <v>1141</v>
      </c>
      <c r="F131" s="7" t="s">
        <v>17</v>
      </c>
      <c r="G131" s="7" t="s">
        <v>22</v>
      </c>
      <c r="H131" s="7" t="s">
        <v>2</v>
      </c>
      <c r="I131" s="7" t="s">
        <v>2</v>
      </c>
      <c r="J131" s="7" t="s">
        <v>1142</v>
      </c>
    </row>
    <row r="132" spans="1:10" x14ac:dyDescent="0.25" outlineLevel="3" collapsed="1">
      <c r="A132" s="7" t="s">
        <v>15</v>
      </c>
      <c r="B132" s="7" t="s">
        <v>20</v>
      </c>
      <c r="C132" s="7" t="s">
        <v>2</v>
      </c>
      <c r="D132" s="7"/>
      <c r="E132" s="7" t="s">
        <v>9</v>
      </c>
      <c r="F132" s="7" t="s">
        <v>17</v>
      </c>
      <c r="G132" s="7" t="s">
        <v>22</v>
      </c>
      <c r="H132" s="7" t="s">
        <v>2</v>
      </c>
      <c r="I132" s="7" t="s">
        <v>2</v>
      </c>
      <c r="J132" s="7" t="s">
        <v>1143</v>
      </c>
    </row>
    <row r="133" spans="1:10" x14ac:dyDescent="0.25" outlineLevel="3" collapsed="1">
      <c r="A133" s="7" t="s">
        <v>15</v>
      </c>
      <c r="B133" s="7" t="s">
        <v>20</v>
      </c>
      <c r="C133" s="7" t="s">
        <v>2</v>
      </c>
      <c r="D133" s="7"/>
      <c r="E133" s="7" t="s">
        <v>1144</v>
      </c>
      <c r="F133" s="7" t="s">
        <v>17</v>
      </c>
      <c r="G133" s="7" t="s">
        <v>22</v>
      </c>
      <c r="H133" s="7" t="s">
        <v>2</v>
      </c>
      <c r="I133" s="7" t="s">
        <v>2</v>
      </c>
      <c r="J133" s="7" t="s">
        <v>1145</v>
      </c>
    </row>
    <row r="134" spans="1:10" x14ac:dyDescent="0.25" outlineLevel="3" collapsed="1">
      <c r="A134" s="7" t="s">
        <v>15</v>
      </c>
      <c r="B134" s="7" t="s">
        <v>20</v>
      </c>
      <c r="C134" s="7" t="s">
        <v>2</v>
      </c>
      <c r="D134" s="7"/>
      <c r="E134" s="7" t="s">
        <v>1146</v>
      </c>
      <c r="F134" s="7" t="s">
        <v>17</v>
      </c>
      <c r="G134" s="7" t="s">
        <v>22</v>
      </c>
      <c r="H134" s="7" t="s">
        <v>2</v>
      </c>
      <c r="I134" s="7" t="s">
        <v>2</v>
      </c>
      <c r="J134" s="7" t="s">
        <v>1147</v>
      </c>
    </row>
    <row r="135" spans="1:10" x14ac:dyDescent="0.25" outlineLevel="3" collapsed="1">
      <c r="A135" s="7" t="s">
        <v>15</v>
      </c>
      <c r="B135" s="7" t="s">
        <v>20</v>
      </c>
      <c r="C135" s="7" t="s">
        <v>2</v>
      </c>
      <c r="D135" s="7"/>
      <c r="E135" s="7" t="s">
        <v>1148</v>
      </c>
      <c r="F135" s="7" t="s">
        <v>17</v>
      </c>
      <c r="G135" s="7" t="s">
        <v>22</v>
      </c>
      <c r="H135" s="7" t="s">
        <v>2</v>
      </c>
      <c r="I135" s="7" t="s">
        <v>2</v>
      </c>
      <c r="J135" s="7" t="s">
        <v>1149</v>
      </c>
    </row>
    <row r="136" spans="1:10" x14ac:dyDescent="0.25" outlineLevel="3" collapsed="1">
      <c r="A136" s="7" t="s">
        <v>15</v>
      </c>
      <c r="B136" s="7" t="s">
        <v>20</v>
      </c>
      <c r="C136" s="7" t="s">
        <v>2</v>
      </c>
      <c r="D136" s="7"/>
      <c r="E136" s="7" t="s">
        <v>1150</v>
      </c>
      <c r="F136" s="7" t="s">
        <v>17</v>
      </c>
      <c r="G136" s="7" t="s">
        <v>22</v>
      </c>
      <c r="H136" s="7" t="s">
        <v>2</v>
      </c>
      <c r="I136" s="7" t="s">
        <v>2</v>
      </c>
      <c r="J136" s="7" t="s">
        <v>1151</v>
      </c>
    </row>
    <row r="137" spans="1:10" x14ac:dyDescent="0.25" outlineLevel="3" collapsed="1">
      <c r="A137" s="7" t="s">
        <v>15</v>
      </c>
      <c r="B137" s="7" t="s">
        <v>20</v>
      </c>
      <c r="C137" s="7" t="s">
        <v>2</v>
      </c>
      <c r="D137" s="7"/>
      <c r="E137" s="7" t="s">
        <v>1152</v>
      </c>
      <c r="F137" s="7" t="s">
        <v>17</v>
      </c>
      <c r="G137" s="7" t="s">
        <v>22</v>
      </c>
      <c r="H137" s="7" t="s">
        <v>2</v>
      </c>
      <c r="I137" s="7" t="s">
        <v>2</v>
      </c>
      <c r="J137" s="7" t="s">
        <v>1153</v>
      </c>
    </row>
    <row r="138" spans="1:10" x14ac:dyDescent="0.25" outlineLevel="2" collapsed="1">
      <c r="A138" s="8" t="s">
        <v>15</v>
      </c>
      <c r="B138" s="9" t="s">
        <v>1154</v>
      </c>
      <c r="C138" s="8" t="s">
        <v>2</v>
      </c>
      <c r="D138" s="8"/>
      <c r="E138" s="8" t="s">
        <v>1155</v>
      </c>
      <c r="F138" s="8" t="s">
        <v>17</v>
      </c>
      <c r="G138" s="8" t="s">
        <v>2</v>
      </c>
      <c r="H138" s="8" t="s">
        <v>2</v>
      </c>
      <c r="I138" s="8" t="s">
        <v>2</v>
      </c>
      <c r="J138" s="8" t="s">
        <v>1156</v>
      </c>
    </row>
    <row r="139" spans="1:10" x14ac:dyDescent="0.25" outlineLevel="3" collapsed="1">
      <c r="A139" s="7" t="s">
        <v>15</v>
      </c>
      <c r="B139" s="7" t="s">
        <v>133</v>
      </c>
      <c r="C139" s="7" t="s">
        <v>885</v>
      </c>
      <c r="D139" s="7"/>
      <c r="E139" s="7" t="s">
        <v>1157</v>
      </c>
      <c r="F139" s="7" t="s">
        <v>17</v>
      </c>
      <c r="G139" s="7" t="s">
        <v>1158</v>
      </c>
      <c r="H139" s="7" t="s">
        <v>2</v>
      </c>
      <c r="I139" s="7" t="s">
        <v>2</v>
      </c>
      <c r="J139" s="7" t="s">
        <v>888</v>
      </c>
    </row>
    <row r="140" spans="1:10" x14ac:dyDescent="0.25" outlineLevel="3" collapsed="1">
      <c r="A140" s="7" t="s">
        <v>15</v>
      </c>
      <c r="B140" s="7" t="s">
        <v>53</v>
      </c>
      <c r="C140" s="7" t="s">
        <v>2</v>
      </c>
      <c r="D140" s="7"/>
      <c r="E140" s="7" t="s">
        <v>1159</v>
      </c>
      <c r="F140" s="7" t="s">
        <v>17</v>
      </c>
      <c r="G140" s="7">
        <v>1</v>
      </c>
      <c r="H140" s="7" t="s">
        <v>2</v>
      </c>
      <c r="I140" s="7" t="s">
        <v>2</v>
      </c>
      <c r="J140" s="7" t="s">
        <v>1160</v>
      </c>
    </row>
    <row r="141" spans="1:10" x14ac:dyDescent="0.25" outlineLevel="3" collapsed="1">
      <c r="A141" s="7" t="s">
        <v>15</v>
      </c>
      <c r="B141" s="7" t="s">
        <v>53</v>
      </c>
      <c r="C141" s="7" t="s">
        <v>2</v>
      </c>
      <c r="D141" s="7"/>
      <c r="E141" s="7" t="s">
        <v>1161</v>
      </c>
      <c r="F141" s="7" t="s">
        <v>17</v>
      </c>
      <c r="G141" s="7">
        <v>1</v>
      </c>
      <c r="H141" s="7" t="s">
        <v>2</v>
      </c>
      <c r="I141" s="7" t="s">
        <v>2</v>
      </c>
      <c r="J141" s="7" t="s">
        <v>1162</v>
      </c>
    </row>
    <row r="142" spans="1:10" x14ac:dyDescent="0.25" outlineLevel="3" collapsed="1">
      <c r="A142" s="7" t="s">
        <v>15</v>
      </c>
      <c r="B142" s="7" t="s">
        <v>53</v>
      </c>
      <c r="C142" s="7" t="s">
        <v>2</v>
      </c>
      <c r="D142" s="7"/>
      <c r="E142" s="7" t="s">
        <v>1163</v>
      </c>
      <c r="F142" s="7" t="s">
        <v>17</v>
      </c>
      <c r="G142" s="7">
        <v>1</v>
      </c>
      <c r="H142" s="7" t="s">
        <v>2</v>
      </c>
      <c r="I142" s="7" t="s">
        <v>2</v>
      </c>
      <c r="J142" s="7" t="s">
        <v>1164</v>
      </c>
    </row>
    <row r="143" spans="1:10" x14ac:dyDescent="0.25" outlineLevel="3" collapsed="1">
      <c r="A143" s="7" t="s">
        <v>15</v>
      </c>
      <c r="B143" s="7" t="s">
        <v>20</v>
      </c>
      <c r="C143" s="7" t="s">
        <v>2</v>
      </c>
      <c r="D143" s="7"/>
      <c r="E143" s="7" t="s">
        <v>1165</v>
      </c>
      <c r="F143" s="7" t="s">
        <v>17</v>
      </c>
      <c r="G143" s="7" t="s">
        <v>22</v>
      </c>
      <c r="H143" s="7" t="s">
        <v>2</v>
      </c>
      <c r="I143" s="7" t="s">
        <v>2</v>
      </c>
      <c r="J143" s="7" t="s">
        <v>1166</v>
      </c>
    </row>
    <row r="144" spans="1:10" x14ac:dyDescent="0.25" outlineLevel="3" collapsed="1">
      <c r="A144" s="7" t="s">
        <v>15</v>
      </c>
      <c r="B144" s="7" t="s">
        <v>194</v>
      </c>
      <c r="C144" s="7" t="s">
        <v>2</v>
      </c>
      <c r="D144" s="7"/>
      <c r="E144" s="7" t="s">
        <v>1167</v>
      </c>
      <c r="F144" s="7" t="s">
        <v>17</v>
      </c>
      <c r="G144" s="7">
        <v>1</v>
      </c>
      <c r="H144" s="7" t="s">
        <v>2</v>
      </c>
      <c r="I144" s="7" t="s">
        <v>2</v>
      </c>
      <c r="J144" s="7" t="s">
        <v>1168</v>
      </c>
    </row>
    <row r="145" spans="1:10" x14ac:dyDescent="0.25" outlineLevel="1" collapsed="1">
      <c r="A145" s="8" t="s">
        <v>17</v>
      </c>
      <c r="B145" s="9" t="s">
        <v>1169</v>
      </c>
      <c r="C145" s="8" t="s">
        <v>2</v>
      </c>
      <c r="D145" s="8"/>
      <c r="E145" s="8" t="s">
        <v>1170</v>
      </c>
      <c r="F145" s="8" t="s">
        <v>15</v>
      </c>
      <c r="G145" s="8" t="s">
        <v>2</v>
      </c>
      <c r="H145" s="8" t="s">
        <v>2</v>
      </c>
      <c r="I145" s="8" t="s">
        <v>2</v>
      </c>
      <c r="J145" s="8" t="s">
        <v>1171</v>
      </c>
    </row>
    <row r="146" spans="1:10" x14ac:dyDescent="0.25" outlineLevel="2" collapsed="1">
      <c r="A146" s="7" t="s">
        <v>15</v>
      </c>
      <c r="B146" s="7" t="s">
        <v>44</v>
      </c>
      <c r="C146" s="10" t="s">
        <v>1172</v>
      </c>
      <c r="D146" s="7"/>
      <c r="E146" s="7" t="s">
        <v>1173</v>
      </c>
      <c r="F146" s="7" t="s">
        <v>17</v>
      </c>
      <c r="G146" s="7" t="s">
        <v>762</v>
      </c>
      <c r="H146" s="7" t="s">
        <v>2</v>
      </c>
      <c r="I146" s="7" t="s">
        <v>2</v>
      </c>
      <c r="J146" s="7" t="s">
        <v>763</v>
      </c>
    </row>
    <row r="147" spans="1:10" x14ac:dyDescent="0.25" outlineLevel="2" collapsed="1">
      <c r="A147" s="7" t="s">
        <v>15</v>
      </c>
      <c r="B147" s="7" t="s">
        <v>20</v>
      </c>
      <c r="C147" s="7" t="s">
        <v>2</v>
      </c>
      <c r="D147" s="7"/>
      <c r="E147" s="7" t="s">
        <v>1174</v>
      </c>
      <c r="F147" s="7" t="s">
        <v>17</v>
      </c>
      <c r="G147" s="7" t="s">
        <v>22</v>
      </c>
      <c r="H147" s="7" t="s">
        <v>2</v>
      </c>
      <c r="I147" s="7" t="s">
        <v>2</v>
      </c>
      <c r="J147" s="7" t="s">
        <v>1135</v>
      </c>
    </row>
    <row r="148" spans="1:10" x14ac:dyDescent="0.25" outlineLevel="2" collapsed="1">
      <c r="A148" s="8" t="s">
        <v>15</v>
      </c>
      <c r="B148" s="9" t="s">
        <v>1136</v>
      </c>
      <c r="C148" s="8" t="s">
        <v>2</v>
      </c>
      <c r="D148" s="8"/>
      <c r="E148" s="8" t="s">
        <v>1175</v>
      </c>
      <c r="F148" s="8" t="s">
        <v>15</v>
      </c>
      <c r="G148" s="8" t="s">
        <v>2</v>
      </c>
      <c r="H148" s="8" t="s">
        <v>2</v>
      </c>
      <c r="I148" s="8" t="s">
        <v>2</v>
      </c>
      <c r="J148" s="8" t="s">
        <v>1138</v>
      </c>
    </row>
    <row r="149" spans="1:10" x14ac:dyDescent="0.25" outlineLevel="3" collapsed="1">
      <c r="A149" s="7" t="s">
        <v>15</v>
      </c>
      <c r="B149" s="7" t="s">
        <v>20</v>
      </c>
      <c r="C149" s="7" t="s">
        <v>2</v>
      </c>
      <c r="D149" s="7"/>
      <c r="E149" s="7" t="s">
        <v>1139</v>
      </c>
      <c r="F149" s="7" t="s">
        <v>17</v>
      </c>
      <c r="G149" s="7" t="s">
        <v>22</v>
      </c>
      <c r="H149" s="7" t="s">
        <v>2</v>
      </c>
      <c r="I149" s="7" t="s">
        <v>2</v>
      </c>
      <c r="J149" s="7" t="s">
        <v>1140</v>
      </c>
    </row>
    <row r="150" spans="1:10" x14ac:dyDescent="0.25" outlineLevel="3" collapsed="1">
      <c r="A150" s="7" t="s">
        <v>15</v>
      </c>
      <c r="B150" s="7" t="s">
        <v>20</v>
      </c>
      <c r="C150" s="7" t="s">
        <v>2</v>
      </c>
      <c r="D150" s="7"/>
      <c r="E150" s="7" t="s">
        <v>1141</v>
      </c>
      <c r="F150" s="7" t="s">
        <v>17</v>
      </c>
      <c r="G150" s="7" t="s">
        <v>22</v>
      </c>
      <c r="H150" s="7" t="s">
        <v>2</v>
      </c>
      <c r="I150" s="7" t="s">
        <v>2</v>
      </c>
      <c r="J150" s="7" t="s">
        <v>1142</v>
      </c>
    </row>
    <row r="151" spans="1:10" x14ac:dyDescent="0.25" outlineLevel="3" collapsed="1">
      <c r="A151" s="7" t="s">
        <v>15</v>
      </c>
      <c r="B151" s="7" t="s">
        <v>20</v>
      </c>
      <c r="C151" s="7" t="s">
        <v>2</v>
      </c>
      <c r="D151" s="7"/>
      <c r="E151" s="7" t="s">
        <v>9</v>
      </c>
      <c r="F151" s="7" t="s">
        <v>17</v>
      </c>
      <c r="G151" s="7" t="s">
        <v>22</v>
      </c>
      <c r="H151" s="7" t="s">
        <v>2</v>
      </c>
      <c r="I151" s="7" t="s">
        <v>2</v>
      </c>
      <c r="J151" s="7" t="s">
        <v>1143</v>
      </c>
    </row>
    <row r="152" spans="1:10" x14ac:dyDescent="0.25" outlineLevel="3" collapsed="1">
      <c r="A152" s="7" t="s">
        <v>15</v>
      </c>
      <c r="B152" s="7" t="s">
        <v>20</v>
      </c>
      <c r="C152" s="7" t="s">
        <v>2</v>
      </c>
      <c r="D152" s="7"/>
      <c r="E152" s="7" t="s">
        <v>1144</v>
      </c>
      <c r="F152" s="7" t="s">
        <v>17</v>
      </c>
      <c r="G152" s="7" t="s">
        <v>22</v>
      </c>
      <c r="H152" s="7" t="s">
        <v>2</v>
      </c>
      <c r="I152" s="7" t="s">
        <v>2</v>
      </c>
      <c r="J152" s="7" t="s">
        <v>1145</v>
      </c>
    </row>
    <row r="153" spans="1:10" x14ac:dyDescent="0.25" outlineLevel="3" collapsed="1">
      <c r="A153" s="7" t="s">
        <v>15</v>
      </c>
      <c r="B153" s="7" t="s">
        <v>20</v>
      </c>
      <c r="C153" s="7" t="s">
        <v>2</v>
      </c>
      <c r="D153" s="7"/>
      <c r="E153" s="7" t="s">
        <v>1146</v>
      </c>
      <c r="F153" s="7" t="s">
        <v>17</v>
      </c>
      <c r="G153" s="7" t="s">
        <v>22</v>
      </c>
      <c r="H153" s="7" t="s">
        <v>2</v>
      </c>
      <c r="I153" s="7" t="s">
        <v>2</v>
      </c>
      <c r="J153" s="7" t="s">
        <v>1147</v>
      </c>
    </row>
    <row r="154" spans="1:10" x14ac:dyDescent="0.25" outlineLevel="3" collapsed="1">
      <c r="A154" s="7" t="s">
        <v>15</v>
      </c>
      <c r="B154" s="7" t="s">
        <v>20</v>
      </c>
      <c r="C154" s="7" t="s">
        <v>2</v>
      </c>
      <c r="D154" s="7"/>
      <c r="E154" s="7" t="s">
        <v>1148</v>
      </c>
      <c r="F154" s="7" t="s">
        <v>17</v>
      </c>
      <c r="G154" s="7" t="s">
        <v>22</v>
      </c>
      <c r="H154" s="7" t="s">
        <v>2</v>
      </c>
      <c r="I154" s="7" t="s">
        <v>2</v>
      </c>
      <c r="J154" s="7" t="s">
        <v>1149</v>
      </c>
    </row>
    <row r="155" spans="1:10" x14ac:dyDescent="0.25" outlineLevel="3" collapsed="1">
      <c r="A155" s="7" t="s">
        <v>15</v>
      </c>
      <c r="B155" s="7" t="s">
        <v>20</v>
      </c>
      <c r="C155" s="7" t="s">
        <v>2</v>
      </c>
      <c r="D155" s="7"/>
      <c r="E155" s="7" t="s">
        <v>1150</v>
      </c>
      <c r="F155" s="7" t="s">
        <v>17</v>
      </c>
      <c r="G155" s="7" t="s">
        <v>22</v>
      </c>
      <c r="H155" s="7" t="s">
        <v>2</v>
      </c>
      <c r="I155" s="7" t="s">
        <v>2</v>
      </c>
      <c r="J155" s="7" t="s">
        <v>1151</v>
      </c>
    </row>
    <row r="156" spans="1:10" x14ac:dyDescent="0.25" outlineLevel="3" collapsed="1">
      <c r="A156" s="7" t="s">
        <v>15</v>
      </c>
      <c r="B156" s="7" t="s">
        <v>20</v>
      </c>
      <c r="C156" s="7" t="s">
        <v>2</v>
      </c>
      <c r="D156" s="7"/>
      <c r="E156" s="7" t="s">
        <v>1152</v>
      </c>
      <c r="F156" s="7" t="s">
        <v>17</v>
      </c>
      <c r="G156" s="7" t="s">
        <v>22</v>
      </c>
      <c r="H156" s="7" t="s">
        <v>2</v>
      </c>
      <c r="I156" s="7" t="s">
        <v>2</v>
      </c>
      <c r="J156" s="7" t="s">
        <v>1153</v>
      </c>
    </row>
    <row r="157" spans="1:10" x14ac:dyDescent="0.25" outlineLevel="2" collapsed="1">
      <c r="A157" s="8" t="s">
        <v>15</v>
      </c>
      <c r="B157" s="9" t="s">
        <v>1154</v>
      </c>
      <c r="C157" s="8" t="s">
        <v>2</v>
      </c>
      <c r="D157" s="8"/>
      <c r="E157" s="8" t="s">
        <v>1155</v>
      </c>
      <c r="F157" s="8" t="s">
        <v>17</v>
      </c>
      <c r="G157" s="8" t="s">
        <v>2</v>
      </c>
      <c r="H157" s="8" t="s">
        <v>2</v>
      </c>
      <c r="I157" s="8" t="s">
        <v>2</v>
      </c>
      <c r="J157" s="8" t="s">
        <v>1156</v>
      </c>
    </row>
    <row r="158" spans="1:10" x14ac:dyDescent="0.25" outlineLevel="3" collapsed="1">
      <c r="A158" s="7" t="s">
        <v>15</v>
      </c>
      <c r="B158" s="7" t="s">
        <v>133</v>
      </c>
      <c r="C158" s="7" t="s">
        <v>885</v>
      </c>
      <c r="D158" s="7"/>
      <c r="E158" s="7" t="s">
        <v>1157</v>
      </c>
      <c r="F158" s="7" t="s">
        <v>17</v>
      </c>
      <c r="G158" s="7" t="s">
        <v>1176</v>
      </c>
      <c r="H158" s="7" t="s">
        <v>2</v>
      </c>
      <c r="I158" s="7" t="s">
        <v>2</v>
      </c>
      <c r="J158" s="7" t="s">
        <v>888</v>
      </c>
    </row>
    <row r="159" spans="1:10" x14ac:dyDescent="0.25" outlineLevel="3" collapsed="1">
      <c r="A159" s="7" t="s">
        <v>15</v>
      </c>
      <c r="B159" s="7" t="s">
        <v>53</v>
      </c>
      <c r="C159" s="7" t="s">
        <v>2</v>
      </c>
      <c r="D159" s="7"/>
      <c r="E159" s="7" t="s">
        <v>1159</v>
      </c>
      <c r="F159" s="7" t="s">
        <v>17</v>
      </c>
      <c r="G159" s="7">
        <v>1</v>
      </c>
      <c r="H159" s="7" t="s">
        <v>2</v>
      </c>
      <c r="I159" s="7" t="s">
        <v>2</v>
      </c>
      <c r="J159" s="7" t="s">
        <v>1160</v>
      </c>
    </row>
    <row r="160" spans="1:10" x14ac:dyDescent="0.25" outlineLevel="3" collapsed="1">
      <c r="A160" s="7" t="s">
        <v>15</v>
      </c>
      <c r="B160" s="7" t="s">
        <v>53</v>
      </c>
      <c r="C160" s="7" t="s">
        <v>2</v>
      </c>
      <c r="D160" s="7"/>
      <c r="E160" s="7" t="s">
        <v>1161</v>
      </c>
      <c r="F160" s="7" t="s">
        <v>17</v>
      </c>
      <c r="G160" s="7">
        <v>1</v>
      </c>
      <c r="H160" s="7" t="s">
        <v>2</v>
      </c>
      <c r="I160" s="7" t="s">
        <v>2</v>
      </c>
      <c r="J160" s="7" t="s">
        <v>1162</v>
      </c>
    </row>
    <row r="161" spans="1:10" x14ac:dyDescent="0.25" outlineLevel="3" collapsed="1">
      <c r="A161" s="7" t="s">
        <v>15</v>
      </c>
      <c r="B161" s="7" t="s">
        <v>53</v>
      </c>
      <c r="C161" s="7" t="s">
        <v>2</v>
      </c>
      <c r="D161" s="7"/>
      <c r="E161" s="7" t="s">
        <v>1163</v>
      </c>
      <c r="F161" s="7" t="s">
        <v>17</v>
      </c>
      <c r="G161" s="7">
        <v>1</v>
      </c>
      <c r="H161" s="7" t="s">
        <v>2</v>
      </c>
      <c r="I161" s="7" t="s">
        <v>2</v>
      </c>
      <c r="J161" s="7" t="s">
        <v>1164</v>
      </c>
    </row>
    <row r="162" spans="1:10" x14ac:dyDescent="0.25" outlineLevel="3" collapsed="1">
      <c r="A162" s="7" t="s">
        <v>15</v>
      </c>
      <c r="B162" s="7" t="s">
        <v>20</v>
      </c>
      <c r="C162" s="7" t="s">
        <v>2</v>
      </c>
      <c r="D162" s="7"/>
      <c r="E162" s="7" t="s">
        <v>1165</v>
      </c>
      <c r="F162" s="7" t="s">
        <v>17</v>
      </c>
      <c r="G162" s="7" t="s">
        <v>22</v>
      </c>
      <c r="H162" s="7" t="s">
        <v>2</v>
      </c>
      <c r="I162" s="7" t="s">
        <v>2</v>
      </c>
      <c r="J162" s="7" t="s">
        <v>1166</v>
      </c>
    </row>
    <row r="163" spans="1:10" x14ac:dyDescent="0.25" outlineLevel="3" collapsed="1">
      <c r="A163" s="7" t="s">
        <v>15</v>
      </c>
      <c r="B163" s="7" t="s">
        <v>194</v>
      </c>
      <c r="C163" s="7" t="s">
        <v>2</v>
      </c>
      <c r="D163" s="7"/>
      <c r="E163" s="7" t="s">
        <v>1167</v>
      </c>
      <c r="F163" s="7" t="s">
        <v>17</v>
      </c>
      <c r="G163" s="7">
        <v>1</v>
      </c>
      <c r="H163" s="7" t="s">
        <v>2</v>
      </c>
      <c r="I163" s="7" t="s">
        <v>2</v>
      </c>
      <c r="J163" s="7" t="s">
        <v>1168</v>
      </c>
    </row>
    <row r="164" spans="1:10" x14ac:dyDescent="0.25">
      <c r="A164" s="5" t="s">
        <v>15</v>
      </c>
      <c r="B164" s="6" t="s">
        <v>1177</v>
      </c>
      <c r="C164" s="5" t="s">
        <v>2</v>
      </c>
      <c r="D164" s="5"/>
      <c r="E164" s="5" t="s">
        <v>1178</v>
      </c>
      <c r="F164" s="5" t="s">
        <v>17</v>
      </c>
      <c r="G164" s="5" t="s">
        <v>1179</v>
      </c>
      <c r="H164" s="5" t="s">
        <v>2</v>
      </c>
      <c r="I164" s="5" t="s">
        <v>2</v>
      </c>
      <c r="J164" s="5" t="s">
        <v>400</v>
      </c>
    </row>
    <row r="165" spans="1:10" x14ac:dyDescent="0.25" outlineLevel="1" collapsed="1">
      <c r="A165" s="7" t="s">
        <v>15</v>
      </c>
      <c r="B165" s="7" t="s">
        <v>44</v>
      </c>
      <c r="C165" s="10" t="s">
        <v>1180</v>
      </c>
      <c r="D165" s="7"/>
      <c r="E165" s="7" t="s">
        <v>1181</v>
      </c>
      <c r="F165" s="7" t="s">
        <v>17</v>
      </c>
      <c r="G165" s="7" t="s">
        <v>1182</v>
      </c>
      <c r="H165" s="7" t="s">
        <v>2</v>
      </c>
      <c r="I165" s="7" t="s">
        <v>2</v>
      </c>
      <c r="J165" s="7" t="s">
        <v>1183</v>
      </c>
    </row>
    <row r="166" spans="1:10" x14ac:dyDescent="0.25" outlineLevel="1" collapsed="1">
      <c r="A166" s="7" t="s">
        <v>15</v>
      </c>
      <c r="B166" s="7" t="s">
        <v>20</v>
      </c>
      <c r="C166" s="7" t="s">
        <v>2</v>
      </c>
      <c r="D166" s="7"/>
      <c r="E166" s="7" t="s">
        <v>1184</v>
      </c>
      <c r="F166" s="7" t="s">
        <v>17</v>
      </c>
      <c r="G166" s="7" t="s">
        <v>22</v>
      </c>
      <c r="H166" s="7" t="s">
        <v>2</v>
      </c>
      <c r="I166" s="7" t="s">
        <v>2</v>
      </c>
      <c r="J166" s="7" t="s">
        <v>1185</v>
      </c>
    </row>
    <row r="167" spans="1:10" x14ac:dyDescent="0.25" outlineLevel="1" collapsed="1">
      <c r="A167" s="7" t="s">
        <v>15</v>
      </c>
      <c r="B167" s="7" t="s">
        <v>20</v>
      </c>
      <c r="C167" s="7" t="s">
        <v>2</v>
      </c>
      <c r="D167" s="7"/>
      <c r="E167" s="7" t="s">
        <v>1186</v>
      </c>
      <c r="F167" s="7" t="s">
        <v>17</v>
      </c>
      <c r="G167" s="7" t="s">
        <v>22</v>
      </c>
      <c r="H167" s="7" t="s">
        <v>2</v>
      </c>
      <c r="I167" s="7" t="s">
        <v>2</v>
      </c>
      <c r="J167" s="7" t="s">
        <v>1187</v>
      </c>
    </row>
    <row r="168" spans="1:10" x14ac:dyDescent="0.25" outlineLevel="1" collapsed="1">
      <c r="A168" s="7" t="s">
        <v>15</v>
      </c>
      <c r="B168" s="7" t="s">
        <v>20</v>
      </c>
      <c r="C168" s="7" t="s">
        <v>2</v>
      </c>
      <c r="D168" s="7"/>
      <c r="E168" s="7" t="s">
        <v>1188</v>
      </c>
      <c r="F168" s="7" t="s">
        <v>17</v>
      </c>
      <c r="G168" s="7" t="s">
        <v>22</v>
      </c>
      <c r="H168" s="7" t="s">
        <v>2</v>
      </c>
      <c r="I168" s="7" t="s">
        <v>2</v>
      </c>
      <c r="J168" s="7" t="s">
        <v>1189</v>
      </c>
    </row>
    <row r="169" spans="1:10" x14ac:dyDescent="0.25" outlineLevel="1" collapsed="1">
      <c r="A169" s="7" t="s">
        <v>15</v>
      </c>
      <c r="B169" s="7" t="s">
        <v>20</v>
      </c>
      <c r="C169" s="7" t="s">
        <v>2</v>
      </c>
      <c r="D169" s="7"/>
      <c r="E169" s="7" t="s">
        <v>1190</v>
      </c>
      <c r="F169" s="7" t="s">
        <v>17</v>
      </c>
      <c r="G169" s="7" t="s">
        <v>22</v>
      </c>
      <c r="H169" s="7" t="s">
        <v>2</v>
      </c>
      <c r="I169" s="7" t="s">
        <v>2</v>
      </c>
      <c r="J169" s="7" t="s">
        <v>1191</v>
      </c>
    </row>
    <row r="170" spans="1:10" x14ac:dyDescent="0.25" outlineLevel="1" collapsed="1">
      <c r="A170" s="7" t="s">
        <v>17</v>
      </c>
      <c r="B170" s="7" t="s">
        <v>125</v>
      </c>
      <c r="C170" s="7" t="s">
        <v>2</v>
      </c>
      <c r="D170" s="7"/>
      <c r="E170" s="7" t="s">
        <v>1192</v>
      </c>
      <c r="F170" s="7" t="s">
        <v>17</v>
      </c>
      <c r="G170" s="7" t="s">
        <v>1193</v>
      </c>
      <c r="H170" s="7" t="s">
        <v>2</v>
      </c>
      <c r="I170" s="7" t="s">
        <v>2</v>
      </c>
      <c r="J170" s="7" t="s">
        <v>1194</v>
      </c>
    </row>
    <row r="171" spans="1:10" x14ac:dyDescent="0.25" outlineLevel="1" collapsed="1">
      <c r="A171" s="7" t="s">
        <v>17</v>
      </c>
      <c r="B171" s="7" t="s">
        <v>133</v>
      </c>
      <c r="C171" s="7" t="s">
        <v>1195</v>
      </c>
      <c r="D171" s="7">
        <f>EXACT(G165,"Other (Specify)")</f>
      </c>
      <c r="E171" s="7" t="s">
        <v>1196</v>
      </c>
      <c r="F171" s="7" t="s">
        <v>17</v>
      </c>
      <c r="G171" s="7" t="s">
        <v>1197</v>
      </c>
      <c r="H171" s="7" t="s">
        <v>2</v>
      </c>
      <c r="I171" s="7" t="s">
        <v>2</v>
      </c>
      <c r="J171" s="7" t="s">
        <v>1198</v>
      </c>
    </row>
    <row r="172" spans="1:10" x14ac:dyDescent="0.25">
      <c r="A172" s="5" t="s">
        <v>15</v>
      </c>
      <c r="B172" s="6" t="s">
        <v>1199</v>
      </c>
      <c r="C172" s="5" t="s">
        <v>2</v>
      </c>
      <c r="D172" s="5"/>
      <c r="E172" s="5" t="s">
        <v>1200</v>
      </c>
      <c r="F172" s="5" t="s">
        <v>17</v>
      </c>
      <c r="G172" s="5" t="s">
        <v>1201</v>
      </c>
      <c r="H172" s="5" t="s">
        <v>2</v>
      </c>
      <c r="I172" s="5" t="s">
        <v>2</v>
      </c>
      <c r="J172" s="5" t="s">
        <v>1202</v>
      </c>
    </row>
    <row r="173" spans="1:10" x14ac:dyDescent="0.25" outlineLevel="1" collapsed="1">
      <c r="A173" s="7" t="s">
        <v>15</v>
      </c>
      <c r="B173" s="7" t="s">
        <v>26</v>
      </c>
      <c r="C173" s="7" t="s">
        <v>2</v>
      </c>
      <c r="D173" s="7"/>
      <c r="E173" s="7" t="s">
        <v>1203</v>
      </c>
      <c r="F173" s="7" t="s">
        <v>17</v>
      </c>
      <c r="G173" s="7" t="s">
        <v>37</v>
      </c>
      <c r="H173" s="7" t="s">
        <v>2</v>
      </c>
      <c r="I173" s="7" t="s">
        <v>2</v>
      </c>
      <c r="J173" s="7" t="s">
        <v>739</v>
      </c>
    </row>
    <row r="174" spans="1:10" x14ac:dyDescent="0.25" outlineLevel="1" collapsed="1">
      <c r="A174" s="8" t="s">
        <v>15</v>
      </c>
      <c r="B174" s="9" t="s">
        <v>1204</v>
      </c>
      <c r="C174" s="8" t="s">
        <v>2</v>
      </c>
      <c r="D174" s="8"/>
      <c r="E174" s="8" t="s">
        <v>1205</v>
      </c>
      <c r="F174" s="8" t="s">
        <v>17</v>
      </c>
      <c r="G174" s="8" t="s">
        <v>2</v>
      </c>
      <c r="H174" s="8" t="s">
        <v>2</v>
      </c>
      <c r="I174" s="8" t="s">
        <v>2</v>
      </c>
      <c r="J174" s="8" t="s">
        <v>903</v>
      </c>
    </row>
    <row r="175" spans="1:10" x14ac:dyDescent="0.25" outlineLevel="2" collapsed="1">
      <c r="A175" s="7" t="s">
        <v>15</v>
      </c>
      <c r="B175" s="7" t="s">
        <v>26</v>
      </c>
      <c r="C175" s="7" t="s">
        <v>2</v>
      </c>
      <c r="D175" s="7"/>
      <c r="E175" s="7" t="s">
        <v>36</v>
      </c>
      <c r="F175" s="7" t="s">
        <v>17</v>
      </c>
      <c r="G175" s="7" t="s">
        <v>37</v>
      </c>
      <c r="H175" s="7" t="s">
        <v>2</v>
      </c>
      <c r="I175" s="7" t="s">
        <v>2</v>
      </c>
      <c r="J175" s="7" t="s">
        <v>1206</v>
      </c>
    </row>
    <row r="176" spans="1:10" x14ac:dyDescent="0.25" outlineLevel="2" collapsed="1">
      <c r="A176" s="7" t="s">
        <v>15</v>
      </c>
      <c r="B176" s="7" t="s">
        <v>26</v>
      </c>
      <c r="C176" s="7" t="s">
        <v>2</v>
      </c>
      <c r="D176" s="7"/>
      <c r="E176" s="7" t="s">
        <v>39</v>
      </c>
      <c r="F176" s="7" t="s">
        <v>17</v>
      </c>
      <c r="G176" s="7" t="s">
        <v>37</v>
      </c>
      <c r="H176" s="7" t="s">
        <v>2</v>
      </c>
      <c r="I176" s="7" t="s">
        <v>2</v>
      </c>
      <c r="J176" s="7" t="s">
        <v>1207</v>
      </c>
    </row>
    <row r="177" spans="1:10" x14ac:dyDescent="0.25" outlineLevel="1" collapsed="1">
      <c r="A177" s="7" t="s">
        <v>17</v>
      </c>
      <c r="B177" s="7" t="s">
        <v>20</v>
      </c>
      <c r="C177" s="7" t="s">
        <v>2</v>
      </c>
      <c r="D177" s="7" t="s">
        <v>506</v>
      </c>
      <c r="E177" s="7" t="s">
        <v>1208</v>
      </c>
      <c r="F177" s="7" t="s">
        <v>17</v>
      </c>
      <c r="G177" s="7" t="s">
        <v>22</v>
      </c>
      <c r="H177" s="7" t="s">
        <v>2</v>
      </c>
      <c r="I177" s="7" t="s">
        <v>2</v>
      </c>
      <c r="J177" s="7" t="s">
        <v>909</v>
      </c>
    </row>
    <row r="178" spans="1:10" x14ac:dyDescent="0.25" outlineLevel="1" collapsed="1">
      <c r="A178" s="7" t="s">
        <v>15</v>
      </c>
      <c r="B178" s="7" t="s">
        <v>44</v>
      </c>
      <c r="C178" s="10" t="s">
        <v>1209</v>
      </c>
      <c r="D178" s="7"/>
      <c r="E178" s="7" t="s">
        <v>1210</v>
      </c>
      <c r="F178" s="7" t="s">
        <v>17</v>
      </c>
      <c r="G178" s="7" t="s">
        <v>906</v>
      </c>
      <c r="H178" s="7" t="s">
        <v>2</v>
      </c>
      <c r="I178" s="7" t="s">
        <v>2</v>
      </c>
      <c r="J178" s="7" t="s">
        <v>907</v>
      </c>
    </row>
    <row r="179" spans="1:10" x14ac:dyDescent="0.25">
      <c r="A179" s="5" t="s">
        <v>15</v>
      </c>
      <c r="B179" s="6" t="s">
        <v>1211</v>
      </c>
      <c r="C179" s="5" t="s">
        <v>2</v>
      </c>
      <c r="D179" s="5"/>
      <c r="E179" s="5" t="s">
        <v>1212</v>
      </c>
      <c r="F179" s="5" t="s">
        <v>17</v>
      </c>
      <c r="G179" s="5" t="s">
        <v>1213</v>
      </c>
      <c r="H179" s="5" t="s">
        <v>2</v>
      </c>
      <c r="I179" s="5" t="s">
        <v>2</v>
      </c>
      <c r="J179" s="5" t="s">
        <v>1214</v>
      </c>
    </row>
    <row r="180" spans="1:10" x14ac:dyDescent="0.25" outlineLevel="1" collapsed="1">
      <c r="A180" s="7" t="s">
        <v>15</v>
      </c>
      <c r="B180" s="7" t="s">
        <v>194</v>
      </c>
      <c r="C180" s="7" t="s">
        <v>2</v>
      </c>
      <c r="D180" s="7"/>
      <c r="E180" s="7" t="s">
        <v>1215</v>
      </c>
      <c r="F180" s="7" t="s">
        <v>17</v>
      </c>
      <c r="G180" s="7">
        <v>1</v>
      </c>
      <c r="H180" s="7" t="s">
        <v>2</v>
      </c>
      <c r="I180" s="7" t="s">
        <v>2</v>
      </c>
      <c r="J180" s="7" t="s">
        <v>1216</v>
      </c>
    </row>
    <row r="181" spans="1:10" x14ac:dyDescent="0.25" outlineLevel="1" collapsed="1">
      <c r="A181" s="7" t="s">
        <v>15</v>
      </c>
      <c r="B181" s="7" t="s">
        <v>194</v>
      </c>
      <c r="C181" s="7" t="s">
        <v>2</v>
      </c>
      <c r="D181" s="7"/>
      <c r="E181" s="7" t="s">
        <v>1217</v>
      </c>
      <c r="F181" s="7" t="s">
        <v>17</v>
      </c>
      <c r="G181" s="7">
        <v>1</v>
      </c>
      <c r="H181" s="7" t="s">
        <v>2</v>
      </c>
      <c r="I181" s="7" t="s">
        <v>2</v>
      </c>
      <c r="J181" s="7" t="s">
        <v>1218</v>
      </c>
    </row>
    <row r="182" spans="1:10" x14ac:dyDescent="0.25" outlineLevel="1" collapsed="1">
      <c r="A182" s="7" t="s">
        <v>15</v>
      </c>
      <c r="B182" s="7" t="s">
        <v>47</v>
      </c>
      <c r="C182" s="7" t="s">
        <v>2</v>
      </c>
      <c r="D182" s="7"/>
      <c r="E182" s="7" t="s">
        <v>1219</v>
      </c>
      <c r="F182" s="7" t="s">
        <v>17</v>
      </c>
      <c r="G182" s="7" t="b">
        <v>1</v>
      </c>
      <c r="H182" s="7" t="s">
        <v>2</v>
      </c>
      <c r="I182" s="7" t="s">
        <v>2</v>
      </c>
      <c r="J182" s="7" t="s">
        <v>1220</v>
      </c>
    </row>
    <row r="183" spans="1:10" x14ac:dyDescent="0.25" outlineLevel="1" collapsed="1">
      <c r="A183" s="7" t="s">
        <v>15</v>
      </c>
      <c r="B183" s="7" t="s">
        <v>47</v>
      </c>
      <c r="C183" s="7" t="s">
        <v>2</v>
      </c>
      <c r="D183" s="7"/>
      <c r="E183" s="7" t="s">
        <v>1221</v>
      </c>
      <c r="F183" s="7" t="s">
        <v>17</v>
      </c>
      <c r="G183" s="7" t="b">
        <v>1</v>
      </c>
      <c r="H183" s="7" t="s">
        <v>2</v>
      </c>
      <c r="I183" s="7" t="s">
        <v>2</v>
      </c>
      <c r="J183" s="7" t="s">
        <v>1222</v>
      </c>
    </row>
    <row r="184" spans="1:10" x14ac:dyDescent="0.25" outlineLevel="1" collapsed="1">
      <c r="A184" s="7" t="s">
        <v>15</v>
      </c>
      <c r="B184" s="7" t="s">
        <v>20</v>
      </c>
      <c r="C184" s="7" t="s">
        <v>2</v>
      </c>
      <c r="D184" s="7"/>
      <c r="E184" s="7" t="s">
        <v>1223</v>
      </c>
      <c r="F184" s="7" t="s">
        <v>17</v>
      </c>
      <c r="G184" s="7" t="s">
        <v>22</v>
      </c>
      <c r="H184" s="7" t="s">
        <v>2</v>
      </c>
      <c r="I184" s="7" t="s">
        <v>2</v>
      </c>
      <c r="J184" s="7" t="s">
        <v>1224</v>
      </c>
    </row>
    <row r="185" spans="1:10" x14ac:dyDescent="0.25" outlineLevel="1" collapsed="1">
      <c r="A185" s="8" t="s">
        <v>15</v>
      </c>
      <c r="B185" s="9" t="s">
        <v>1225</v>
      </c>
      <c r="C185" s="8" t="s">
        <v>2</v>
      </c>
      <c r="D185" s="8"/>
      <c r="E185" s="8" t="s">
        <v>1226</v>
      </c>
      <c r="F185" s="8" t="s">
        <v>17</v>
      </c>
      <c r="G185" s="8" t="s">
        <v>2</v>
      </c>
      <c r="H185" s="8" t="s">
        <v>2</v>
      </c>
      <c r="I185" s="8" t="s">
        <v>2</v>
      </c>
      <c r="J185" s="8" t="s">
        <v>1227</v>
      </c>
    </row>
    <row r="186" spans="1:10" x14ac:dyDescent="0.25" outlineLevel="2" collapsed="1">
      <c r="A186" s="8" t="s">
        <v>15</v>
      </c>
      <c r="B186" s="9" t="s">
        <v>1228</v>
      </c>
      <c r="C186" s="8" t="s">
        <v>2</v>
      </c>
      <c r="D186" s="8"/>
      <c r="E186" s="8" t="s">
        <v>1228</v>
      </c>
      <c r="F186" s="8" t="s">
        <v>15</v>
      </c>
      <c r="G186" s="8" t="s">
        <v>2</v>
      </c>
      <c r="H186" s="8" t="s">
        <v>2</v>
      </c>
      <c r="I186" s="8" t="s">
        <v>2</v>
      </c>
      <c r="J186" s="8" t="s">
        <v>1229</v>
      </c>
    </row>
    <row r="187" spans="1:10" x14ac:dyDescent="0.25" outlineLevel="3" collapsed="1">
      <c r="A187" s="7" t="s">
        <v>15</v>
      </c>
      <c r="B187" s="7" t="s">
        <v>20</v>
      </c>
      <c r="C187" s="7" t="s">
        <v>2</v>
      </c>
      <c r="D187" s="7"/>
      <c r="E187" s="7" t="s">
        <v>1228</v>
      </c>
      <c r="F187" s="7" t="s">
        <v>17</v>
      </c>
      <c r="G187" s="7" t="s">
        <v>22</v>
      </c>
      <c r="H187" s="7" t="s">
        <v>2</v>
      </c>
      <c r="I187" s="7" t="s">
        <v>2</v>
      </c>
      <c r="J187" s="7" t="s">
        <v>1230</v>
      </c>
    </row>
    <row r="188" spans="1:10" x14ac:dyDescent="0.25" outlineLevel="3" collapsed="1">
      <c r="A188" s="8" t="s">
        <v>15</v>
      </c>
      <c r="B188" s="9" t="s">
        <v>1231</v>
      </c>
      <c r="C188" s="8" t="s">
        <v>2</v>
      </c>
      <c r="D188" s="8"/>
      <c r="E188" s="8" t="s">
        <v>1232</v>
      </c>
      <c r="F188" s="8" t="s">
        <v>15</v>
      </c>
      <c r="G188" s="8" t="s">
        <v>2</v>
      </c>
      <c r="H188" s="8" t="s">
        <v>2</v>
      </c>
      <c r="I188" s="8" t="s">
        <v>2</v>
      </c>
      <c r="J188" s="8" t="s">
        <v>1233</v>
      </c>
    </row>
    <row r="189" spans="1:10" x14ac:dyDescent="0.25" outlineLevel="4" collapsed="1">
      <c r="A189" s="7" t="s">
        <v>15</v>
      </c>
      <c r="B189" s="7" t="s">
        <v>20</v>
      </c>
      <c r="C189" s="7" t="s">
        <v>2</v>
      </c>
      <c r="D189" s="7"/>
      <c r="E189" s="7" t="s">
        <v>1234</v>
      </c>
      <c r="F189" s="7" t="s">
        <v>17</v>
      </c>
      <c r="G189" s="7" t="s">
        <v>22</v>
      </c>
      <c r="H189" s="7" t="s">
        <v>2</v>
      </c>
      <c r="I189" s="7" t="s">
        <v>2</v>
      </c>
      <c r="J189" s="7" t="s">
        <v>1235</v>
      </c>
    </row>
    <row r="190" spans="1:10" x14ac:dyDescent="0.25" outlineLevel="4" collapsed="1">
      <c r="A190" s="7" t="s">
        <v>15</v>
      </c>
      <c r="B190" s="7" t="s">
        <v>47</v>
      </c>
      <c r="C190" s="7" t="s">
        <v>2</v>
      </c>
      <c r="D190" s="7"/>
      <c r="E190" s="7" t="s">
        <v>1236</v>
      </c>
      <c r="F190" s="7" t="s">
        <v>17</v>
      </c>
      <c r="G190" s="7" t="b">
        <v>1</v>
      </c>
      <c r="H190" s="7" t="s">
        <v>2</v>
      </c>
      <c r="I190" s="7" t="s">
        <v>2</v>
      </c>
      <c r="J190" s="7" t="s">
        <v>1237</v>
      </c>
    </row>
    <row r="191" spans="1:10" x14ac:dyDescent="0.25" outlineLevel="4" collapsed="1">
      <c r="A191" s="7" t="s">
        <v>15</v>
      </c>
      <c r="B191" s="7" t="s">
        <v>20</v>
      </c>
      <c r="C191" s="7" t="s">
        <v>2</v>
      </c>
      <c r="D191" s="7"/>
      <c r="E191" s="7" t="s">
        <v>1238</v>
      </c>
      <c r="F191" s="7" t="s">
        <v>17</v>
      </c>
      <c r="G191" s="7" t="s">
        <v>22</v>
      </c>
      <c r="H191" s="7" t="s">
        <v>2</v>
      </c>
      <c r="I191" s="7" t="s">
        <v>2</v>
      </c>
      <c r="J191" s="7" t="s">
        <v>1239</v>
      </c>
    </row>
    <row r="192" spans="1:10" x14ac:dyDescent="0.25" outlineLevel="1" collapsed="1">
      <c r="A192" s="8" t="s">
        <v>15</v>
      </c>
      <c r="B192" s="9" t="s">
        <v>1240</v>
      </c>
      <c r="C192" s="8" t="s">
        <v>2</v>
      </c>
      <c r="D192" s="8"/>
      <c r="E192" s="8" t="s">
        <v>1241</v>
      </c>
      <c r="F192" s="8" t="s">
        <v>17</v>
      </c>
      <c r="G192" s="8" t="s">
        <v>2</v>
      </c>
      <c r="H192" s="8" t="s">
        <v>2</v>
      </c>
      <c r="I192" s="8" t="s">
        <v>2</v>
      </c>
      <c r="J192" s="8" t="s">
        <v>1242</v>
      </c>
    </row>
    <row r="193" spans="1:10" x14ac:dyDescent="0.25" outlineLevel="2" collapsed="1">
      <c r="A193" s="8" t="s">
        <v>15</v>
      </c>
      <c r="B193" s="9" t="s">
        <v>1228</v>
      </c>
      <c r="C193" s="8" t="s">
        <v>2</v>
      </c>
      <c r="D193" s="8"/>
      <c r="E193" s="8" t="s">
        <v>1228</v>
      </c>
      <c r="F193" s="8" t="s">
        <v>15</v>
      </c>
      <c r="G193" s="8" t="s">
        <v>2</v>
      </c>
      <c r="H193" s="8" t="s">
        <v>2</v>
      </c>
      <c r="I193" s="8" t="s">
        <v>2</v>
      </c>
      <c r="J193" s="8" t="s">
        <v>1243</v>
      </c>
    </row>
    <row r="194" spans="1:10" x14ac:dyDescent="0.25" outlineLevel="3" collapsed="1">
      <c r="A194" s="7" t="s">
        <v>15</v>
      </c>
      <c r="B194" s="7" t="s">
        <v>20</v>
      </c>
      <c r="C194" s="7" t="s">
        <v>2</v>
      </c>
      <c r="D194" s="7"/>
      <c r="E194" s="7" t="s">
        <v>1228</v>
      </c>
      <c r="F194" s="7" t="s">
        <v>17</v>
      </c>
      <c r="G194" s="7" t="s">
        <v>22</v>
      </c>
      <c r="H194" s="7" t="s">
        <v>2</v>
      </c>
      <c r="I194" s="7" t="s">
        <v>2</v>
      </c>
      <c r="J194" s="7" t="s">
        <v>1230</v>
      </c>
    </row>
    <row r="195" spans="1:10" x14ac:dyDescent="0.25" outlineLevel="3" collapsed="1">
      <c r="A195" s="8" t="s">
        <v>15</v>
      </c>
      <c r="B195" s="9" t="s">
        <v>1231</v>
      </c>
      <c r="C195" s="8" t="s">
        <v>2</v>
      </c>
      <c r="D195" s="8"/>
      <c r="E195" s="8" t="s">
        <v>1232</v>
      </c>
      <c r="F195" s="8" t="s">
        <v>15</v>
      </c>
      <c r="G195" s="8" t="s">
        <v>2</v>
      </c>
      <c r="H195" s="8" t="s">
        <v>2</v>
      </c>
      <c r="I195" s="8" t="s">
        <v>2</v>
      </c>
      <c r="J195" s="8" t="s">
        <v>1233</v>
      </c>
    </row>
    <row r="196" spans="1:10" x14ac:dyDescent="0.25" outlineLevel="4" collapsed="1">
      <c r="A196" s="7" t="s">
        <v>15</v>
      </c>
      <c r="B196" s="7" t="s">
        <v>20</v>
      </c>
      <c r="C196" s="7" t="s">
        <v>2</v>
      </c>
      <c r="D196" s="7"/>
      <c r="E196" s="7" t="s">
        <v>1234</v>
      </c>
      <c r="F196" s="7" t="s">
        <v>17</v>
      </c>
      <c r="G196" s="7" t="s">
        <v>22</v>
      </c>
      <c r="H196" s="7" t="s">
        <v>2</v>
      </c>
      <c r="I196" s="7" t="s">
        <v>2</v>
      </c>
      <c r="J196" s="7" t="s">
        <v>1235</v>
      </c>
    </row>
    <row r="197" spans="1:10" x14ac:dyDescent="0.25" outlineLevel="4" collapsed="1">
      <c r="A197" s="7" t="s">
        <v>15</v>
      </c>
      <c r="B197" s="7" t="s">
        <v>47</v>
      </c>
      <c r="C197" s="7" t="s">
        <v>2</v>
      </c>
      <c r="D197" s="7"/>
      <c r="E197" s="7" t="s">
        <v>1236</v>
      </c>
      <c r="F197" s="7" t="s">
        <v>17</v>
      </c>
      <c r="G197" s="7" t="b">
        <v>1</v>
      </c>
      <c r="H197" s="7" t="s">
        <v>2</v>
      </c>
      <c r="I197" s="7" t="s">
        <v>2</v>
      </c>
      <c r="J197" s="7" t="s">
        <v>1237</v>
      </c>
    </row>
    <row r="198" spans="1:10" x14ac:dyDescent="0.25" outlineLevel="4" collapsed="1">
      <c r="A198" s="7" t="s">
        <v>15</v>
      </c>
      <c r="B198" s="7" t="s">
        <v>20</v>
      </c>
      <c r="C198" s="7" t="s">
        <v>2</v>
      </c>
      <c r="D198" s="7"/>
      <c r="E198" s="7" t="s">
        <v>1238</v>
      </c>
      <c r="F198" s="7" t="s">
        <v>17</v>
      </c>
      <c r="G198" s="7" t="s">
        <v>22</v>
      </c>
      <c r="H198" s="7" t="s">
        <v>2</v>
      </c>
      <c r="I198" s="7" t="s">
        <v>2</v>
      </c>
      <c r="J198" s="7" t="s">
        <v>1239</v>
      </c>
    </row>
    <row r="199" spans="1:10" x14ac:dyDescent="0.25" outlineLevel="1" collapsed="1">
      <c r="A199" s="8" t="s">
        <v>15</v>
      </c>
      <c r="B199" s="9" t="s">
        <v>1244</v>
      </c>
      <c r="C199" s="8" t="s">
        <v>2</v>
      </c>
      <c r="D199" s="8"/>
      <c r="E199" s="8" t="s">
        <v>1245</v>
      </c>
      <c r="F199" s="8" t="s">
        <v>17</v>
      </c>
      <c r="G199" s="8" t="s">
        <v>1246</v>
      </c>
      <c r="H199" s="8" t="s">
        <v>2</v>
      </c>
      <c r="I199" s="8" t="s">
        <v>2</v>
      </c>
      <c r="J199" s="8" t="s">
        <v>1247</v>
      </c>
    </row>
    <row r="200" spans="1:10" x14ac:dyDescent="0.25" outlineLevel="2" collapsed="1">
      <c r="A200" s="8" t="s">
        <v>15</v>
      </c>
      <c r="B200" s="9" t="s">
        <v>1228</v>
      </c>
      <c r="C200" s="8" t="s">
        <v>2</v>
      </c>
      <c r="D200" s="8"/>
      <c r="E200" s="8" t="s">
        <v>1228</v>
      </c>
      <c r="F200" s="8" t="s">
        <v>15</v>
      </c>
      <c r="G200" s="8" t="s">
        <v>2</v>
      </c>
      <c r="H200" s="8" t="s">
        <v>2</v>
      </c>
      <c r="I200" s="8" t="s">
        <v>2</v>
      </c>
      <c r="J200" s="8" t="s">
        <v>1229</v>
      </c>
    </row>
    <row r="201" spans="1:10" x14ac:dyDescent="0.25" outlineLevel="3" collapsed="1">
      <c r="A201" s="7" t="s">
        <v>15</v>
      </c>
      <c r="B201" s="7" t="s">
        <v>20</v>
      </c>
      <c r="C201" s="7" t="s">
        <v>2</v>
      </c>
      <c r="D201" s="7"/>
      <c r="E201" s="7" t="s">
        <v>1228</v>
      </c>
      <c r="F201" s="7" t="s">
        <v>17</v>
      </c>
      <c r="G201" s="7" t="s">
        <v>22</v>
      </c>
      <c r="H201" s="7" t="s">
        <v>2</v>
      </c>
      <c r="I201" s="7" t="s">
        <v>2</v>
      </c>
      <c r="J201" s="7" t="s">
        <v>1230</v>
      </c>
    </row>
    <row r="202" spans="1:10" x14ac:dyDescent="0.25" outlineLevel="3" collapsed="1">
      <c r="A202" s="8" t="s">
        <v>15</v>
      </c>
      <c r="B202" s="9" t="s">
        <v>1231</v>
      </c>
      <c r="C202" s="8" t="s">
        <v>2</v>
      </c>
      <c r="D202" s="8"/>
      <c r="E202" s="8" t="s">
        <v>1232</v>
      </c>
      <c r="F202" s="8" t="s">
        <v>15</v>
      </c>
      <c r="G202" s="8" t="s">
        <v>2</v>
      </c>
      <c r="H202" s="8" t="s">
        <v>2</v>
      </c>
      <c r="I202" s="8" t="s">
        <v>2</v>
      </c>
      <c r="J202" s="8" t="s">
        <v>1233</v>
      </c>
    </row>
    <row r="203" spans="1:10" x14ac:dyDescent="0.25" outlineLevel="4" collapsed="1">
      <c r="A203" s="7" t="s">
        <v>15</v>
      </c>
      <c r="B203" s="7" t="s">
        <v>20</v>
      </c>
      <c r="C203" s="7" t="s">
        <v>2</v>
      </c>
      <c r="D203" s="7"/>
      <c r="E203" s="7" t="s">
        <v>1234</v>
      </c>
      <c r="F203" s="7" t="s">
        <v>17</v>
      </c>
      <c r="G203" s="7" t="s">
        <v>22</v>
      </c>
      <c r="H203" s="7" t="s">
        <v>2</v>
      </c>
      <c r="I203" s="7" t="s">
        <v>2</v>
      </c>
      <c r="J203" s="7" t="s">
        <v>1235</v>
      </c>
    </row>
    <row r="204" spans="1:10" x14ac:dyDescent="0.25" outlineLevel="4" collapsed="1">
      <c r="A204" s="7" t="s">
        <v>15</v>
      </c>
      <c r="B204" s="7" t="s">
        <v>47</v>
      </c>
      <c r="C204" s="7" t="s">
        <v>2</v>
      </c>
      <c r="D204" s="7"/>
      <c r="E204" s="7" t="s">
        <v>1236</v>
      </c>
      <c r="F204" s="7" t="s">
        <v>17</v>
      </c>
      <c r="G204" s="7" t="b">
        <v>1</v>
      </c>
      <c r="H204" s="7" t="s">
        <v>2</v>
      </c>
      <c r="I204" s="7" t="s">
        <v>2</v>
      </c>
      <c r="J204" s="7" t="s">
        <v>1237</v>
      </c>
    </row>
    <row r="205" spans="1:10" x14ac:dyDescent="0.25" outlineLevel="4" collapsed="1">
      <c r="A205" s="7" t="s">
        <v>15</v>
      </c>
      <c r="B205" s="7" t="s">
        <v>20</v>
      </c>
      <c r="C205" s="7" t="s">
        <v>2</v>
      </c>
      <c r="D205" s="7"/>
      <c r="E205" s="7" t="s">
        <v>1238</v>
      </c>
      <c r="F205" s="7" t="s">
        <v>17</v>
      </c>
      <c r="G205" s="7" t="s">
        <v>22</v>
      </c>
      <c r="H205" s="7" t="s">
        <v>2</v>
      </c>
      <c r="I205" s="7" t="s">
        <v>2</v>
      </c>
      <c r="J205" s="7" t="s">
        <v>1239</v>
      </c>
    </row>
    <row r="206" spans="1:10" x14ac:dyDescent="0.25" outlineLevel="1" collapsed="1">
      <c r="A206" s="8" t="s">
        <v>15</v>
      </c>
      <c r="B206" s="9" t="s">
        <v>1248</v>
      </c>
      <c r="C206" s="8" t="s">
        <v>2</v>
      </c>
      <c r="D206" s="8"/>
      <c r="E206" s="8" t="s">
        <v>1249</v>
      </c>
      <c r="F206" s="8" t="s">
        <v>17</v>
      </c>
      <c r="G206" s="8" t="s">
        <v>2</v>
      </c>
      <c r="H206" s="8" t="s">
        <v>2</v>
      </c>
      <c r="I206" s="8" t="s">
        <v>2</v>
      </c>
      <c r="J206" s="8" t="s">
        <v>1250</v>
      </c>
    </row>
    <row r="207" spans="1:10" x14ac:dyDescent="0.25" outlineLevel="2" collapsed="1">
      <c r="A207" s="7" t="s">
        <v>15</v>
      </c>
      <c r="B207" s="7" t="s">
        <v>133</v>
      </c>
      <c r="C207" s="7" t="s">
        <v>1114</v>
      </c>
      <c r="D207" s="7"/>
      <c r="E207" s="7" t="s">
        <v>1251</v>
      </c>
      <c r="F207" s="7" t="s">
        <v>17</v>
      </c>
      <c r="G207" s="7" t="s">
        <v>1252</v>
      </c>
      <c r="H207" s="7" t="s">
        <v>2</v>
      </c>
      <c r="I207" s="7" t="s">
        <v>2</v>
      </c>
      <c r="J207" s="7" t="s">
        <v>1253</v>
      </c>
    </row>
    <row r="208" spans="1:10" x14ac:dyDescent="0.25" outlineLevel="2" collapsed="1">
      <c r="A208" s="7" t="s">
        <v>15</v>
      </c>
      <c r="B208" s="7" t="s">
        <v>133</v>
      </c>
      <c r="C208" s="7" t="s">
        <v>1114</v>
      </c>
      <c r="D208" s="7"/>
      <c r="E208" s="7" t="s">
        <v>1254</v>
      </c>
      <c r="F208" s="7" t="s">
        <v>17</v>
      </c>
      <c r="G208" s="7" t="s">
        <v>1255</v>
      </c>
      <c r="H208" s="7" t="s">
        <v>2</v>
      </c>
      <c r="I208" s="7" t="s">
        <v>2</v>
      </c>
      <c r="J208" s="7" t="s">
        <v>1256</v>
      </c>
    </row>
    <row r="209" spans="1:10" x14ac:dyDescent="0.25" outlineLevel="2" collapsed="1">
      <c r="A209" s="7" t="s">
        <v>15</v>
      </c>
      <c r="B209" s="7" t="s">
        <v>133</v>
      </c>
      <c r="C209" s="7" t="s">
        <v>1114</v>
      </c>
      <c r="D209" s="7"/>
      <c r="E209" s="7" t="s">
        <v>1257</v>
      </c>
      <c r="F209" s="7" t="s">
        <v>17</v>
      </c>
      <c r="G209" s="7" t="s">
        <v>1258</v>
      </c>
      <c r="H209" s="7" t="s">
        <v>2</v>
      </c>
      <c r="I209" s="7" t="s">
        <v>2</v>
      </c>
      <c r="J209" s="7" t="s">
        <v>1259</v>
      </c>
    </row>
    <row r="210" spans="1:10" x14ac:dyDescent="0.25" outlineLevel="2" collapsed="1">
      <c r="A210" s="7" t="s">
        <v>15</v>
      </c>
      <c r="B210" s="7" t="s">
        <v>133</v>
      </c>
      <c r="C210" s="7" t="s">
        <v>1114</v>
      </c>
      <c r="D210" s="7"/>
      <c r="E210" s="7" t="s">
        <v>1260</v>
      </c>
      <c r="F210" s="7" t="s">
        <v>17</v>
      </c>
      <c r="G210" s="7" t="s">
        <v>1261</v>
      </c>
      <c r="H210" s="7" t="s">
        <v>2</v>
      </c>
      <c r="I210" s="7" t="s">
        <v>2</v>
      </c>
      <c r="J210" s="7" t="s">
        <v>1262</v>
      </c>
    </row>
    <row r="211" spans="1:10" x14ac:dyDescent="0.25" outlineLevel="2" collapsed="1">
      <c r="A211" s="7" t="s">
        <v>15</v>
      </c>
      <c r="B211" s="7" t="s">
        <v>133</v>
      </c>
      <c r="C211" s="7" t="s">
        <v>1114</v>
      </c>
      <c r="D211" s="7"/>
      <c r="E211" s="7" t="s">
        <v>1263</v>
      </c>
      <c r="F211" s="7" t="s">
        <v>17</v>
      </c>
      <c r="G211" s="7" t="s">
        <v>1264</v>
      </c>
      <c r="H211" s="7" t="s">
        <v>2</v>
      </c>
      <c r="I211" s="7" t="s">
        <v>2</v>
      </c>
      <c r="J211" s="7" t="s">
        <v>1265</v>
      </c>
    </row>
    <row r="212" spans="1:10" x14ac:dyDescent="0.25" outlineLevel="2" collapsed="1">
      <c r="A212" s="7" t="s">
        <v>15</v>
      </c>
      <c r="B212" s="7" t="s">
        <v>133</v>
      </c>
      <c r="C212" s="7" t="s">
        <v>1114</v>
      </c>
      <c r="D212" s="7"/>
      <c r="E212" s="7" t="s">
        <v>1266</v>
      </c>
      <c r="F212" s="7" t="s">
        <v>17</v>
      </c>
      <c r="G212" s="7" t="s">
        <v>1267</v>
      </c>
      <c r="H212" s="7" t="s">
        <v>2</v>
      </c>
      <c r="I212" s="7" t="s">
        <v>2</v>
      </c>
      <c r="J212" s="7" t="s">
        <v>1268</v>
      </c>
    </row>
    <row r="213" spans="1:10" x14ac:dyDescent="0.25" outlineLevel="2" collapsed="1">
      <c r="A213" s="7" t="s">
        <v>15</v>
      </c>
      <c r="B213" s="7" t="s">
        <v>133</v>
      </c>
      <c r="C213" s="7" t="s">
        <v>1114</v>
      </c>
      <c r="D213" s="7"/>
      <c r="E213" s="7" t="s">
        <v>1269</v>
      </c>
      <c r="F213" s="7" t="s">
        <v>17</v>
      </c>
      <c r="G213" s="7" t="s">
        <v>1270</v>
      </c>
      <c r="H213" s="7" t="s">
        <v>2</v>
      </c>
      <c r="I213" s="7" t="s">
        <v>2</v>
      </c>
      <c r="J213" s="7" t="s">
        <v>1271</v>
      </c>
    </row>
    <row r="214" spans="1:10" x14ac:dyDescent="0.25" outlineLevel="2" collapsed="1">
      <c r="A214" s="7" t="s">
        <v>15</v>
      </c>
      <c r="B214" s="7" t="s">
        <v>133</v>
      </c>
      <c r="C214" s="7" t="s">
        <v>1114</v>
      </c>
      <c r="D214" s="7"/>
      <c r="E214" s="7" t="s">
        <v>1272</v>
      </c>
      <c r="F214" s="7" t="s">
        <v>17</v>
      </c>
      <c r="G214" s="7" t="s">
        <v>1273</v>
      </c>
      <c r="H214" s="7" t="s">
        <v>2</v>
      </c>
      <c r="I214" s="7" t="s">
        <v>2</v>
      </c>
      <c r="J214" s="7" t="s">
        <v>1274</v>
      </c>
    </row>
    <row r="215" spans="1:10" x14ac:dyDescent="0.25" outlineLevel="1" collapsed="1">
      <c r="A215" s="7" t="s">
        <v>15</v>
      </c>
      <c r="B215" s="7" t="s">
        <v>125</v>
      </c>
      <c r="C215" s="7" t="s">
        <v>2</v>
      </c>
      <c r="D215" s="7"/>
      <c r="E215" s="7" t="s">
        <v>1192</v>
      </c>
      <c r="F215" s="7" t="s">
        <v>17</v>
      </c>
      <c r="G215" s="7" t="s">
        <v>1275</v>
      </c>
      <c r="H215" s="7" t="s">
        <v>2</v>
      </c>
      <c r="I215" s="7" t="s">
        <v>2</v>
      </c>
      <c r="J215" s="7" t="s">
        <v>1194</v>
      </c>
    </row>
    <row r="216" spans="1:10" x14ac:dyDescent="0.25" outlineLevel="1" collapsed="1">
      <c r="A216" s="8" t="s">
        <v>15</v>
      </c>
      <c r="B216" s="9" t="s">
        <v>1276</v>
      </c>
      <c r="C216" s="8" t="s">
        <v>2</v>
      </c>
      <c r="D216" s="8"/>
      <c r="E216" s="8" t="s">
        <v>1276</v>
      </c>
      <c r="F216" s="8" t="s">
        <v>17</v>
      </c>
      <c r="G216" s="8" t="s">
        <v>2</v>
      </c>
      <c r="H216" s="8" t="s">
        <v>2</v>
      </c>
      <c r="I216" s="8" t="s">
        <v>2</v>
      </c>
      <c r="J216" s="8" t="s">
        <v>1277</v>
      </c>
    </row>
    <row r="217" spans="1:10" x14ac:dyDescent="0.25" outlineLevel="2" collapsed="1">
      <c r="A217" s="7" t="s">
        <v>15</v>
      </c>
      <c r="B217" s="7" t="s">
        <v>133</v>
      </c>
      <c r="C217" s="7" t="s">
        <v>1114</v>
      </c>
      <c r="D217" s="7"/>
      <c r="E217" s="7" t="s">
        <v>1278</v>
      </c>
      <c r="F217" s="7" t="s">
        <v>17</v>
      </c>
      <c r="G217" s="7" t="s">
        <v>1279</v>
      </c>
      <c r="H217" s="7" t="s">
        <v>2</v>
      </c>
      <c r="I217" s="7" t="s">
        <v>2</v>
      </c>
      <c r="J217" s="7" t="s">
        <v>1280</v>
      </c>
    </row>
    <row r="218" spans="1:10" x14ac:dyDescent="0.25" outlineLevel="2" collapsed="1">
      <c r="A218" s="7" t="s">
        <v>15</v>
      </c>
      <c r="B218" s="7" t="s">
        <v>133</v>
      </c>
      <c r="C218" s="7" t="s">
        <v>1114</v>
      </c>
      <c r="D218" s="7"/>
      <c r="E218" s="7" t="s">
        <v>1281</v>
      </c>
      <c r="F218" s="7" t="s">
        <v>17</v>
      </c>
      <c r="G218" s="7" t="s">
        <v>1282</v>
      </c>
      <c r="H218" s="7" t="s">
        <v>2</v>
      </c>
      <c r="I218" s="7" t="s">
        <v>2</v>
      </c>
      <c r="J218" s="7" t="s">
        <v>1283</v>
      </c>
    </row>
    <row r="219" spans="1:10" x14ac:dyDescent="0.25" outlineLevel="2" collapsed="1">
      <c r="A219" s="7" t="s">
        <v>15</v>
      </c>
      <c r="B219" s="7" t="s">
        <v>133</v>
      </c>
      <c r="C219" s="7" t="s">
        <v>1114</v>
      </c>
      <c r="D219" s="7"/>
      <c r="E219" s="7" t="s">
        <v>1284</v>
      </c>
      <c r="F219" s="7" t="s">
        <v>17</v>
      </c>
      <c r="G219" s="7" t="s">
        <v>1285</v>
      </c>
      <c r="H219" s="7" t="s">
        <v>2</v>
      </c>
      <c r="I219" s="7" t="s">
        <v>2</v>
      </c>
      <c r="J219" s="7" t="s">
        <v>1286</v>
      </c>
    </row>
    <row r="220" spans="1:10" x14ac:dyDescent="0.25" outlineLevel="2" collapsed="1">
      <c r="A220" s="7" t="s">
        <v>15</v>
      </c>
      <c r="B220" s="7" t="s">
        <v>125</v>
      </c>
      <c r="C220" s="7" t="s">
        <v>2</v>
      </c>
      <c r="D220" s="7"/>
      <c r="E220" s="7" t="s">
        <v>1287</v>
      </c>
      <c r="F220" s="7" t="s">
        <v>17</v>
      </c>
      <c r="G220" s="7" t="s">
        <v>1288</v>
      </c>
      <c r="H220" s="7" t="s">
        <v>2</v>
      </c>
      <c r="I220" s="7" t="s">
        <v>2</v>
      </c>
      <c r="J220" s="7" t="s">
        <v>1289</v>
      </c>
    </row>
    <row r="221" spans="1:10" x14ac:dyDescent="0.25" outlineLevel="2" collapsed="1">
      <c r="A221" s="7" t="s">
        <v>15</v>
      </c>
      <c r="B221" s="7" t="s">
        <v>133</v>
      </c>
      <c r="C221" s="7" t="s">
        <v>1114</v>
      </c>
      <c r="D221" s="7"/>
      <c r="E221" s="7" t="s">
        <v>1290</v>
      </c>
      <c r="F221" s="7" t="s">
        <v>17</v>
      </c>
      <c r="G221" s="7" t="s">
        <v>1291</v>
      </c>
      <c r="H221" s="7" t="s">
        <v>2</v>
      </c>
      <c r="I221" s="7" t="s">
        <v>2</v>
      </c>
      <c r="J221" s="7" t="s">
        <v>1292</v>
      </c>
    </row>
    <row r="222" spans="1:10" x14ac:dyDescent="0.25" outlineLevel="1" collapsed="1">
      <c r="A222" s="8" t="s">
        <v>15</v>
      </c>
      <c r="B222" s="9" t="s">
        <v>1293</v>
      </c>
      <c r="C222" s="8" t="s">
        <v>2</v>
      </c>
      <c r="D222" s="8"/>
      <c r="E222" s="8" t="s">
        <v>1293</v>
      </c>
      <c r="F222" s="8" t="s">
        <v>17</v>
      </c>
      <c r="G222" s="8" t="s">
        <v>2</v>
      </c>
      <c r="H222" s="8" t="s">
        <v>2</v>
      </c>
      <c r="I222" s="8" t="s">
        <v>2</v>
      </c>
      <c r="J222" s="8" t="s">
        <v>1294</v>
      </c>
    </row>
    <row r="223" spans="1:10" x14ac:dyDescent="0.25" outlineLevel="2" collapsed="1">
      <c r="A223" s="7" t="s">
        <v>15</v>
      </c>
      <c r="B223" s="7" t="s">
        <v>44</v>
      </c>
      <c r="C223" s="10" t="s">
        <v>1295</v>
      </c>
      <c r="D223" s="7"/>
      <c r="E223" s="7" t="s">
        <v>1296</v>
      </c>
      <c r="F223" s="7" t="s">
        <v>17</v>
      </c>
      <c r="G223" s="7" t="s">
        <v>1297</v>
      </c>
      <c r="H223" s="7" t="s">
        <v>2</v>
      </c>
      <c r="I223" s="7" t="s">
        <v>2</v>
      </c>
      <c r="J223" s="7" t="s">
        <v>1298</v>
      </c>
    </row>
    <row r="224" spans="1:10" x14ac:dyDescent="0.25" outlineLevel="2" collapsed="1">
      <c r="A224" s="7" t="s">
        <v>15</v>
      </c>
      <c r="B224" s="7" t="s">
        <v>133</v>
      </c>
      <c r="C224" s="7" t="s">
        <v>1114</v>
      </c>
      <c r="D224" s="7"/>
      <c r="E224" s="7" t="s">
        <v>1299</v>
      </c>
      <c r="F224" s="7" t="s">
        <v>17</v>
      </c>
      <c r="G224" s="7" t="s">
        <v>1300</v>
      </c>
      <c r="H224" s="7" t="s">
        <v>2</v>
      </c>
      <c r="I224" s="7" t="s">
        <v>2</v>
      </c>
      <c r="J224" s="7" t="s">
        <v>1301</v>
      </c>
    </row>
    <row r="225" spans="1:10" x14ac:dyDescent="0.25" outlineLevel="2" collapsed="1">
      <c r="A225" s="7" t="s">
        <v>15</v>
      </c>
      <c r="B225" s="7" t="s">
        <v>133</v>
      </c>
      <c r="C225" s="7" t="s">
        <v>1114</v>
      </c>
      <c r="D225" s="7"/>
      <c r="E225" s="7" t="s">
        <v>1302</v>
      </c>
      <c r="F225" s="7" t="s">
        <v>17</v>
      </c>
      <c r="G225" s="7" t="s">
        <v>1303</v>
      </c>
      <c r="H225" s="7" t="s">
        <v>2</v>
      </c>
      <c r="I225" s="7" t="s">
        <v>2</v>
      </c>
      <c r="J225" s="7" t="s">
        <v>1304</v>
      </c>
    </row>
    <row r="226" spans="1:10" x14ac:dyDescent="0.25" outlineLevel="2" collapsed="1">
      <c r="A226" s="7" t="s">
        <v>15</v>
      </c>
      <c r="B226" s="7" t="s">
        <v>133</v>
      </c>
      <c r="C226" s="7" t="s">
        <v>1114</v>
      </c>
      <c r="D226" s="7"/>
      <c r="E226" s="7" t="s">
        <v>1305</v>
      </c>
      <c r="F226" s="7" t="s">
        <v>17</v>
      </c>
      <c r="G226" s="7" t="s">
        <v>1306</v>
      </c>
      <c r="H226" s="7" t="s">
        <v>2</v>
      </c>
      <c r="I226" s="7" t="s">
        <v>2</v>
      </c>
      <c r="J226" s="7" t="s">
        <v>1307</v>
      </c>
    </row>
    <row r="227" spans="1:10" x14ac:dyDescent="0.25" outlineLevel="2" collapsed="1">
      <c r="A227" s="7" t="s">
        <v>15</v>
      </c>
      <c r="B227" s="7" t="s">
        <v>133</v>
      </c>
      <c r="C227" s="7" t="s">
        <v>1114</v>
      </c>
      <c r="D227" s="7"/>
      <c r="E227" s="7" t="s">
        <v>1308</v>
      </c>
      <c r="F227" s="7" t="s">
        <v>17</v>
      </c>
      <c r="G227" s="7" t="s">
        <v>1309</v>
      </c>
      <c r="H227" s="7" t="s">
        <v>2</v>
      </c>
      <c r="I227" s="7" t="s">
        <v>2</v>
      </c>
      <c r="J227" s="7" t="s">
        <v>1310</v>
      </c>
    </row>
    <row r="228" spans="1:10" x14ac:dyDescent="0.25" outlineLevel="2" collapsed="1">
      <c r="A228" s="7" t="s">
        <v>15</v>
      </c>
      <c r="B228" s="7" t="s">
        <v>125</v>
      </c>
      <c r="C228" s="7" t="s">
        <v>2</v>
      </c>
      <c r="D228" s="7"/>
      <c r="E228" s="7" t="s">
        <v>1311</v>
      </c>
      <c r="F228" s="7" t="s">
        <v>17</v>
      </c>
      <c r="G228" s="7" t="s">
        <v>1312</v>
      </c>
      <c r="H228" s="7" t="s">
        <v>2</v>
      </c>
      <c r="I228" s="7" t="s">
        <v>2</v>
      </c>
      <c r="J228" s="7" t="s">
        <v>1313</v>
      </c>
    </row>
    <row r="229" spans="1:10" x14ac:dyDescent="0.25">
      <c r="A229" s="5" t="s">
        <v>15</v>
      </c>
      <c r="B229" s="6" t="s">
        <v>1314</v>
      </c>
      <c r="C229" s="5" t="s">
        <v>2</v>
      </c>
      <c r="D229" s="5"/>
      <c r="E229" s="5" t="s">
        <v>1315</v>
      </c>
      <c r="F229" s="5" t="s">
        <v>17</v>
      </c>
      <c r="G229" s="5" t="s">
        <v>1316</v>
      </c>
      <c r="H229" s="5" t="s">
        <v>2</v>
      </c>
      <c r="I229" s="5" t="s">
        <v>2</v>
      </c>
      <c r="J229" s="5" t="s">
        <v>1317</v>
      </c>
    </row>
    <row r="230" spans="1:10" x14ac:dyDescent="0.25" outlineLevel="1" collapsed="1">
      <c r="A230" s="7" t="s">
        <v>15</v>
      </c>
      <c r="B230" s="7" t="s">
        <v>20</v>
      </c>
      <c r="C230" s="7" t="s">
        <v>2</v>
      </c>
      <c r="D230" s="7"/>
      <c r="E230" s="7" t="s">
        <v>1318</v>
      </c>
      <c r="F230" s="7" t="s">
        <v>17</v>
      </c>
      <c r="G230" s="7" t="s">
        <v>22</v>
      </c>
      <c r="H230" s="7" t="s">
        <v>2</v>
      </c>
      <c r="I230" s="7" t="s">
        <v>2</v>
      </c>
      <c r="J230" s="7" t="s">
        <v>1319</v>
      </c>
    </row>
    <row r="231" spans="1:10" x14ac:dyDescent="0.25" outlineLevel="1" collapsed="1">
      <c r="A231" s="7" t="s">
        <v>15</v>
      </c>
      <c r="B231" s="7" t="s">
        <v>20</v>
      </c>
      <c r="C231" s="7" t="s">
        <v>2</v>
      </c>
      <c r="D231" s="7"/>
      <c r="E231" s="7" t="s">
        <v>1320</v>
      </c>
      <c r="F231" s="7" t="s">
        <v>17</v>
      </c>
      <c r="G231" s="7" t="s">
        <v>22</v>
      </c>
      <c r="H231" s="7" t="s">
        <v>2</v>
      </c>
      <c r="I231" s="7" t="s">
        <v>2</v>
      </c>
      <c r="J231" s="7" t="s">
        <v>1321</v>
      </c>
    </row>
    <row r="232" spans="1:10" x14ac:dyDescent="0.25" outlineLevel="1" collapsed="1">
      <c r="A232" s="7" t="s">
        <v>15</v>
      </c>
      <c r="B232" s="7" t="s">
        <v>20</v>
      </c>
      <c r="C232" s="7" t="s">
        <v>2</v>
      </c>
      <c r="D232" s="7"/>
      <c r="E232" s="7" t="s">
        <v>1322</v>
      </c>
      <c r="F232" s="7" t="s">
        <v>17</v>
      </c>
      <c r="G232" s="7" t="s">
        <v>22</v>
      </c>
      <c r="H232" s="7" t="s">
        <v>2</v>
      </c>
      <c r="I232" s="7" t="s">
        <v>2</v>
      </c>
      <c r="J232" s="7" t="s">
        <v>1323</v>
      </c>
    </row>
    <row r="233" spans="1:10" x14ac:dyDescent="0.25" outlineLevel="1" collapsed="1">
      <c r="A233" s="7" t="s">
        <v>15</v>
      </c>
      <c r="B233" s="7" t="s">
        <v>20</v>
      </c>
      <c r="C233" s="7" t="s">
        <v>2</v>
      </c>
      <c r="D233" s="7"/>
      <c r="E233" s="7" t="s">
        <v>1324</v>
      </c>
      <c r="F233" s="7" t="s">
        <v>17</v>
      </c>
      <c r="G233" s="7" t="s">
        <v>22</v>
      </c>
      <c r="H233" s="7" t="s">
        <v>2</v>
      </c>
      <c r="I233" s="7" t="s">
        <v>2</v>
      </c>
      <c r="J233" s="7" t="s">
        <v>1325</v>
      </c>
    </row>
    <row r="234" spans="1:10" x14ac:dyDescent="0.25" outlineLevel="1" collapsed="1">
      <c r="A234" s="7" t="s">
        <v>15</v>
      </c>
      <c r="B234" s="7" t="s">
        <v>20</v>
      </c>
      <c r="C234" s="7" t="s">
        <v>2</v>
      </c>
      <c r="D234" s="7"/>
      <c r="E234" s="7" t="s">
        <v>1326</v>
      </c>
      <c r="F234" s="7" t="s">
        <v>17</v>
      </c>
      <c r="G234" s="7" t="s">
        <v>22</v>
      </c>
      <c r="H234" s="7" t="s">
        <v>2</v>
      </c>
      <c r="I234" s="7" t="s">
        <v>2</v>
      </c>
      <c r="J234" s="7" t="s">
        <v>1327</v>
      </c>
    </row>
    <row r="235" spans="1:10" x14ac:dyDescent="0.25" outlineLevel="1" collapsed="1">
      <c r="A235" s="7" t="s">
        <v>17</v>
      </c>
      <c r="B235" s="7" t="s">
        <v>125</v>
      </c>
      <c r="C235" s="7" t="s">
        <v>2</v>
      </c>
      <c r="D235" s="7"/>
      <c r="E235" s="7" t="s">
        <v>1328</v>
      </c>
      <c r="F235" s="7" t="s">
        <v>17</v>
      </c>
      <c r="G235" s="7" t="s">
        <v>1329</v>
      </c>
      <c r="H235" s="7" t="s">
        <v>2</v>
      </c>
      <c r="I235" s="7" t="s">
        <v>2</v>
      </c>
      <c r="J235" s="7" t="s">
        <v>1330</v>
      </c>
    </row>
    <row r="236" spans="1:10" x14ac:dyDescent="0.25">
      <c r="A236" s="5" t="s">
        <v>15</v>
      </c>
      <c r="B236" s="6" t="s">
        <v>1331</v>
      </c>
      <c r="C236" s="5" t="s">
        <v>2</v>
      </c>
      <c r="D236" s="5"/>
      <c r="E236" s="5" t="s">
        <v>1331</v>
      </c>
      <c r="F236" s="5" t="s">
        <v>17</v>
      </c>
      <c r="G236" s="5" t="s">
        <v>1332</v>
      </c>
      <c r="H236" s="5" t="s">
        <v>2</v>
      </c>
      <c r="I236" s="5" t="s">
        <v>2</v>
      </c>
      <c r="J236" s="5" t="s">
        <v>1333</v>
      </c>
    </row>
    <row r="237" spans="1:10" x14ac:dyDescent="0.25" outlineLevel="1" collapsed="1">
      <c r="A237" s="8" t="s">
        <v>15</v>
      </c>
      <c r="B237" s="9" t="s">
        <v>1334</v>
      </c>
      <c r="C237" s="8" t="s">
        <v>2</v>
      </c>
      <c r="D237" s="8"/>
      <c r="E237" s="8" t="s">
        <v>1335</v>
      </c>
      <c r="F237" s="8" t="s">
        <v>17</v>
      </c>
      <c r="G237" s="8" t="s">
        <v>2</v>
      </c>
      <c r="H237" s="8" t="s">
        <v>2</v>
      </c>
      <c r="I237" s="8" t="s">
        <v>2</v>
      </c>
      <c r="J237" s="8" t="s">
        <v>1336</v>
      </c>
    </row>
    <row r="238" spans="1:10" x14ac:dyDescent="0.25" outlineLevel="2" collapsed="1">
      <c r="A238" s="8" t="s">
        <v>15</v>
      </c>
      <c r="B238" s="9" t="s">
        <v>1337</v>
      </c>
      <c r="C238" s="8" t="s">
        <v>2</v>
      </c>
      <c r="D238" s="8"/>
      <c r="E238" s="8" t="s">
        <v>1338</v>
      </c>
      <c r="F238" s="8" t="s">
        <v>15</v>
      </c>
      <c r="G238" s="8" t="s">
        <v>2</v>
      </c>
      <c r="H238" s="8" t="s">
        <v>2</v>
      </c>
      <c r="I238" s="8" t="s">
        <v>2</v>
      </c>
      <c r="J238" s="8" t="s">
        <v>1339</v>
      </c>
    </row>
    <row r="239" spans="1:10" x14ac:dyDescent="0.25" outlineLevel="3" collapsed="1">
      <c r="A239" s="7" t="s">
        <v>15</v>
      </c>
      <c r="B239" s="7" t="s">
        <v>20</v>
      </c>
      <c r="C239" s="7" t="s">
        <v>2</v>
      </c>
      <c r="D239" s="7"/>
      <c r="E239" s="7" t="s">
        <v>1338</v>
      </c>
      <c r="F239" s="7" t="s">
        <v>17</v>
      </c>
      <c r="G239" s="7" t="s">
        <v>22</v>
      </c>
      <c r="H239" s="7" t="s">
        <v>2</v>
      </c>
      <c r="I239" s="7" t="s">
        <v>2</v>
      </c>
      <c r="J239" s="7" t="s">
        <v>1340</v>
      </c>
    </row>
    <row r="240" spans="1:10" x14ac:dyDescent="0.25" outlineLevel="3" collapsed="1">
      <c r="A240" s="7" t="s">
        <v>15</v>
      </c>
      <c r="B240" s="7" t="s">
        <v>20</v>
      </c>
      <c r="C240" s="7" t="s">
        <v>2</v>
      </c>
      <c r="D240" s="7"/>
      <c r="E240" s="7" t="s">
        <v>1141</v>
      </c>
      <c r="F240" s="7" t="s">
        <v>17</v>
      </c>
      <c r="G240" s="7" t="s">
        <v>22</v>
      </c>
      <c r="H240" s="7" t="s">
        <v>2</v>
      </c>
      <c r="I240" s="7" t="s">
        <v>2</v>
      </c>
      <c r="J240" s="7" t="s">
        <v>1142</v>
      </c>
    </row>
    <row r="241" spans="1:10" x14ac:dyDescent="0.25" outlineLevel="3" collapsed="1">
      <c r="A241" s="7" t="s">
        <v>15</v>
      </c>
      <c r="B241" s="7" t="s">
        <v>20</v>
      </c>
      <c r="C241" s="7" t="s">
        <v>2</v>
      </c>
      <c r="D241" s="7"/>
      <c r="E241" s="7" t="s">
        <v>9</v>
      </c>
      <c r="F241" s="7" t="s">
        <v>17</v>
      </c>
      <c r="G241" s="7" t="s">
        <v>22</v>
      </c>
      <c r="H241" s="7" t="s">
        <v>2</v>
      </c>
      <c r="I241" s="7" t="s">
        <v>2</v>
      </c>
      <c r="J241" s="7" t="s">
        <v>1143</v>
      </c>
    </row>
    <row r="242" spans="1:10" x14ac:dyDescent="0.25" outlineLevel="3" collapsed="1">
      <c r="A242" s="7" t="s">
        <v>15</v>
      </c>
      <c r="B242" s="7" t="s">
        <v>20</v>
      </c>
      <c r="C242" s="7" t="s">
        <v>2</v>
      </c>
      <c r="D242" s="7"/>
      <c r="E242" s="7" t="s">
        <v>1144</v>
      </c>
      <c r="F242" s="7" t="s">
        <v>17</v>
      </c>
      <c r="G242" s="7" t="s">
        <v>22</v>
      </c>
      <c r="H242" s="7" t="s">
        <v>2</v>
      </c>
      <c r="I242" s="7" t="s">
        <v>2</v>
      </c>
      <c r="J242" s="7" t="s">
        <v>1145</v>
      </c>
    </row>
    <row r="243" spans="1:10" x14ac:dyDescent="0.25" outlineLevel="3" collapsed="1">
      <c r="A243" s="7" t="s">
        <v>15</v>
      </c>
      <c r="B243" s="7" t="s">
        <v>20</v>
      </c>
      <c r="C243" s="7" t="s">
        <v>2</v>
      </c>
      <c r="D243" s="7"/>
      <c r="E243" s="7" t="s">
        <v>1341</v>
      </c>
      <c r="F243" s="7" t="s">
        <v>17</v>
      </c>
      <c r="G243" s="7" t="s">
        <v>22</v>
      </c>
      <c r="H243" s="7" t="s">
        <v>2</v>
      </c>
      <c r="I243" s="7" t="s">
        <v>2</v>
      </c>
      <c r="J243" s="7" t="s">
        <v>1342</v>
      </c>
    </row>
    <row r="244" spans="1:10" x14ac:dyDescent="0.25" outlineLevel="3" collapsed="1">
      <c r="A244" s="7" t="s">
        <v>15</v>
      </c>
      <c r="B244" s="7" t="s">
        <v>20</v>
      </c>
      <c r="C244" s="7" t="s">
        <v>2</v>
      </c>
      <c r="D244" s="7"/>
      <c r="E244" s="7" t="s">
        <v>1343</v>
      </c>
      <c r="F244" s="7" t="s">
        <v>17</v>
      </c>
      <c r="G244" s="7" t="s">
        <v>22</v>
      </c>
      <c r="H244" s="7" t="s">
        <v>2</v>
      </c>
      <c r="I244" s="7" t="s">
        <v>2</v>
      </c>
      <c r="J244" s="7" t="s">
        <v>1344</v>
      </c>
    </row>
    <row r="245" spans="1:10" x14ac:dyDescent="0.25" outlineLevel="3" collapsed="1">
      <c r="A245" s="7" t="s">
        <v>15</v>
      </c>
      <c r="B245" s="7" t="s">
        <v>20</v>
      </c>
      <c r="C245" s="7" t="s">
        <v>2</v>
      </c>
      <c r="D245" s="7"/>
      <c r="E245" s="7" t="s">
        <v>1345</v>
      </c>
      <c r="F245" s="7" t="s">
        <v>17</v>
      </c>
      <c r="G245" s="7" t="s">
        <v>22</v>
      </c>
      <c r="H245" s="7" t="s">
        <v>2</v>
      </c>
      <c r="I245" s="7" t="s">
        <v>2</v>
      </c>
      <c r="J245" s="7" t="s">
        <v>1346</v>
      </c>
    </row>
    <row r="246" spans="1:10" x14ac:dyDescent="0.25" outlineLevel="3" collapsed="1">
      <c r="A246" s="7" t="s">
        <v>15</v>
      </c>
      <c r="B246" s="7" t="s">
        <v>20</v>
      </c>
      <c r="C246" s="7" t="s">
        <v>2</v>
      </c>
      <c r="D246" s="7"/>
      <c r="E246" s="7" t="s">
        <v>1150</v>
      </c>
      <c r="F246" s="7" t="s">
        <v>17</v>
      </c>
      <c r="G246" s="7" t="s">
        <v>22</v>
      </c>
      <c r="H246" s="7" t="s">
        <v>2</v>
      </c>
      <c r="I246" s="7" t="s">
        <v>2</v>
      </c>
      <c r="J246" s="7" t="s">
        <v>1151</v>
      </c>
    </row>
    <row r="247" spans="1:10" x14ac:dyDescent="0.25" outlineLevel="3" collapsed="1">
      <c r="A247" s="7" t="s">
        <v>15</v>
      </c>
      <c r="B247" s="7" t="s">
        <v>20</v>
      </c>
      <c r="C247" s="7" t="s">
        <v>2</v>
      </c>
      <c r="D247" s="7"/>
      <c r="E247" s="7" t="s">
        <v>1152</v>
      </c>
      <c r="F247" s="7" t="s">
        <v>17</v>
      </c>
      <c r="G247" s="7" t="s">
        <v>22</v>
      </c>
      <c r="H247" s="7" t="s">
        <v>2</v>
      </c>
      <c r="I247" s="7" t="s">
        <v>2</v>
      </c>
      <c r="J247" s="7" t="s">
        <v>1153</v>
      </c>
    </row>
    <row r="248" spans="1:10" x14ac:dyDescent="0.25" outlineLevel="2" collapsed="1">
      <c r="A248" s="7" t="s">
        <v>15</v>
      </c>
      <c r="B248" s="7" t="s">
        <v>125</v>
      </c>
      <c r="C248" s="7" t="s">
        <v>2</v>
      </c>
      <c r="D248" s="7"/>
      <c r="E248" s="7" t="s">
        <v>1347</v>
      </c>
      <c r="F248" s="7" t="s">
        <v>17</v>
      </c>
      <c r="G248" s="7" t="s">
        <v>1348</v>
      </c>
      <c r="H248" s="7" t="s">
        <v>2</v>
      </c>
      <c r="I248" s="7" t="s">
        <v>2</v>
      </c>
      <c r="J248" s="7" t="s">
        <v>1349</v>
      </c>
    </row>
    <row r="249" spans="1:10" x14ac:dyDescent="0.25" outlineLevel="2" collapsed="1">
      <c r="A249" s="7" t="s">
        <v>17</v>
      </c>
      <c r="B249" s="7" t="s">
        <v>125</v>
      </c>
      <c r="C249" s="7" t="s">
        <v>2</v>
      </c>
      <c r="D249" s="7"/>
      <c r="E249" s="7" t="s">
        <v>1350</v>
      </c>
      <c r="F249" s="7" t="s">
        <v>17</v>
      </c>
      <c r="G249" s="7" t="s">
        <v>1351</v>
      </c>
      <c r="H249" s="7" t="s">
        <v>2</v>
      </c>
      <c r="I249" s="7" t="s">
        <v>2</v>
      </c>
      <c r="J249" s="7" t="s">
        <v>1352</v>
      </c>
    </row>
    <row r="250" spans="1:10" x14ac:dyDescent="0.25" outlineLevel="1" collapsed="1">
      <c r="A250" s="8" t="s">
        <v>17</v>
      </c>
      <c r="B250" s="9" t="s">
        <v>1353</v>
      </c>
      <c r="C250" s="8" t="s">
        <v>2</v>
      </c>
      <c r="D250" s="8"/>
      <c r="E250" s="8" t="s">
        <v>1354</v>
      </c>
      <c r="F250" s="8" t="s">
        <v>15</v>
      </c>
      <c r="G250" s="8" t="s">
        <v>2</v>
      </c>
      <c r="H250" s="8" t="s">
        <v>2</v>
      </c>
      <c r="I250" s="8" t="s">
        <v>2</v>
      </c>
      <c r="J250" s="8" t="s">
        <v>1355</v>
      </c>
    </row>
    <row r="251" spans="1:10" x14ac:dyDescent="0.25" outlineLevel="2" collapsed="1">
      <c r="A251" s="7" t="s">
        <v>15</v>
      </c>
      <c r="B251" s="7" t="s">
        <v>44</v>
      </c>
      <c r="C251" s="10" t="s">
        <v>1356</v>
      </c>
      <c r="D251" s="7"/>
      <c r="E251" s="7" t="s">
        <v>1357</v>
      </c>
      <c r="F251" s="7" t="s">
        <v>17</v>
      </c>
      <c r="G251" s="7" t="s">
        <v>762</v>
      </c>
      <c r="H251" s="7" t="s">
        <v>2</v>
      </c>
      <c r="I251" s="7" t="s">
        <v>2</v>
      </c>
      <c r="J251" s="7" t="s">
        <v>1358</v>
      </c>
    </row>
    <row r="252" spans="1:10" x14ac:dyDescent="0.25" outlineLevel="2" collapsed="1">
      <c r="A252" s="8" t="s">
        <v>15</v>
      </c>
      <c r="B252" s="9" t="s">
        <v>1337</v>
      </c>
      <c r="C252" s="8" t="s">
        <v>2</v>
      </c>
      <c r="D252" s="8"/>
      <c r="E252" s="8" t="s">
        <v>1338</v>
      </c>
      <c r="F252" s="8" t="s">
        <v>15</v>
      </c>
      <c r="G252" s="8" t="s">
        <v>2</v>
      </c>
      <c r="H252" s="8" t="s">
        <v>2</v>
      </c>
      <c r="I252" s="8" t="s">
        <v>2</v>
      </c>
      <c r="J252" s="8" t="s">
        <v>1340</v>
      </c>
    </row>
    <row r="253" spans="1:10" x14ac:dyDescent="0.25" outlineLevel="3" collapsed="1">
      <c r="A253" s="7" t="s">
        <v>15</v>
      </c>
      <c r="B253" s="7" t="s">
        <v>20</v>
      </c>
      <c r="C253" s="7" t="s">
        <v>2</v>
      </c>
      <c r="D253" s="7"/>
      <c r="E253" s="7" t="s">
        <v>1338</v>
      </c>
      <c r="F253" s="7" t="s">
        <v>17</v>
      </c>
      <c r="G253" s="7" t="s">
        <v>22</v>
      </c>
      <c r="H253" s="7" t="s">
        <v>2</v>
      </c>
      <c r="I253" s="7" t="s">
        <v>2</v>
      </c>
      <c r="J253" s="7" t="s">
        <v>1340</v>
      </c>
    </row>
    <row r="254" spans="1:10" x14ac:dyDescent="0.25" outlineLevel="3" collapsed="1">
      <c r="A254" s="7" t="s">
        <v>15</v>
      </c>
      <c r="B254" s="7" t="s">
        <v>20</v>
      </c>
      <c r="C254" s="7" t="s">
        <v>2</v>
      </c>
      <c r="D254" s="7"/>
      <c r="E254" s="7" t="s">
        <v>1141</v>
      </c>
      <c r="F254" s="7" t="s">
        <v>17</v>
      </c>
      <c r="G254" s="7" t="s">
        <v>22</v>
      </c>
      <c r="H254" s="7" t="s">
        <v>2</v>
      </c>
      <c r="I254" s="7" t="s">
        <v>2</v>
      </c>
      <c r="J254" s="7" t="s">
        <v>1142</v>
      </c>
    </row>
    <row r="255" spans="1:10" x14ac:dyDescent="0.25" outlineLevel="3" collapsed="1">
      <c r="A255" s="7" t="s">
        <v>15</v>
      </c>
      <c r="B255" s="7" t="s">
        <v>20</v>
      </c>
      <c r="C255" s="7" t="s">
        <v>2</v>
      </c>
      <c r="D255" s="7"/>
      <c r="E255" s="7" t="s">
        <v>9</v>
      </c>
      <c r="F255" s="7" t="s">
        <v>17</v>
      </c>
      <c r="G255" s="7" t="s">
        <v>22</v>
      </c>
      <c r="H255" s="7" t="s">
        <v>2</v>
      </c>
      <c r="I255" s="7" t="s">
        <v>2</v>
      </c>
      <c r="J255" s="7" t="s">
        <v>1143</v>
      </c>
    </row>
    <row r="256" spans="1:10" x14ac:dyDescent="0.25" outlineLevel="3" collapsed="1">
      <c r="A256" s="7" t="s">
        <v>15</v>
      </c>
      <c r="B256" s="7" t="s">
        <v>20</v>
      </c>
      <c r="C256" s="7" t="s">
        <v>2</v>
      </c>
      <c r="D256" s="7"/>
      <c r="E256" s="7" t="s">
        <v>1144</v>
      </c>
      <c r="F256" s="7" t="s">
        <v>17</v>
      </c>
      <c r="G256" s="7" t="s">
        <v>22</v>
      </c>
      <c r="H256" s="7" t="s">
        <v>2</v>
      </c>
      <c r="I256" s="7" t="s">
        <v>2</v>
      </c>
      <c r="J256" s="7" t="s">
        <v>1145</v>
      </c>
    </row>
    <row r="257" spans="1:10" x14ac:dyDescent="0.25" outlineLevel="3" collapsed="1">
      <c r="A257" s="7" t="s">
        <v>15</v>
      </c>
      <c r="B257" s="7" t="s">
        <v>20</v>
      </c>
      <c r="C257" s="7" t="s">
        <v>2</v>
      </c>
      <c r="D257" s="7"/>
      <c r="E257" s="7" t="s">
        <v>1341</v>
      </c>
      <c r="F257" s="7" t="s">
        <v>17</v>
      </c>
      <c r="G257" s="7" t="s">
        <v>22</v>
      </c>
      <c r="H257" s="7" t="s">
        <v>2</v>
      </c>
      <c r="I257" s="7" t="s">
        <v>2</v>
      </c>
      <c r="J257" s="7" t="s">
        <v>1342</v>
      </c>
    </row>
    <row r="258" spans="1:10" x14ac:dyDescent="0.25" outlineLevel="3" collapsed="1">
      <c r="A258" s="7" t="s">
        <v>15</v>
      </c>
      <c r="B258" s="7" t="s">
        <v>20</v>
      </c>
      <c r="C258" s="7" t="s">
        <v>2</v>
      </c>
      <c r="D258" s="7"/>
      <c r="E258" s="7" t="s">
        <v>1343</v>
      </c>
      <c r="F258" s="7" t="s">
        <v>17</v>
      </c>
      <c r="G258" s="7" t="s">
        <v>22</v>
      </c>
      <c r="H258" s="7" t="s">
        <v>2</v>
      </c>
      <c r="I258" s="7" t="s">
        <v>2</v>
      </c>
      <c r="J258" s="7" t="s">
        <v>1344</v>
      </c>
    </row>
    <row r="259" spans="1:10" x14ac:dyDescent="0.25" outlineLevel="3" collapsed="1">
      <c r="A259" s="7" t="s">
        <v>15</v>
      </c>
      <c r="B259" s="7" t="s">
        <v>20</v>
      </c>
      <c r="C259" s="7" t="s">
        <v>2</v>
      </c>
      <c r="D259" s="7"/>
      <c r="E259" s="7" t="s">
        <v>1345</v>
      </c>
      <c r="F259" s="7" t="s">
        <v>17</v>
      </c>
      <c r="G259" s="7" t="s">
        <v>22</v>
      </c>
      <c r="H259" s="7" t="s">
        <v>2</v>
      </c>
      <c r="I259" s="7" t="s">
        <v>2</v>
      </c>
      <c r="J259" s="7" t="s">
        <v>1346</v>
      </c>
    </row>
    <row r="260" spans="1:10" x14ac:dyDescent="0.25" outlineLevel="3" collapsed="1">
      <c r="A260" s="7" t="s">
        <v>15</v>
      </c>
      <c r="B260" s="7" t="s">
        <v>20</v>
      </c>
      <c r="C260" s="7" t="s">
        <v>2</v>
      </c>
      <c r="D260" s="7"/>
      <c r="E260" s="7" t="s">
        <v>1150</v>
      </c>
      <c r="F260" s="7" t="s">
        <v>17</v>
      </c>
      <c r="G260" s="7" t="s">
        <v>22</v>
      </c>
      <c r="H260" s="7" t="s">
        <v>2</v>
      </c>
      <c r="I260" s="7" t="s">
        <v>2</v>
      </c>
      <c r="J260" s="7" t="s">
        <v>1151</v>
      </c>
    </row>
    <row r="261" spans="1:10" x14ac:dyDescent="0.25" outlineLevel="3" collapsed="1">
      <c r="A261" s="7" t="s">
        <v>15</v>
      </c>
      <c r="B261" s="7" t="s">
        <v>20</v>
      </c>
      <c r="C261" s="7" t="s">
        <v>2</v>
      </c>
      <c r="D261" s="7"/>
      <c r="E261" s="7" t="s">
        <v>1152</v>
      </c>
      <c r="F261" s="7" t="s">
        <v>17</v>
      </c>
      <c r="G261" s="7" t="s">
        <v>22</v>
      </c>
      <c r="H261" s="7" t="s">
        <v>2</v>
      </c>
      <c r="I261" s="7" t="s">
        <v>2</v>
      </c>
      <c r="J261" s="7" t="s">
        <v>1153</v>
      </c>
    </row>
    <row r="262" spans="1:10" x14ac:dyDescent="0.25" outlineLevel="2" collapsed="1">
      <c r="A262" s="7" t="s">
        <v>15</v>
      </c>
      <c r="B262" s="7" t="s">
        <v>125</v>
      </c>
      <c r="C262" s="7" t="s">
        <v>2</v>
      </c>
      <c r="D262" s="7"/>
      <c r="E262" s="7" t="s">
        <v>1347</v>
      </c>
      <c r="F262" s="7" t="s">
        <v>17</v>
      </c>
      <c r="G262" s="7" t="s">
        <v>1359</v>
      </c>
      <c r="H262" s="7" t="s">
        <v>2</v>
      </c>
      <c r="I262" s="7" t="s">
        <v>2</v>
      </c>
      <c r="J262" s="7" t="s">
        <v>1349</v>
      </c>
    </row>
    <row r="263" spans="1:10" x14ac:dyDescent="0.25" outlineLevel="2" collapsed="1">
      <c r="A263" s="7" t="s">
        <v>15</v>
      </c>
      <c r="B263" s="7" t="s">
        <v>125</v>
      </c>
      <c r="C263" s="7" t="s">
        <v>2</v>
      </c>
      <c r="D263" s="7"/>
      <c r="E263" s="7" t="s">
        <v>1350</v>
      </c>
      <c r="F263" s="7" t="s">
        <v>17</v>
      </c>
      <c r="G263" s="7" t="s">
        <v>1360</v>
      </c>
      <c r="H263" s="7" t="s">
        <v>2</v>
      </c>
      <c r="I263" s="7" t="s">
        <v>2</v>
      </c>
      <c r="J263" s="7" t="s">
        <v>1352</v>
      </c>
    </row>
    <row r="264" spans="1:10" x14ac:dyDescent="0.25">
      <c r="A264" s="5" t="s">
        <v>15</v>
      </c>
      <c r="B264" s="6" t="s">
        <v>1361</v>
      </c>
      <c r="C264" s="5" t="s">
        <v>2</v>
      </c>
      <c r="D264" s="5"/>
      <c r="E264" s="5" t="s">
        <v>1361</v>
      </c>
      <c r="F264" s="5" t="s">
        <v>17</v>
      </c>
      <c r="G264" s="5" t="s">
        <v>2</v>
      </c>
      <c r="H264" s="5" t="s">
        <v>2</v>
      </c>
      <c r="I264" s="5" t="s">
        <v>2</v>
      </c>
      <c r="J264" s="5" t="s">
        <v>1362</v>
      </c>
    </row>
    <row r="265" spans="1:10" x14ac:dyDescent="0.25" outlineLevel="1" collapsed="1">
      <c r="A265" s="7" t="s">
        <v>15</v>
      </c>
      <c r="B265" s="7" t="s">
        <v>44</v>
      </c>
      <c r="C265" s="10" t="s">
        <v>1363</v>
      </c>
      <c r="D265" s="7"/>
      <c r="E265" s="7" t="s">
        <v>231</v>
      </c>
      <c r="F265" s="7" t="s">
        <v>17</v>
      </c>
      <c r="G265" s="7" t="s">
        <v>251</v>
      </c>
      <c r="H265" s="7" t="s">
        <v>2</v>
      </c>
      <c r="I265" s="7" t="s">
        <v>2</v>
      </c>
      <c r="J265" s="7" t="s">
        <v>232</v>
      </c>
    </row>
    <row r="266" spans="1:10" x14ac:dyDescent="0.25" outlineLevel="1" collapsed="1">
      <c r="A266" s="7" t="s">
        <v>17</v>
      </c>
      <c r="B266" s="7" t="s">
        <v>394</v>
      </c>
      <c r="C266" s="10" t="s">
        <v>395</v>
      </c>
      <c r="D266" s="7">
        <f>EXACT(G265,"HWT, IWT")</f>
      </c>
      <c r="E266" s="11" t="s">
        <v>1364</v>
      </c>
      <c r="F266" s="7" t="s">
        <v>17</v>
      </c>
      <c r="G266" s="7" t="s">
        <v>2</v>
      </c>
      <c r="H266" s="7" t="s">
        <v>2</v>
      </c>
      <c r="I266" s="7" t="s">
        <v>2</v>
      </c>
      <c r="J266" s="7" t="s">
        <v>400</v>
      </c>
    </row>
    <row r="267" spans="1:10" x14ac:dyDescent="0.25" outlineLevel="1" collapsed="1">
      <c r="A267" s="8" t="s">
        <v>17</v>
      </c>
      <c r="B267" s="9" t="s">
        <v>1365</v>
      </c>
      <c r="C267" s="8" t="s">
        <v>2</v>
      </c>
      <c r="D267" s="8">
        <f>EXACT(G265,"CWT, CWS")</f>
      </c>
      <c r="E267" s="8" t="s">
        <v>1366</v>
      </c>
      <c r="F267" s="8" t="s">
        <v>17</v>
      </c>
      <c r="G267" s="8" t="s">
        <v>2</v>
      </c>
      <c r="H267" s="8" t="s">
        <v>2</v>
      </c>
      <c r="I267" s="8" t="s">
        <v>2</v>
      </c>
      <c r="J267" s="8" t="s">
        <v>439</v>
      </c>
    </row>
    <row r="268" spans="1:10" x14ac:dyDescent="0.25" outlineLevel="2" collapsed="1">
      <c r="A268" s="7" t="s">
        <v>15</v>
      </c>
      <c r="B268" s="7" t="s">
        <v>20</v>
      </c>
      <c r="C268" s="7" t="s">
        <v>2</v>
      </c>
      <c r="D268" s="7"/>
      <c r="E268" s="7" t="s">
        <v>1367</v>
      </c>
      <c r="F268" s="7" t="s">
        <v>17</v>
      </c>
      <c r="G268" s="7" t="s">
        <v>22</v>
      </c>
      <c r="H268" s="7" t="s">
        <v>2</v>
      </c>
      <c r="I268" s="7" t="s">
        <v>2</v>
      </c>
      <c r="J268" s="7" t="s">
        <v>1368</v>
      </c>
    </row>
    <row r="269" spans="1:10" x14ac:dyDescent="0.25" outlineLevel="2" collapsed="1">
      <c r="A269" s="7" t="s">
        <v>15</v>
      </c>
      <c r="B269" s="7" t="s">
        <v>20</v>
      </c>
      <c r="C269" s="7" t="s">
        <v>2</v>
      </c>
      <c r="D269" s="7"/>
      <c r="E269" s="7" t="s">
        <v>1281</v>
      </c>
      <c r="F269" s="7" t="s">
        <v>17</v>
      </c>
      <c r="G269" s="7" t="s">
        <v>22</v>
      </c>
      <c r="H269" s="7" t="s">
        <v>2</v>
      </c>
      <c r="I269" s="7" t="s">
        <v>2</v>
      </c>
      <c r="J269" s="7" t="s">
        <v>1283</v>
      </c>
    </row>
    <row r="270" spans="1:10" x14ac:dyDescent="0.25" outlineLevel="2" collapsed="1">
      <c r="A270" s="7" t="s">
        <v>15</v>
      </c>
      <c r="B270" s="7" t="s">
        <v>20</v>
      </c>
      <c r="C270" s="7" t="s">
        <v>2</v>
      </c>
      <c r="D270" s="7"/>
      <c r="E270" s="7" t="s">
        <v>1369</v>
      </c>
      <c r="F270" s="7" t="s">
        <v>17</v>
      </c>
      <c r="G270" s="7" t="s">
        <v>22</v>
      </c>
      <c r="H270" s="7" t="s">
        <v>2</v>
      </c>
      <c r="I270" s="7" t="s">
        <v>2</v>
      </c>
      <c r="J270" s="7" t="s">
        <v>1370</v>
      </c>
    </row>
    <row r="271" spans="1:10" x14ac:dyDescent="0.25" outlineLevel="2" collapsed="1">
      <c r="A271" s="7" t="s">
        <v>15</v>
      </c>
      <c r="B271" s="7" t="s">
        <v>20</v>
      </c>
      <c r="C271" s="7" t="s">
        <v>2</v>
      </c>
      <c r="D271" s="7"/>
      <c r="E271" s="7" t="s">
        <v>1371</v>
      </c>
      <c r="F271" s="7" t="s">
        <v>17</v>
      </c>
      <c r="G271" s="7" t="s">
        <v>22</v>
      </c>
      <c r="H271" s="7" t="s">
        <v>2</v>
      </c>
      <c r="I271" s="7" t="s">
        <v>2</v>
      </c>
      <c r="J271" s="7" t="s">
        <v>1372</v>
      </c>
    </row>
    <row r="272" spans="1:10" x14ac:dyDescent="0.25" outlineLevel="2" collapsed="1">
      <c r="A272" s="7" t="s">
        <v>15</v>
      </c>
      <c r="B272" s="7" t="s">
        <v>125</v>
      </c>
      <c r="C272" s="7" t="s">
        <v>2</v>
      </c>
      <c r="D272" s="7"/>
      <c r="E272" s="7" t="s">
        <v>1373</v>
      </c>
      <c r="F272" s="7" t="s">
        <v>17</v>
      </c>
      <c r="G272" s="7" t="s">
        <v>1374</v>
      </c>
      <c r="H272" s="7" t="s">
        <v>2</v>
      </c>
      <c r="I272" s="7" t="s">
        <v>2</v>
      </c>
      <c r="J272" s="7" t="s">
        <v>1375</v>
      </c>
    </row>
  </sheetData>
  <mergeCells count="3">
    <mergeCell ref="A1:J1"/>
    <mergeCell ref="B2:J2"/>
    <mergeCell ref="B3:J3"/>
  </mergeCells>
  <dataValidations count="16">
    <dataValidation type="list" allowBlank="1" sqref="G12:I12">
      <formula1>'Enums'!C2709:C2710</formula1>
    </dataValidation>
    <dataValidation type="list" allowBlank="1" sqref="G146:I146">
      <formula1>'Enums'!C2400:C2415</formula1>
    </dataValidation>
    <dataValidation type="list" allowBlank="1" sqref="G15:I15">
      <formula1>'Enums'!C2711:C2714</formula1>
    </dataValidation>
    <dataValidation type="list" allowBlank="1" sqref="G165:I165">
      <formula1>'Enums'!C1789:C1795</formula1>
    </dataValidation>
    <dataValidation type="list" allowBlank="1" sqref="G17:I17">
      <formula1>'Enums'!C2715:C2717</formula1>
    </dataValidation>
    <dataValidation type="list" allowBlank="1" sqref="G178:I178">
      <formula1>'Enums'!C1845:C1846</formula1>
    </dataValidation>
    <dataValidation type="list" allowBlank="1" sqref="G21:I21">
      <formula1>'Enums'!C2718:C2733</formula1>
    </dataValidation>
    <dataValidation type="list" allowBlank="1" sqref="G223:I223">
      <formula1>'Enums'!C2747:C2750</formula1>
    </dataValidation>
    <dataValidation type="list" allowBlank="1" sqref="G251:I251">
      <formula1>'Enums'!C2691:C2706</formula1>
    </dataValidation>
    <dataValidation type="list" allowBlank="1" sqref="G26:I26">
      <formula1>'Enums'!C2123:C2375</formula1>
    </dataValidation>
    <dataValidation type="list" allowBlank="1" sqref="G265:I265">
      <formula1>'Enums'!C2677:C2678</formula1>
    </dataValidation>
    <dataValidation type="list" allowBlank="1" sqref="G30:I30">
      <formula1>'Enums'!C2376:C2377</formula1>
    </dataValidation>
    <dataValidation type="list" allowBlank="1" sqref="G45:I45">
      <formula1>'Enums'!C2734:C2735</formula1>
    </dataValidation>
    <dataValidation type="list" allowBlank="1" sqref="G47:I47">
      <formula1>'Enums'!C2736:C2742</formula1>
    </dataValidation>
    <dataValidation type="list" allowBlank="1" sqref="G50:I50">
      <formula1>'Enums'!C2743:C2746</formula1>
    </dataValidation>
    <dataValidation type="list" allowBlank="1" sqref="G53:I53">
      <formula1>'Enums'!C1811:C1812</formula1>
    </dataValidation>
  </dataValidations>
  <hyperlinks>
    <hyperlink ref="B6" r:id="rId1" location="#'Basic Information'!A1"/>
    <hyperlink ref="B9" r:id="rId2" location="#'Project Details'!A1"/>
    <hyperlink ref="B20" r:id="rId3" location="#'Contribution of the Project to'!A1"/>
    <hyperlink ref="B24" r:id="rId4" location="#'Project Location Details'!A1"/>
    <hyperlink ref="B25" r:id="rId5" location="#'Country'!A1"/>
    <hyperlink ref="B34" r:id="rId6" location="#'Activity Developer Details'!A1"/>
    <hyperlink ref="B43" r:id="rId7" location="#'Water Treatment Technology'!A1"/>
    <hyperlink ref="B44" r:id="rId8" location="#'Treatment Technology Sub-ty 3'!A1"/>
    <hyperlink ref="B46" r:id="rId9" location="#'Treatment Technology Sub-type'!A1"/>
    <hyperlink ref="B49" r:id="rId10" location="#'Treatment Technology Sub-ty 2'!A1"/>
    <hyperlink ref="B67" r:id="rId11" location="#'If the Project Installation is'!A1"/>
    <hyperlink ref="B83" r:id="rId12" location="#'Replacement Strategy Details'!A1"/>
    <hyperlink ref="B88" r:id="rId13" location="#'Methodologies and Standardized'!A1"/>
    <hyperlink ref="B91" r:id="rId14" location="#'Baseline Water Sources - Wrapp'!A1"/>
    <hyperlink ref="B92" r:id="rId15" location="#'Baseline Water Sources'!A1"/>
    <hyperlink ref="B94" r:id="rId16" location="#'Water Source Details Percentag'!A1"/>
    <hyperlink ref="B97" r:id="rId17" location="#'Water Source Type Details'!A1"/>
    <hyperlink ref="B101" r:id="rId18" location="#'Baseline Treatment Method - Wr'!A1"/>
    <hyperlink ref="B102" r:id="rId19" location="#'Baseline Treatment Method - 2'!A1"/>
    <hyperlink ref="B104" r:id="rId20" location="#'Baseline Treatment Method - It'!A1"/>
    <hyperlink ref="B108" r:id="rId21" location="#'Stove Details - Wrapper'!A1"/>
    <hyperlink ref="B109" r:id="rId22" location="#'Stove Details - Item with Loca'!A1"/>
    <hyperlink ref="B111" r:id="rId23" location="#'Stove Details - Item'!A1"/>
    <hyperlink ref="B116" r:id="rId24" location="#'Fraction of non-renewable biom'!A1"/>
    <hyperlink ref="B119" r:id="rId25" location="#'Suppressed Demand'!A1"/>
    <hyperlink ref="B126" r:id="rId26" location="#'Sustainable Development Goals'!A1"/>
    <hyperlink ref="B127" r:id="rId27" location="#'Sustainable Development Goa 2'!A1"/>
    <hyperlink ref="B129" r:id="rId28" location="#'Data and parameters fixed ex a'!A1"/>
    <hyperlink ref="B138" r:id="rId29" location="#'Ex Ante Estimation of SDG Impa'!A1"/>
    <hyperlink ref="B145" r:id="rId30" location="#'Sustainable Development Goa 3'!A1"/>
    <hyperlink ref="B148" r:id="rId31" location="#'Data and parameters fixed ex a'!A1"/>
    <hyperlink ref="B157" r:id="rId32" location="#'Ex Ante Estimation of SDG Impa'!A1"/>
    <hyperlink ref="B164" r:id="rId33" location="#'Monitoring Data Management Sys'!A1"/>
    <hyperlink ref="B172" r:id="rId34" location="#'Project Crediting Period Detai'!A1"/>
    <hyperlink ref="B174" r:id="rId35" location="#'Project Crediting Period 2'!A1"/>
    <hyperlink ref="B179" r:id="rId36" location="#'Project Boundary and Additiona'!A1"/>
    <hyperlink ref="B185" r:id="rId37" location="#'Baseline Scenario - Sources'!A1"/>
    <hyperlink ref="B186" r:id="rId38" location="#'Source'!A1"/>
    <hyperlink ref="B188" r:id="rId39" location="#'GHG Details'!A1"/>
    <hyperlink ref="B192" r:id="rId40" location="#'Project Scenario - Sources'!A1"/>
    <hyperlink ref="B193" r:id="rId41" location="#'Source'!A1"/>
    <hyperlink ref="B195" r:id="rId42" location="#'GHG Details'!A1"/>
    <hyperlink ref="B199" r:id="rId43" location="#'Leakage Emissions - Sources'!A1"/>
    <hyperlink ref="B200" r:id="rId44" location="#'Source'!A1"/>
    <hyperlink ref="B202" r:id="rId45" location="#'GHG Details'!A1"/>
    <hyperlink ref="B206" r:id="rId46" location="#'Demonstration Additionality'!A1"/>
    <hyperlink ref="B216" r:id="rId47" location="#'Maintenance and Operation Plan'!A1"/>
    <hyperlink ref="B222" r:id="rId48" location="#'Hygiene Campaign Plan'!A1"/>
    <hyperlink ref="B229" r:id="rId49" location="#'Host Country Regulatory Framew'!A1"/>
    <hyperlink ref="B236" r:id="rId50" location="#'Monitoring Plan Summary'!A1"/>
    <hyperlink ref="B237" r:id="rId51" location="#'Data and Parameters to Be M 2'!A1"/>
    <hyperlink ref="B238" r:id="rId52" location="#'Monitoring Parameter - Item'!A1"/>
    <hyperlink ref="B250" r:id="rId53" location="#'Data and Parameters to Be Moni'!A1"/>
    <hyperlink ref="B252" r:id="rId54" location="#'Monitoring Parameter - Item'!A1"/>
    <hyperlink ref="B264" r:id="rId55" location="#'Technology-Specific Details'!A1"/>
    <hyperlink ref="B267" r:id="rId56" location="#'Maintenance Plan for CWTCW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1376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1377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133</v>
      </c>
      <c r="C5" s="5" t="s">
        <v>134</v>
      </c>
      <c r="D5" s="5"/>
      <c r="E5" s="5" t="s">
        <v>135</v>
      </c>
      <c r="F5" s="5" t="s">
        <v>17</v>
      </c>
      <c r="G5" s="5" t="s">
        <v>1378</v>
      </c>
      <c r="H5" s="5" t="s">
        <v>2</v>
      </c>
      <c r="I5" s="5" t="s">
        <v>2</v>
      </c>
      <c r="J5" s="5" t="s">
        <v>137</v>
      </c>
    </row>
    <row r="6" spans="1:10" x14ac:dyDescent="0.25">
      <c r="A6" s="5" t="s">
        <v>15</v>
      </c>
      <c r="B6" s="6" t="s">
        <v>337</v>
      </c>
      <c r="C6" s="5" t="s">
        <v>2</v>
      </c>
      <c r="D6" s="5"/>
      <c r="E6" s="5" t="s">
        <v>1379</v>
      </c>
      <c r="F6" s="5" t="s">
        <v>17</v>
      </c>
      <c r="G6" s="5" t="s">
        <v>1380</v>
      </c>
      <c r="H6" s="5" t="s">
        <v>2</v>
      </c>
      <c r="I6" s="5" t="s">
        <v>2</v>
      </c>
      <c r="J6" s="5" t="s">
        <v>1381</v>
      </c>
    </row>
    <row r="7" spans="1:10" x14ac:dyDescent="0.25" outlineLevel="1" collapsed="1">
      <c r="A7" s="7" t="s">
        <v>15</v>
      </c>
      <c r="B7" s="7" t="s">
        <v>44</v>
      </c>
      <c r="C7" s="10" t="s">
        <v>769</v>
      </c>
      <c r="D7" s="7"/>
      <c r="E7" s="7" t="s">
        <v>337</v>
      </c>
      <c r="F7" s="7" t="s">
        <v>17</v>
      </c>
      <c r="G7" s="7" t="s">
        <v>340</v>
      </c>
      <c r="H7" s="7" t="s">
        <v>2</v>
      </c>
      <c r="I7" s="7" t="s">
        <v>2</v>
      </c>
      <c r="J7" s="7" t="s">
        <v>338</v>
      </c>
    </row>
    <row r="8" spans="1:10" x14ac:dyDescent="0.25">
      <c r="A8" s="5" t="s">
        <v>15</v>
      </c>
      <c r="B8" s="5" t="s">
        <v>44</v>
      </c>
      <c r="C8" s="12" t="s">
        <v>1382</v>
      </c>
      <c r="D8" s="5"/>
      <c r="E8" s="5" t="s">
        <v>1382</v>
      </c>
      <c r="F8" s="5" t="s">
        <v>15</v>
      </c>
      <c r="G8" s="5" t="s">
        <v>1383</v>
      </c>
      <c r="H8" s="5" t="s">
        <v>2</v>
      </c>
      <c r="I8" s="5" t="s">
        <v>2</v>
      </c>
      <c r="J8" s="5" t="s">
        <v>1384</v>
      </c>
    </row>
    <row r="9" spans="1:10" x14ac:dyDescent="0.25">
      <c r="A9" s="5" t="s">
        <v>15</v>
      </c>
      <c r="B9" s="5" t="s">
        <v>44</v>
      </c>
      <c r="C9" s="12" t="s">
        <v>1385</v>
      </c>
      <c r="D9" s="5"/>
      <c r="E9" s="5" t="s">
        <v>1385</v>
      </c>
      <c r="F9" s="5" t="s">
        <v>15</v>
      </c>
      <c r="G9" s="5" t="s">
        <v>1386</v>
      </c>
      <c r="H9" s="5" t="s">
        <v>2</v>
      </c>
      <c r="I9" s="5" t="s">
        <v>2</v>
      </c>
      <c r="J9" s="5" t="s">
        <v>1387</v>
      </c>
    </row>
    <row r="10" spans="1:10" x14ac:dyDescent="0.25">
      <c r="A10" s="5" t="s">
        <v>15</v>
      </c>
      <c r="B10" s="5" t="s">
        <v>133</v>
      </c>
      <c r="C10" s="5" t="s">
        <v>142</v>
      </c>
      <c r="D10" s="5"/>
      <c r="E10" s="5" t="s">
        <v>1388</v>
      </c>
      <c r="F10" s="5" t="s">
        <v>17</v>
      </c>
      <c r="G10" s="5" t="s">
        <v>22</v>
      </c>
      <c r="H10" s="5" t="s">
        <v>2</v>
      </c>
      <c r="I10" s="5" t="s">
        <v>2</v>
      </c>
      <c r="J10" s="5" t="s">
        <v>1389</v>
      </c>
    </row>
    <row r="11" spans="1:10" x14ac:dyDescent="0.25">
      <c r="A11" s="5" t="s">
        <v>15</v>
      </c>
      <c r="B11" s="5" t="s">
        <v>160</v>
      </c>
      <c r="C11" s="5" t="s">
        <v>2</v>
      </c>
      <c r="D11" s="5"/>
      <c r="E11" s="5" t="s">
        <v>161</v>
      </c>
      <c r="F11" s="5" t="s">
        <v>17</v>
      </c>
      <c r="G11" s="5" t="s">
        <v>1390</v>
      </c>
      <c r="H11" s="5" t="s">
        <v>2</v>
      </c>
      <c r="I11" s="5" t="s">
        <v>2</v>
      </c>
      <c r="J11" s="5" t="s">
        <v>163</v>
      </c>
    </row>
    <row r="12" spans="1:10" x14ac:dyDescent="0.25">
      <c r="A12" s="5" t="s">
        <v>15</v>
      </c>
      <c r="B12" s="5" t="s">
        <v>133</v>
      </c>
      <c r="C12" s="5" t="s">
        <v>153</v>
      </c>
      <c r="D12" s="5"/>
      <c r="E12" s="5" t="s">
        <v>1391</v>
      </c>
      <c r="F12" s="5" t="s">
        <v>17</v>
      </c>
      <c r="G12" s="5" t="s">
        <v>22</v>
      </c>
      <c r="H12" s="5" t="s">
        <v>2</v>
      </c>
      <c r="I12" s="5" t="s">
        <v>2</v>
      </c>
      <c r="J12" s="5" t="s">
        <v>1392</v>
      </c>
    </row>
    <row r="13" spans="1:10" x14ac:dyDescent="0.25">
      <c r="A13" s="5" t="s">
        <v>15</v>
      </c>
      <c r="B13" s="5" t="s">
        <v>133</v>
      </c>
      <c r="C13" s="5" t="s">
        <v>153</v>
      </c>
      <c r="D13" s="5"/>
      <c r="E13" s="5" t="s">
        <v>1393</v>
      </c>
      <c r="F13" s="5" t="s">
        <v>17</v>
      </c>
      <c r="G13" s="5" t="s">
        <v>22</v>
      </c>
      <c r="H13" s="5" t="s">
        <v>2</v>
      </c>
      <c r="I13" s="5" t="s">
        <v>2</v>
      </c>
      <c r="J13" s="5" t="s">
        <v>1394</v>
      </c>
    </row>
    <row r="14" spans="1:10" x14ac:dyDescent="0.25">
      <c r="A14" s="5" t="s">
        <v>15</v>
      </c>
      <c r="B14" s="5" t="s">
        <v>133</v>
      </c>
      <c r="C14" s="5" t="s">
        <v>164</v>
      </c>
      <c r="D14" s="5"/>
      <c r="E14" s="5" t="s">
        <v>1395</v>
      </c>
      <c r="F14" s="5" t="s">
        <v>17</v>
      </c>
      <c r="G14" s="5" t="s">
        <v>1396</v>
      </c>
      <c r="H14" s="5" t="s">
        <v>2</v>
      </c>
      <c r="I14" s="5" t="s">
        <v>2</v>
      </c>
      <c r="J14" s="5" t="s">
        <v>1397</v>
      </c>
    </row>
    <row r="15" spans="1:10" x14ac:dyDescent="0.25">
      <c r="A15" s="5" t="s">
        <v>15</v>
      </c>
      <c r="B15" s="5" t="s">
        <v>125</v>
      </c>
      <c r="C15" s="5" t="s">
        <v>2</v>
      </c>
      <c r="D15" s="5"/>
      <c r="E15" s="5" t="s">
        <v>1398</v>
      </c>
      <c r="F15" s="5" t="s">
        <v>17</v>
      </c>
      <c r="G15" s="5" t="s">
        <v>1045</v>
      </c>
      <c r="H15" s="5" t="s">
        <v>2</v>
      </c>
      <c r="I15" s="5" t="s">
        <v>2</v>
      </c>
      <c r="J15" s="5" t="s">
        <v>1399</v>
      </c>
    </row>
    <row r="16" spans="1:10" x14ac:dyDescent="0.25">
      <c r="A16" s="5" t="s">
        <v>15</v>
      </c>
      <c r="B16" s="5" t="s">
        <v>125</v>
      </c>
      <c r="C16" s="5" t="s">
        <v>2</v>
      </c>
      <c r="D16" s="5"/>
      <c r="E16" s="5" t="s">
        <v>1400</v>
      </c>
      <c r="F16" s="5" t="s">
        <v>17</v>
      </c>
      <c r="G16" s="5" t="s">
        <v>1045</v>
      </c>
      <c r="H16" s="5" t="s">
        <v>2</v>
      </c>
      <c r="I16" s="5" t="s">
        <v>2</v>
      </c>
      <c r="J16" s="5" t="s">
        <v>1401</v>
      </c>
    </row>
    <row r="17" spans="1:10" x14ac:dyDescent="0.25">
      <c r="A17" s="5" t="s">
        <v>15</v>
      </c>
      <c r="B17" s="5" t="s">
        <v>125</v>
      </c>
      <c r="C17" s="5" t="s">
        <v>2</v>
      </c>
      <c r="D17" s="5"/>
      <c r="E17" s="5" t="s">
        <v>1402</v>
      </c>
      <c r="F17" s="5" t="s">
        <v>17</v>
      </c>
      <c r="G17" s="5" t="s">
        <v>1045</v>
      </c>
      <c r="H17" s="5" t="s">
        <v>2</v>
      </c>
      <c r="I17" s="5" t="s">
        <v>2</v>
      </c>
      <c r="J17" s="5" t="s">
        <v>1403</v>
      </c>
    </row>
    <row r="18" spans="1:10" x14ac:dyDescent="0.25">
      <c r="A18" s="5" t="s">
        <v>15</v>
      </c>
      <c r="B18" s="5" t="s">
        <v>125</v>
      </c>
      <c r="C18" s="5" t="s">
        <v>2</v>
      </c>
      <c r="D18" s="5"/>
      <c r="E18" s="5" t="s">
        <v>1404</v>
      </c>
      <c r="F18" s="5" t="s">
        <v>17</v>
      </c>
      <c r="G18" s="5" t="s">
        <v>1045</v>
      </c>
      <c r="H18" s="5" t="s">
        <v>2</v>
      </c>
      <c r="I18" s="5" t="s">
        <v>2</v>
      </c>
      <c r="J18" s="5" t="s">
        <v>1405</v>
      </c>
    </row>
    <row r="19" spans="1:10" x14ac:dyDescent="0.25">
      <c r="A19" s="5" t="s">
        <v>17</v>
      </c>
      <c r="B19" s="5" t="s">
        <v>125</v>
      </c>
      <c r="C19" s="5" t="s">
        <v>2</v>
      </c>
      <c r="D19" s="5"/>
      <c r="E19" s="5" t="s">
        <v>1406</v>
      </c>
      <c r="F19" s="5" t="s">
        <v>17</v>
      </c>
      <c r="G19" s="5" t="s">
        <v>1045</v>
      </c>
      <c r="H19" s="5" t="s">
        <v>2</v>
      </c>
      <c r="I19" s="5" t="s">
        <v>2</v>
      </c>
      <c r="J19" s="5" t="s">
        <v>1407</v>
      </c>
    </row>
    <row r="20" spans="1:10" x14ac:dyDescent="0.25">
      <c r="A20" s="5" t="s">
        <v>17</v>
      </c>
      <c r="B20" s="5" t="s">
        <v>125</v>
      </c>
      <c r="C20" s="5" t="s">
        <v>2</v>
      </c>
      <c r="D20" s="5"/>
      <c r="E20" s="5" t="s">
        <v>1408</v>
      </c>
      <c r="F20" s="5" t="s">
        <v>17</v>
      </c>
      <c r="G20" s="5" t="s">
        <v>1045</v>
      </c>
      <c r="H20" s="5" t="s">
        <v>2</v>
      </c>
      <c r="I20" s="5" t="s">
        <v>2</v>
      </c>
      <c r="J20" s="5" t="s">
        <v>1409</v>
      </c>
    </row>
  </sheetData>
  <mergeCells count="3">
    <mergeCell ref="A1:J1"/>
    <mergeCell ref="B2:J2"/>
    <mergeCell ref="B3:J3"/>
  </mergeCells>
  <dataValidations count="1">
    <dataValidation type="list" allowBlank="1" sqref="G7:I7">
      <formula1>'Enums'!C2123:C2375</formula1>
    </dataValidation>
  </dataValidations>
  <hyperlinks>
    <hyperlink ref="B6" r:id="rId1" location="#'Country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1410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260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185</v>
      </c>
      <c r="C5" s="5" t="s">
        <v>2</v>
      </c>
      <c r="D5" s="5"/>
      <c r="E5" s="5" t="s">
        <v>185</v>
      </c>
      <c r="F5" s="5" t="s">
        <v>17</v>
      </c>
      <c r="G5" s="5" t="s">
        <v>1411</v>
      </c>
      <c r="H5" s="5" t="s">
        <v>2</v>
      </c>
      <c r="I5" s="5" t="s">
        <v>2</v>
      </c>
      <c r="J5" s="5" t="s">
        <v>19</v>
      </c>
    </row>
    <row r="6" spans="1:10" x14ac:dyDescent="0.25" outlineLevel="1" collapsed="1">
      <c r="A6" s="7" t="s">
        <v>15</v>
      </c>
      <c r="B6" s="7" t="s">
        <v>133</v>
      </c>
      <c r="C6" s="7" t="s">
        <v>187</v>
      </c>
      <c r="D6" s="7"/>
      <c r="E6" s="7" t="s">
        <v>21</v>
      </c>
      <c r="F6" s="7" t="s">
        <v>17</v>
      </c>
      <c r="G6" s="7" t="s">
        <v>1412</v>
      </c>
      <c r="H6" s="7" t="s">
        <v>2</v>
      </c>
      <c r="I6" s="7" t="s">
        <v>2</v>
      </c>
      <c r="J6" s="7" t="s">
        <v>23</v>
      </c>
    </row>
    <row r="7" spans="1:10" x14ac:dyDescent="0.25" outlineLevel="1" collapsed="1">
      <c r="A7" s="7" t="s">
        <v>15</v>
      </c>
      <c r="B7" s="7" t="s">
        <v>133</v>
      </c>
      <c r="C7" s="7" t="s">
        <v>730</v>
      </c>
      <c r="D7" s="7"/>
      <c r="E7" s="7" t="s">
        <v>731</v>
      </c>
      <c r="F7" s="7" t="s">
        <v>17</v>
      </c>
      <c r="G7" s="7" t="s">
        <v>1413</v>
      </c>
      <c r="H7" s="7" t="s">
        <v>2</v>
      </c>
      <c r="I7" s="7" t="s">
        <v>2</v>
      </c>
      <c r="J7" s="7" t="s">
        <v>733</v>
      </c>
    </row>
    <row r="8" spans="1:10" x14ac:dyDescent="0.25" outlineLevel="1" collapsed="1">
      <c r="A8" s="7" t="s">
        <v>15</v>
      </c>
      <c r="B8" s="7" t="s">
        <v>44</v>
      </c>
      <c r="C8" s="10" t="s">
        <v>734</v>
      </c>
      <c r="D8" s="7"/>
      <c r="E8" s="7" t="s">
        <v>735</v>
      </c>
      <c r="F8" s="7" t="s">
        <v>17</v>
      </c>
      <c r="G8" s="7" t="s">
        <v>736</v>
      </c>
      <c r="H8" s="7" t="s">
        <v>2</v>
      </c>
      <c r="I8" s="7" t="s">
        <v>2</v>
      </c>
      <c r="J8" s="7" t="s">
        <v>737</v>
      </c>
    </row>
    <row r="9" spans="1:10" x14ac:dyDescent="0.25" outlineLevel="1" collapsed="1">
      <c r="A9" s="7" t="s">
        <v>15</v>
      </c>
      <c r="B9" s="7" t="s">
        <v>26</v>
      </c>
      <c r="C9" s="7" t="s">
        <v>2</v>
      </c>
      <c r="D9" s="7"/>
      <c r="E9" s="7" t="s">
        <v>738</v>
      </c>
      <c r="F9" s="7" t="s">
        <v>17</v>
      </c>
      <c r="G9" s="7" t="s">
        <v>37</v>
      </c>
      <c r="H9" s="7" t="s">
        <v>2</v>
      </c>
      <c r="I9" s="7" t="s">
        <v>2</v>
      </c>
      <c r="J9" s="7" t="s">
        <v>739</v>
      </c>
    </row>
    <row r="10" spans="1:10" x14ac:dyDescent="0.25" outlineLevel="1" collapsed="1">
      <c r="A10" s="7" t="s">
        <v>15</v>
      </c>
      <c r="B10" s="7" t="s">
        <v>26</v>
      </c>
      <c r="C10" s="7" t="s">
        <v>2</v>
      </c>
      <c r="D10" s="7"/>
      <c r="E10" s="7" t="s">
        <v>740</v>
      </c>
      <c r="F10" s="7" t="s">
        <v>17</v>
      </c>
      <c r="G10" s="7" t="s">
        <v>37</v>
      </c>
      <c r="H10" s="7" t="s">
        <v>2</v>
      </c>
      <c r="I10" s="7" t="s">
        <v>2</v>
      </c>
      <c r="J10" s="7" t="s">
        <v>741</v>
      </c>
    </row>
    <row r="11" spans="1:10" x14ac:dyDescent="0.25" outlineLevel="1" collapsed="1">
      <c r="A11" s="7" t="s">
        <v>15</v>
      </c>
      <c r="B11" s="7" t="s">
        <v>44</v>
      </c>
      <c r="C11" s="10" t="s">
        <v>742</v>
      </c>
      <c r="D11" s="7"/>
      <c r="E11" s="7" t="s">
        <v>743</v>
      </c>
      <c r="F11" s="7" t="s">
        <v>17</v>
      </c>
      <c r="G11" s="7" t="s">
        <v>744</v>
      </c>
      <c r="H11" s="7" t="s">
        <v>2</v>
      </c>
      <c r="I11" s="7" t="s">
        <v>2</v>
      </c>
      <c r="J11" s="7" t="s">
        <v>745</v>
      </c>
    </row>
    <row r="12" spans="1:10" x14ac:dyDescent="0.25" outlineLevel="1" collapsed="1">
      <c r="A12" s="7" t="s">
        <v>15</v>
      </c>
      <c r="B12" s="7" t="s">
        <v>133</v>
      </c>
      <c r="C12" s="7" t="s">
        <v>730</v>
      </c>
      <c r="D12" s="7"/>
      <c r="E12" s="7" t="s">
        <v>746</v>
      </c>
      <c r="F12" s="7" t="s">
        <v>17</v>
      </c>
      <c r="G12" s="7" t="s">
        <v>1414</v>
      </c>
      <c r="H12" s="7" t="s">
        <v>2</v>
      </c>
      <c r="I12" s="7" t="s">
        <v>2</v>
      </c>
      <c r="J12" s="7" t="s">
        <v>748</v>
      </c>
    </row>
    <row r="13" spans="1:10" x14ac:dyDescent="0.25" outlineLevel="1" collapsed="1">
      <c r="A13" s="7" t="s">
        <v>15</v>
      </c>
      <c r="B13" s="7" t="s">
        <v>44</v>
      </c>
      <c r="C13" s="10" t="s">
        <v>749</v>
      </c>
      <c r="D13" s="7"/>
      <c r="E13" s="7" t="s">
        <v>750</v>
      </c>
      <c r="F13" s="7" t="s">
        <v>17</v>
      </c>
      <c r="G13" s="7" t="s">
        <v>751</v>
      </c>
      <c r="H13" s="7" t="s">
        <v>2</v>
      </c>
      <c r="I13" s="7" t="s">
        <v>2</v>
      </c>
      <c r="J13" s="7" t="s">
        <v>752</v>
      </c>
    </row>
    <row r="14" spans="1:10" x14ac:dyDescent="0.25" outlineLevel="1" collapsed="1">
      <c r="A14" s="7" t="s">
        <v>15</v>
      </c>
      <c r="B14" s="7" t="s">
        <v>20</v>
      </c>
      <c r="C14" s="7" t="s">
        <v>2</v>
      </c>
      <c r="D14" s="7"/>
      <c r="E14" s="7" t="s">
        <v>753</v>
      </c>
      <c r="F14" s="7" t="s">
        <v>17</v>
      </c>
      <c r="G14" s="7" t="s">
        <v>22</v>
      </c>
      <c r="H14" s="7" t="s">
        <v>2</v>
      </c>
      <c r="I14" s="7" t="s">
        <v>2</v>
      </c>
      <c r="J14" s="7" t="s">
        <v>754</v>
      </c>
    </row>
    <row r="15" spans="1:10" x14ac:dyDescent="0.25" outlineLevel="1" collapsed="1">
      <c r="A15" s="7" t="s">
        <v>15</v>
      </c>
      <c r="B15" s="7" t="s">
        <v>133</v>
      </c>
      <c r="C15" s="7" t="s">
        <v>730</v>
      </c>
      <c r="D15" s="7"/>
      <c r="E15" s="7" t="s">
        <v>755</v>
      </c>
      <c r="F15" s="7" t="s">
        <v>17</v>
      </c>
      <c r="G15" s="7" t="s">
        <v>1415</v>
      </c>
      <c r="H15" s="7" t="s">
        <v>2</v>
      </c>
      <c r="I15" s="7" t="s">
        <v>2</v>
      </c>
      <c r="J15" s="7" t="s">
        <v>717</v>
      </c>
    </row>
    <row r="16" spans="1:10" x14ac:dyDescent="0.25" outlineLevel="1" collapsed="1">
      <c r="A16" s="8" t="s">
        <v>17</v>
      </c>
      <c r="B16" s="9" t="s">
        <v>757</v>
      </c>
      <c r="C16" s="8" t="s">
        <v>2</v>
      </c>
      <c r="D16" s="8"/>
      <c r="E16" s="8" t="s">
        <v>758</v>
      </c>
      <c r="F16" s="8" t="s">
        <v>15</v>
      </c>
      <c r="G16" s="8" t="s">
        <v>2</v>
      </c>
      <c r="H16" s="8" t="s">
        <v>2</v>
      </c>
      <c r="I16" s="8" t="s">
        <v>2</v>
      </c>
      <c r="J16" s="8" t="s">
        <v>759</v>
      </c>
    </row>
    <row r="17" spans="1:10" x14ac:dyDescent="0.25" outlineLevel="2" collapsed="1">
      <c r="A17" s="7" t="s">
        <v>15</v>
      </c>
      <c r="B17" s="7" t="s">
        <v>44</v>
      </c>
      <c r="C17" s="10" t="s">
        <v>760</v>
      </c>
      <c r="D17" s="7"/>
      <c r="E17" s="7" t="s">
        <v>761</v>
      </c>
      <c r="F17" s="7" t="s">
        <v>17</v>
      </c>
      <c r="G17" s="7" t="s">
        <v>762</v>
      </c>
      <c r="H17" s="7" t="s">
        <v>2</v>
      </c>
      <c r="I17" s="7" t="s">
        <v>2</v>
      </c>
      <c r="J17" s="7" t="s">
        <v>763</v>
      </c>
    </row>
    <row r="18" spans="1:10" x14ac:dyDescent="0.25" outlineLevel="2" collapsed="1">
      <c r="A18" s="7" t="s">
        <v>15</v>
      </c>
      <c r="B18" s="7" t="s">
        <v>20</v>
      </c>
      <c r="C18" s="7" t="s">
        <v>2</v>
      </c>
      <c r="D18" s="7"/>
      <c r="E18" s="7" t="s">
        <v>764</v>
      </c>
      <c r="F18" s="7" t="s">
        <v>17</v>
      </c>
      <c r="G18" s="7" t="s">
        <v>22</v>
      </c>
      <c r="H18" s="7" t="s">
        <v>2</v>
      </c>
      <c r="I18" s="7" t="s">
        <v>2</v>
      </c>
      <c r="J18" s="7" t="s">
        <v>765</v>
      </c>
    </row>
    <row r="19" spans="1:10" x14ac:dyDescent="0.25" outlineLevel="1" collapsed="1">
      <c r="A19" s="7" t="s">
        <v>15</v>
      </c>
      <c r="B19" s="7" t="s">
        <v>20</v>
      </c>
      <c r="C19" s="7" t="s">
        <v>2</v>
      </c>
      <c r="D19" s="7"/>
      <c r="E19" s="7" t="s">
        <v>766</v>
      </c>
      <c r="F19" s="7" t="s">
        <v>17</v>
      </c>
      <c r="G19" s="7" t="s">
        <v>22</v>
      </c>
      <c r="H19" s="7" t="s">
        <v>2</v>
      </c>
      <c r="I19" s="7" t="s">
        <v>2</v>
      </c>
      <c r="J19" s="7" t="s">
        <v>767</v>
      </c>
    </row>
    <row r="20" spans="1:10" x14ac:dyDescent="0.25">
      <c r="A20" s="5" t="s">
        <v>15</v>
      </c>
      <c r="B20" s="6" t="s">
        <v>333</v>
      </c>
      <c r="C20" s="5" t="s">
        <v>2</v>
      </c>
      <c r="D20" s="5"/>
      <c r="E20" s="5" t="s">
        <v>333</v>
      </c>
      <c r="F20" s="5" t="s">
        <v>15</v>
      </c>
      <c r="G20" s="5" t="s">
        <v>1416</v>
      </c>
      <c r="H20" s="5" t="s">
        <v>2</v>
      </c>
      <c r="I20" s="5" t="s">
        <v>2</v>
      </c>
      <c r="J20" s="5" t="s">
        <v>335</v>
      </c>
    </row>
    <row r="21" spans="1:10" x14ac:dyDescent="0.25" outlineLevel="1" collapsed="1">
      <c r="A21" s="8" t="s">
        <v>15</v>
      </c>
      <c r="B21" s="9" t="s">
        <v>337</v>
      </c>
      <c r="C21" s="8" t="s">
        <v>2</v>
      </c>
      <c r="D21" s="8"/>
      <c r="E21" s="8" t="s">
        <v>337</v>
      </c>
      <c r="F21" s="8" t="s">
        <v>17</v>
      </c>
      <c r="G21" s="8" t="s">
        <v>2</v>
      </c>
      <c r="H21" s="8" t="s">
        <v>2</v>
      </c>
      <c r="I21" s="8" t="s">
        <v>2</v>
      </c>
      <c r="J21" s="8" t="s">
        <v>338</v>
      </c>
    </row>
    <row r="22" spans="1:10" x14ac:dyDescent="0.25" outlineLevel="2" collapsed="1">
      <c r="A22" s="7" t="s">
        <v>15</v>
      </c>
      <c r="B22" s="7" t="s">
        <v>44</v>
      </c>
      <c r="C22" s="10" t="s">
        <v>769</v>
      </c>
      <c r="D22" s="7"/>
      <c r="E22" s="7" t="s">
        <v>337</v>
      </c>
      <c r="F22" s="7" t="s">
        <v>17</v>
      </c>
      <c r="G22" s="7" t="s">
        <v>340</v>
      </c>
      <c r="H22" s="7" t="s">
        <v>2</v>
      </c>
      <c r="I22" s="7" t="s">
        <v>2</v>
      </c>
      <c r="J22" s="7" t="s">
        <v>338</v>
      </c>
    </row>
    <row r="23" spans="1:10" x14ac:dyDescent="0.25" outlineLevel="1" collapsed="1">
      <c r="A23" s="7" t="s">
        <v>15</v>
      </c>
      <c r="B23" s="7" t="s">
        <v>133</v>
      </c>
      <c r="C23" s="7" t="s">
        <v>341</v>
      </c>
      <c r="D23" s="7"/>
      <c r="E23" s="7" t="s">
        <v>342</v>
      </c>
      <c r="F23" s="7" t="s">
        <v>17</v>
      </c>
      <c r="G23" s="7" t="s">
        <v>1417</v>
      </c>
      <c r="H23" s="7" t="s">
        <v>2</v>
      </c>
      <c r="I23" s="7" t="s">
        <v>2</v>
      </c>
      <c r="J23" s="7" t="s">
        <v>344</v>
      </c>
    </row>
    <row r="24" spans="1:10" x14ac:dyDescent="0.25" outlineLevel="1" collapsed="1">
      <c r="A24" s="7" t="s">
        <v>15</v>
      </c>
      <c r="B24" s="7" t="s">
        <v>133</v>
      </c>
      <c r="C24" s="7" t="s">
        <v>268</v>
      </c>
      <c r="D24" s="7"/>
      <c r="E24" s="7" t="s">
        <v>345</v>
      </c>
      <c r="F24" s="7" t="s">
        <v>17</v>
      </c>
      <c r="G24" s="7" t="s">
        <v>1418</v>
      </c>
      <c r="H24" s="7" t="s">
        <v>2</v>
      </c>
      <c r="I24" s="7" t="s">
        <v>2</v>
      </c>
      <c r="J24" s="7" t="s">
        <v>347</v>
      </c>
    </row>
    <row r="25" spans="1:10" x14ac:dyDescent="0.25" outlineLevel="1" collapsed="1">
      <c r="A25" s="7" t="s">
        <v>15</v>
      </c>
      <c r="B25" s="7" t="s">
        <v>133</v>
      </c>
      <c r="C25" s="7" t="s">
        <v>348</v>
      </c>
      <c r="D25" s="7"/>
      <c r="E25" s="7" t="s">
        <v>349</v>
      </c>
      <c r="F25" s="7" t="s">
        <v>17</v>
      </c>
      <c r="G25" s="7" t="s">
        <v>1419</v>
      </c>
      <c r="H25" s="7" t="s">
        <v>2</v>
      </c>
      <c r="I25" s="7" t="s">
        <v>2</v>
      </c>
      <c r="J25" s="7" t="s">
        <v>351</v>
      </c>
    </row>
    <row r="26" spans="1:10" x14ac:dyDescent="0.25" outlineLevel="1" collapsed="1">
      <c r="A26" s="7" t="s">
        <v>15</v>
      </c>
      <c r="B26" s="7" t="s">
        <v>44</v>
      </c>
      <c r="C26" s="10" t="s">
        <v>773</v>
      </c>
      <c r="D26" s="7"/>
      <c r="E26" s="7" t="s">
        <v>353</v>
      </c>
      <c r="F26" s="7" t="s">
        <v>17</v>
      </c>
      <c r="G26" s="7" t="s">
        <v>354</v>
      </c>
      <c r="H26" s="7" t="s">
        <v>2</v>
      </c>
      <c r="I26" s="7" t="s">
        <v>2</v>
      </c>
      <c r="J26" s="7" t="s">
        <v>355</v>
      </c>
    </row>
    <row r="27" spans="1:10" x14ac:dyDescent="0.25" outlineLevel="1" collapsed="1">
      <c r="A27" s="7" t="s">
        <v>15</v>
      </c>
      <c r="B27" s="7" t="s">
        <v>356</v>
      </c>
      <c r="C27" s="7" t="s">
        <v>2</v>
      </c>
      <c r="D27" s="7"/>
      <c r="E27" s="7" t="s">
        <v>357</v>
      </c>
      <c r="F27" s="7" t="s">
        <v>17</v>
      </c>
      <c r="G27" s="7" t="s">
        <v>2</v>
      </c>
      <c r="H27" s="7" t="s">
        <v>2</v>
      </c>
      <c r="I27" s="7" t="s">
        <v>2</v>
      </c>
      <c r="J27" s="7" t="s">
        <v>335</v>
      </c>
    </row>
    <row r="28" spans="1:10" x14ac:dyDescent="0.25" outlineLevel="1" collapsed="1">
      <c r="A28" s="7" t="s">
        <v>15</v>
      </c>
      <c r="B28" s="7" t="s">
        <v>133</v>
      </c>
      <c r="C28" s="7" t="s">
        <v>358</v>
      </c>
      <c r="D28" s="7"/>
      <c r="E28" s="7" t="s">
        <v>359</v>
      </c>
      <c r="F28" s="7" t="s">
        <v>17</v>
      </c>
      <c r="G28" s="7" t="s">
        <v>1420</v>
      </c>
      <c r="H28" s="7" t="s">
        <v>2</v>
      </c>
      <c r="I28" s="7" t="s">
        <v>2</v>
      </c>
      <c r="J28" s="7" t="s">
        <v>361</v>
      </c>
    </row>
    <row r="29" spans="1:10" x14ac:dyDescent="0.25" outlineLevel="1" collapsed="1">
      <c r="A29" s="7" t="s">
        <v>15</v>
      </c>
      <c r="B29" s="7" t="s">
        <v>133</v>
      </c>
      <c r="C29" s="7" t="s">
        <v>362</v>
      </c>
      <c r="D29" s="7"/>
      <c r="E29" s="7" t="s">
        <v>363</v>
      </c>
      <c r="F29" s="7" t="s">
        <v>17</v>
      </c>
      <c r="G29" s="7" t="s">
        <v>1421</v>
      </c>
      <c r="H29" s="7" t="s">
        <v>2</v>
      </c>
      <c r="I29" s="7" t="s">
        <v>2</v>
      </c>
      <c r="J29" s="7" t="s">
        <v>365</v>
      </c>
    </row>
    <row r="30" spans="1:10" x14ac:dyDescent="0.25">
      <c r="A30" s="5" t="s">
        <v>15</v>
      </c>
      <c r="B30" s="6" t="s">
        <v>207</v>
      </c>
      <c r="C30" s="5" t="s">
        <v>2</v>
      </c>
      <c r="D30" s="5"/>
      <c r="E30" s="5" t="s">
        <v>207</v>
      </c>
      <c r="F30" s="5" t="s">
        <v>17</v>
      </c>
      <c r="G30" s="5" t="s">
        <v>1422</v>
      </c>
      <c r="H30" s="5" t="s">
        <v>2</v>
      </c>
      <c r="I30" s="5" t="s">
        <v>2</v>
      </c>
      <c r="J30" s="5" t="s">
        <v>1001</v>
      </c>
    </row>
    <row r="31" spans="1:10" x14ac:dyDescent="0.25" outlineLevel="1" collapsed="1">
      <c r="A31" s="7" t="s">
        <v>15</v>
      </c>
      <c r="B31" s="7" t="s">
        <v>20</v>
      </c>
      <c r="C31" s="7" t="s">
        <v>2</v>
      </c>
      <c r="D31" s="7"/>
      <c r="E31" s="7" t="s">
        <v>135</v>
      </c>
      <c r="F31" s="7" t="s">
        <v>17</v>
      </c>
      <c r="G31" s="7" t="s">
        <v>22</v>
      </c>
      <c r="H31" s="7" t="s">
        <v>2</v>
      </c>
      <c r="I31" s="7" t="s">
        <v>2</v>
      </c>
      <c r="J31" s="7" t="s">
        <v>210</v>
      </c>
    </row>
    <row r="32" spans="1:10" x14ac:dyDescent="0.25" outlineLevel="1" collapsed="1">
      <c r="A32" s="7" t="s">
        <v>15</v>
      </c>
      <c r="B32" s="7" t="s">
        <v>160</v>
      </c>
      <c r="C32" s="7" t="s">
        <v>2</v>
      </c>
      <c r="D32" s="7"/>
      <c r="E32" s="7" t="s">
        <v>211</v>
      </c>
      <c r="F32" s="7" t="s">
        <v>17</v>
      </c>
      <c r="G32" s="7" t="s">
        <v>162</v>
      </c>
      <c r="H32" s="7" t="s">
        <v>2</v>
      </c>
      <c r="I32" s="7" t="s">
        <v>2</v>
      </c>
      <c r="J32" s="7" t="s">
        <v>212</v>
      </c>
    </row>
    <row r="33" spans="1:10" x14ac:dyDescent="0.25" outlineLevel="1" collapsed="1">
      <c r="A33" s="7" t="s">
        <v>15</v>
      </c>
      <c r="B33" s="7" t="s">
        <v>20</v>
      </c>
      <c r="C33" s="7" t="s">
        <v>2</v>
      </c>
      <c r="D33" s="7"/>
      <c r="E33" s="7" t="s">
        <v>213</v>
      </c>
      <c r="F33" s="7" t="s">
        <v>17</v>
      </c>
      <c r="G33" s="7" t="s">
        <v>22</v>
      </c>
      <c r="H33" s="7" t="s">
        <v>2</v>
      </c>
      <c r="I33" s="7" t="s">
        <v>2</v>
      </c>
      <c r="J33" s="7" t="s">
        <v>214</v>
      </c>
    </row>
    <row r="34" spans="1:10" x14ac:dyDescent="0.25" outlineLevel="1" collapsed="1">
      <c r="A34" s="7" t="s">
        <v>15</v>
      </c>
      <c r="B34" s="7" t="s">
        <v>133</v>
      </c>
      <c r="C34" s="7" t="s">
        <v>215</v>
      </c>
      <c r="D34" s="7"/>
      <c r="E34" s="7" t="s">
        <v>216</v>
      </c>
      <c r="F34" s="7" t="s">
        <v>17</v>
      </c>
      <c r="G34" s="7" t="s">
        <v>1423</v>
      </c>
      <c r="H34" s="7" t="s">
        <v>2</v>
      </c>
      <c r="I34" s="7" t="s">
        <v>2</v>
      </c>
      <c r="J34" s="7" t="s">
        <v>218</v>
      </c>
    </row>
    <row r="35" spans="1:10" x14ac:dyDescent="0.25" outlineLevel="1" collapsed="1">
      <c r="A35" s="7" t="s">
        <v>17</v>
      </c>
      <c r="B35" s="7" t="s">
        <v>133</v>
      </c>
      <c r="C35" s="7" t="s">
        <v>215</v>
      </c>
      <c r="D35" s="7"/>
      <c r="E35" s="7" t="s">
        <v>219</v>
      </c>
      <c r="F35" s="7" t="s">
        <v>17</v>
      </c>
      <c r="G35" s="7" t="s">
        <v>1424</v>
      </c>
      <c r="H35" s="7" t="s">
        <v>2</v>
      </c>
      <c r="I35" s="7" t="s">
        <v>2</v>
      </c>
      <c r="J35" s="7" t="s">
        <v>221</v>
      </c>
    </row>
    <row r="36" spans="1:10" x14ac:dyDescent="0.25" outlineLevel="1" collapsed="1">
      <c r="A36" s="7" t="s">
        <v>17</v>
      </c>
      <c r="B36" s="7" t="s">
        <v>20</v>
      </c>
      <c r="C36" s="7" t="s">
        <v>2</v>
      </c>
      <c r="D36" s="7"/>
      <c r="E36" s="7" t="s">
        <v>222</v>
      </c>
      <c r="F36" s="7" t="s">
        <v>17</v>
      </c>
      <c r="G36" s="7" t="s">
        <v>22</v>
      </c>
      <c r="H36" s="7" t="s">
        <v>2</v>
      </c>
      <c r="I36" s="7" t="s">
        <v>2</v>
      </c>
      <c r="J36" s="7" t="s">
        <v>223</v>
      </c>
    </row>
    <row r="37" spans="1:10" x14ac:dyDescent="0.25" outlineLevel="1" collapsed="1">
      <c r="A37" s="7" t="s">
        <v>17</v>
      </c>
      <c r="B37" s="7" t="s">
        <v>133</v>
      </c>
      <c r="C37" s="7" t="s">
        <v>146</v>
      </c>
      <c r="D37" s="7"/>
      <c r="E37" s="7" t="s">
        <v>147</v>
      </c>
      <c r="F37" s="7" t="s">
        <v>17</v>
      </c>
      <c r="G37" s="7" t="s">
        <v>1425</v>
      </c>
      <c r="H37" s="7" t="s">
        <v>2</v>
      </c>
      <c r="I37" s="7" t="s">
        <v>2</v>
      </c>
      <c r="J37" s="7" t="s">
        <v>149</v>
      </c>
    </row>
    <row r="38" spans="1:10" x14ac:dyDescent="0.25" outlineLevel="1" collapsed="1">
      <c r="A38" s="7" t="s">
        <v>15</v>
      </c>
      <c r="B38" s="7" t="s">
        <v>53</v>
      </c>
      <c r="C38" s="7" t="s">
        <v>2</v>
      </c>
      <c r="D38" s="7"/>
      <c r="E38" s="7" t="s">
        <v>225</v>
      </c>
      <c r="F38" s="7" t="s">
        <v>17</v>
      </c>
      <c r="G38" s="7">
        <v>1</v>
      </c>
      <c r="H38" s="7" t="s">
        <v>2</v>
      </c>
      <c r="I38" s="7" t="s">
        <v>2</v>
      </c>
      <c r="J38" s="7" t="s">
        <v>226</v>
      </c>
    </row>
    <row r="39" spans="1:10" x14ac:dyDescent="0.25">
      <c r="A39" s="5" t="s">
        <v>15</v>
      </c>
      <c r="B39" s="6" t="s">
        <v>227</v>
      </c>
      <c r="C39" s="5" t="s">
        <v>2</v>
      </c>
      <c r="D39" s="5"/>
      <c r="E39" s="5" t="s">
        <v>227</v>
      </c>
      <c r="F39" s="5" t="s">
        <v>17</v>
      </c>
      <c r="G39" s="5" t="s">
        <v>2</v>
      </c>
      <c r="H39" s="5" t="s">
        <v>2</v>
      </c>
      <c r="I39" s="5" t="s">
        <v>2</v>
      </c>
      <c r="J39" s="5" t="s">
        <v>229</v>
      </c>
    </row>
    <row r="40" spans="1:10" x14ac:dyDescent="0.25" outlineLevel="1" collapsed="1">
      <c r="A40" s="8" t="s">
        <v>15</v>
      </c>
      <c r="B40" s="9" t="s">
        <v>230</v>
      </c>
      <c r="C40" s="8" t="s">
        <v>2</v>
      </c>
      <c r="D40" s="8"/>
      <c r="E40" s="8" t="s">
        <v>231</v>
      </c>
      <c r="F40" s="8" t="s">
        <v>17</v>
      </c>
      <c r="G40" s="8" t="s">
        <v>2</v>
      </c>
      <c r="H40" s="8" t="s">
        <v>2</v>
      </c>
      <c r="I40" s="8" t="s">
        <v>2</v>
      </c>
      <c r="J40" s="8" t="s">
        <v>232</v>
      </c>
    </row>
    <row r="41" spans="1:10" x14ac:dyDescent="0.25" outlineLevel="2" collapsed="1">
      <c r="A41" s="7" t="s">
        <v>15</v>
      </c>
      <c r="B41" s="7" t="s">
        <v>44</v>
      </c>
      <c r="C41" s="10" t="s">
        <v>233</v>
      </c>
      <c r="D41" s="7"/>
      <c r="E41" s="7" t="s">
        <v>231</v>
      </c>
      <c r="F41" s="7" t="s">
        <v>17</v>
      </c>
      <c r="G41" s="7" t="s">
        <v>234</v>
      </c>
      <c r="H41" s="7" t="s">
        <v>2</v>
      </c>
      <c r="I41" s="7" t="s">
        <v>2</v>
      </c>
      <c r="J41" s="7" t="s">
        <v>232</v>
      </c>
    </row>
    <row r="42" spans="1:10" x14ac:dyDescent="0.25" outlineLevel="2" collapsed="1">
      <c r="A42" s="8" t="s">
        <v>17</v>
      </c>
      <c r="B42" s="9" t="s">
        <v>235</v>
      </c>
      <c r="C42" s="8" t="s">
        <v>2</v>
      </c>
      <c r="D42" s="8">
        <f>EXACT(G41,"HWT, IWT, CWT")</f>
      </c>
      <c r="E42" s="8" t="s">
        <v>235</v>
      </c>
      <c r="F42" s="8" t="s">
        <v>17</v>
      </c>
      <c r="G42" s="8" t="s">
        <v>2</v>
      </c>
      <c r="H42" s="8" t="s">
        <v>2</v>
      </c>
      <c r="I42" s="8" t="s">
        <v>2</v>
      </c>
      <c r="J42" s="8" t="s">
        <v>236</v>
      </c>
    </row>
    <row r="43" spans="1:10" x14ac:dyDescent="0.25" outlineLevel="3" collapsed="1">
      <c r="A43" s="7" t="s">
        <v>15</v>
      </c>
      <c r="B43" s="7" t="s">
        <v>44</v>
      </c>
      <c r="C43" s="10" t="s">
        <v>237</v>
      </c>
      <c r="D43" s="7"/>
      <c r="E43" s="7" t="s">
        <v>235</v>
      </c>
      <c r="F43" s="7" t="s">
        <v>17</v>
      </c>
      <c r="G43" s="7" t="s">
        <v>238</v>
      </c>
      <c r="H43" s="7" t="s">
        <v>2</v>
      </c>
      <c r="I43" s="7" t="s">
        <v>2</v>
      </c>
      <c r="J43" s="7" t="s">
        <v>239</v>
      </c>
    </row>
    <row r="44" spans="1:10" x14ac:dyDescent="0.25" outlineLevel="3" collapsed="1">
      <c r="A44" s="7" t="s">
        <v>17</v>
      </c>
      <c r="B44" s="7" t="s">
        <v>20</v>
      </c>
      <c r="C44" s="7" t="s">
        <v>2</v>
      </c>
      <c r="D44" s="7">
        <f>EXACT(G43,"Other (Specify)")</f>
      </c>
      <c r="E44" s="7" t="s">
        <v>240</v>
      </c>
      <c r="F44" s="7" t="s">
        <v>17</v>
      </c>
      <c r="G44" s="7" t="s">
        <v>22</v>
      </c>
      <c r="H44" s="7" t="s">
        <v>2</v>
      </c>
      <c r="I44" s="7" t="s">
        <v>2</v>
      </c>
      <c r="J44" s="7" t="s">
        <v>241</v>
      </c>
    </row>
    <row r="45" spans="1:10" x14ac:dyDescent="0.25" outlineLevel="2" collapsed="1">
      <c r="A45" s="8" t="s">
        <v>17</v>
      </c>
      <c r="B45" s="9" t="s">
        <v>242</v>
      </c>
      <c r="C45" s="8" t="s">
        <v>2</v>
      </c>
      <c r="D45" s="8">
        <f>EXACT(G41,"CWS")</f>
      </c>
      <c r="E45" s="8" t="s">
        <v>235</v>
      </c>
      <c r="F45" s="8" t="s">
        <v>17</v>
      </c>
      <c r="G45" s="8" t="s">
        <v>2</v>
      </c>
      <c r="H45" s="8" t="s">
        <v>2</v>
      </c>
      <c r="I45" s="8" t="s">
        <v>2</v>
      </c>
      <c r="J45" s="8" t="s">
        <v>243</v>
      </c>
    </row>
    <row r="46" spans="1:10" x14ac:dyDescent="0.25" outlineLevel="3" collapsed="1">
      <c r="A46" s="7" t="s">
        <v>15</v>
      </c>
      <c r="B46" s="7" t="s">
        <v>44</v>
      </c>
      <c r="C46" s="10" t="s">
        <v>244</v>
      </c>
      <c r="D46" s="7"/>
      <c r="E46" s="7" t="s">
        <v>235</v>
      </c>
      <c r="F46" s="7" t="s">
        <v>17</v>
      </c>
      <c r="G46" s="7" t="s">
        <v>245</v>
      </c>
      <c r="H46" s="7" t="s">
        <v>2</v>
      </c>
      <c r="I46" s="7" t="s">
        <v>2</v>
      </c>
      <c r="J46" s="7" t="s">
        <v>246</v>
      </c>
    </row>
    <row r="47" spans="1:10" x14ac:dyDescent="0.25" outlineLevel="3" collapsed="1">
      <c r="A47" s="7" t="s">
        <v>17</v>
      </c>
      <c r="B47" s="7" t="s">
        <v>20</v>
      </c>
      <c r="C47" s="7" t="s">
        <v>2</v>
      </c>
      <c r="D47" s="7">
        <f>EXACT(G46,"Other (Specify)")</f>
      </c>
      <c r="E47" s="7" t="s">
        <v>240</v>
      </c>
      <c r="F47" s="7" t="s">
        <v>17</v>
      </c>
      <c r="G47" s="7" t="s">
        <v>22</v>
      </c>
      <c r="H47" s="7" t="s">
        <v>2</v>
      </c>
      <c r="I47" s="7" t="s">
        <v>2</v>
      </c>
      <c r="J47" s="7" t="s">
        <v>241</v>
      </c>
    </row>
    <row r="48" spans="1:10" x14ac:dyDescent="0.25" outlineLevel="1" collapsed="1">
      <c r="A48" s="7" t="s">
        <v>15</v>
      </c>
      <c r="B48" s="7" t="s">
        <v>20</v>
      </c>
      <c r="C48" s="7" t="s">
        <v>2</v>
      </c>
      <c r="D48" s="7"/>
      <c r="E48" s="7" t="s">
        <v>247</v>
      </c>
      <c r="F48" s="7" t="s">
        <v>17</v>
      </c>
      <c r="G48" s="7" t="s">
        <v>22</v>
      </c>
      <c r="H48" s="7" t="s">
        <v>2</v>
      </c>
      <c r="I48" s="7" t="s">
        <v>2</v>
      </c>
      <c r="J48" s="7" t="s">
        <v>248</v>
      </c>
    </row>
    <row r="49" spans="1:10" x14ac:dyDescent="0.25" outlineLevel="1" collapsed="1">
      <c r="A49" s="7" t="s">
        <v>15</v>
      </c>
      <c r="B49" s="7" t="s">
        <v>44</v>
      </c>
      <c r="C49" s="10" t="s">
        <v>249</v>
      </c>
      <c r="D49" s="7"/>
      <c r="E49" s="7" t="s">
        <v>250</v>
      </c>
      <c r="F49" s="7" t="s">
        <v>17</v>
      </c>
      <c r="G49" s="7" t="s">
        <v>251</v>
      </c>
      <c r="H49" s="7" t="s">
        <v>2</v>
      </c>
      <c r="I49" s="7" t="s">
        <v>2</v>
      </c>
      <c r="J49" s="7" t="s">
        <v>252</v>
      </c>
    </row>
    <row r="50" spans="1:10" x14ac:dyDescent="0.25" outlineLevel="1" collapsed="1">
      <c r="A50" s="7" t="s">
        <v>17</v>
      </c>
      <c r="B50" s="7" t="s">
        <v>125</v>
      </c>
      <c r="C50" s="7" t="s">
        <v>2</v>
      </c>
      <c r="D50" s="7">
        <f>EXACT(G49,"CWT, CWS")</f>
      </c>
      <c r="E50" s="7" t="s">
        <v>253</v>
      </c>
      <c r="F50" s="7" t="s">
        <v>17</v>
      </c>
      <c r="G50" s="7" t="s">
        <v>1426</v>
      </c>
      <c r="H50" s="7" t="s">
        <v>2</v>
      </c>
      <c r="I50" s="7" t="s">
        <v>2</v>
      </c>
      <c r="J50" s="7" t="s">
        <v>255</v>
      </c>
    </row>
    <row r="51" spans="1:10" x14ac:dyDescent="0.25" outlineLevel="1" collapsed="1">
      <c r="A51" s="7" t="s">
        <v>17</v>
      </c>
      <c r="B51" s="7" t="s">
        <v>133</v>
      </c>
      <c r="C51" s="7" t="s">
        <v>256</v>
      </c>
      <c r="D51" s="7">
        <f>EXACT(G49,"CWT, CWS")</f>
      </c>
      <c r="E51" s="7" t="s">
        <v>257</v>
      </c>
      <c r="F51" s="7" t="s">
        <v>17</v>
      </c>
      <c r="G51" s="7" t="s">
        <v>1427</v>
      </c>
      <c r="H51" s="7" t="s">
        <v>2</v>
      </c>
      <c r="I51" s="7" t="s">
        <v>2</v>
      </c>
      <c r="J51" s="7" t="s">
        <v>259</v>
      </c>
    </row>
    <row r="52" spans="1:10" x14ac:dyDescent="0.25" outlineLevel="1" collapsed="1">
      <c r="A52" s="7" t="s">
        <v>17</v>
      </c>
      <c r="B52" s="7" t="s">
        <v>133</v>
      </c>
      <c r="C52" s="7" t="s">
        <v>256</v>
      </c>
      <c r="D52" s="7">
        <f>EXACT(G49,"CWT, CWS")</f>
      </c>
      <c r="E52" s="7" t="s">
        <v>260</v>
      </c>
      <c r="F52" s="7" t="s">
        <v>17</v>
      </c>
      <c r="G52" s="7" t="s">
        <v>1428</v>
      </c>
      <c r="H52" s="7" t="s">
        <v>2</v>
      </c>
      <c r="I52" s="7" t="s">
        <v>2</v>
      </c>
      <c r="J52" s="7" t="s">
        <v>262</v>
      </c>
    </row>
    <row r="53" spans="1:10" x14ac:dyDescent="0.25" outlineLevel="1" collapsed="1">
      <c r="A53" s="7" t="s">
        <v>17</v>
      </c>
      <c r="B53" s="7" t="s">
        <v>47</v>
      </c>
      <c r="C53" s="7" t="s">
        <v>2</v>
      </c>
      <c r="D53" s="7">
        <f>EXACT(G49,"CWT, CWS")</f>
      </c>
      <c r="E53" s="7" t="s">
        <v>263</v>
      </c>
      <c r="F53" s="7" t="s">
        <v>17</v>
      </c>
      <c r="G53" s="7" t="b">
        <v>1</v>
      </c>
      <c r="H53" s="7" t="s">
        <v>2</v>
      </c>
      <c r="I53" s="7" t="s">
        <v>2</v>
      </c>
      <c r="J53" s="7" t="s">
        <v>264</v>
      </c>
    </row>
    <row r="54" spans="1:10" x14ac:dyDescent="0.25" outlineLevel="1" collapsed="1">
      <c r="A54" s="7" t="s">
        <v>17</v>
      </c>
      <c r="B54" s="7" t="s">
        <v>133</v>
      </c>
      <c r="C54" s="7" t="s">
        <v>256</v>
      </c>
      <c r="D54" s="7">
        <f>EXACT(G49,"CWT, CWS")</f>
      </c>
      <c r="E54" s="7" t="s">
        <v>265</v>
      </c>
      <c r="F54" s="7" t="s">
        <v>17</v>
      </c>
      <c r="G54" s="7" t="s">
        <v>1429</v>
      </c>
      <c r="H54" s="7" t="s">
        <v>2</v>
      </c>
      <c r="I54" s="7" t="s">
        <v>2</v>
      </c>
      <c r="J54" s="7" t="s">
        <v>267</v>
      </c>
    </row>
    <row r="55" spans="1:10" x14ac:dyDescent="0.25" outlineLevel="1" collapsed="1">
      <c r="A55" s="7" t="s">
        <v>17</v>
      </c>
      <c r="B55" s="7" t="s">
        <v>133</v>
      </c>
      <c r="C55" s="7" t="s">
        <v>268</v>
      </c>
      <c r="D55" s="7">
        <f>EXACT(G49,"CWT, CWS")</f>
      </c>
      <c r="E55" s="7" t="s">
        <v>269</v>
      </c>
      <c r="F55" s="7" t="s">
        <v>17</v>
      </c>
      <c r="G55" s="7" t="s">
        <v>1430</v>
      </c>
      <c r="H55" s="7" t="s">
        <v>2</v>
      </c>
      <c r="I55" s="7" t="s">
        <v>2</v>
      </c>
      <c r="J55" s="7" t="s">
        <v>271</v>
      </c>
    </row>
    <row r="56" spans="1:10" x14ac:dyDescent="0.25" outlineLevel="1" collapsed="1">
      <c r="A56" s="7" t="s">
        <v>17</v>
      </c>
      <c r="B56" s="7" t="s">
        <v>133</v>
      </c>
      <c r="C56" s="7" t="s">
        <v>256</v>
      </c>
      <c r="D56" s="7">
        <f>EXACT(G49,"CWT, CWS")</f>
      </c>
      <c r="E56" s="7" t="s">
        <v>272</v>
      </c>
      <c r="F56" s="7" t="s">
        <v>17</v>
      </c>
      <c r="G56" s="7" t="s">
        <v>1431</v>
      </c>
      <c r="H56" s="7" t="s">
        <v>2</v>
      </c>
      <c r="I56" s="7" t="s">
        <v>2</v>
      </c>
      <c r="J56" s="7" t="s">
        <v>274</v>
      </c>
    </row>
    <row r="57" spans="1:10" x14ac:dyDescent="0.25" outlineLevel="1" collapsed="1">
      <c r="A57" s="7" t="s">
        <v>17</v>
      </c>
      <c r="B57" s="7" t="s">
        <v>194</v>
      </c>
      <c r="C57" s="7" t="s">
        <v>2</v>
      </c>
      <c r="D57" s="7">
        <f>EXACT(G49,"CWT, CWS")</f>
      </c>
      <c r="E57" s="7" t="s">
        <v>275</v>
      </c>
      <c r="F57" s="7" t="s">
        <v>17</v>
      </c>
      <c r="G57" s="7">
        <v>1</v>
      </c>
      <c r="H57" s="7" t="s">
        <v>2</v>
      </c>
      <c r="I57" s="7" t="s">
        <v>2</v>
      </c>
      <c r="J57" s="7" t="s">
        <v>276</v>
      </c>
    </row>
    <row r="58" spans="1:10" x14ac:dyDescent="0.25" outlineLevel="1" collapsed="1">
      <c r="A58" s="7" t="s">
        <v>17</v>
      </c>
      <c r="B58" s="7" t="s">
        <v>53</v>
      </c>
      <c r="C58" s="7" t="s">
        <v>2</v>
      </c>
      <c r="D58" s="7">
        <f>EXACT(G49,"CWT, CWS")</f>
      </c>
      <c r="E58" s="7" t="s">
        <v>277</v>
      </c>
      <c r="F58" s="7" t="s">
        <v>17</v>
      </c>
      <c r="G58" s="7">
        <v>1</v>
      </c>
      <c r="H58" s="7" t="s">
        <v>2</v>
      </c>
      <c r="I58" s="7" t="s">
        <v>2</v>
      </c>
      <c r="J58" s="7" t="s">
        <v>278</v>
      </c>
    </row>
    <row r="59" spans="1:10" x14ac:dyDescent="0.25" outlineLevel="1" collapsed="1">
      <c r="A59" s="7" t="s">
        <v>17</v>
      </c>
      <c r="B59" s="7" t="s">
        <v>194</v>
      </c>
      <c r="C59" s="7" t="s">
        <v>2</v>
      </c>
      <c r="D59" s="7">
        <f>EXACT(G49,"CWT, CWS")</f>
      </c>
      <c r="E59" s="7" t="s">
        <v>279</v>
      </c>
      <c r="F59" s="7" t="s">
        <v>17</v>
      </c>
      <c r="G59" s="7">
        <v>1</v>
      </c>
      <c r="H59" s="7" t="s">
        <v>2</v>
      </c>
      <c r="I59" s="7" t="s">
        <v>2</v>
      </c>
      <c r="J59" s="7" t="s">
        <v>280</v>
      </c>
    </row>
    <row r="60" spans="1:10" x14ac:dyDescent="0.25" outlineLevel="1" collapsed="1">
      <c r="A60" s="7" t="s">
        <v>17</v>
      </c>
      <c r="B60" s="7" t="s">
        <v>133</v>
      </c>
      <c r="C60" s="7" t="s">
        <v>281</v>
      </c>
      <c r="D60" s="7">
        <f>EXACT(G49,"CWT, CWS")</f>
      </c>
      <c r="E60" s="7" t="s">
        <v>282</v>
      </c>
      <c r="F60" s="7" t="s">
        <v>17</v>
      </c>
      <c r="G60" s="7" t="s">
        <v>1432</v>
      </c>
      <c r="H60" s="7" t="s">
        <v>2</v>
      </c>
      <c r="I60" s="7" t="s">
        <v>2</v>
      </c>
      <c r="J60" s="7" t="s">
        <v>284</v>
      </c>
    </row>
    <row r="61" spans="1:10" x14ac:dyDescent="0.25" outlineLevel="1" collapsed="1">
      <c r="A61" s="7" t="s">
        <v>17</v>
      </c>
      <c r="B61" s="7" t="s">
        <v>133</v>
      </c>
      <c r="C61" s="7" t="s">
        <v>256</v>
      </c>
      <c r="D61" s="7">
        <f>EXACT(G49,"CWT, CWS")</f>
      </c>
      <c r="E61" s="7" t="s">
        <v>285</v>
      </c>
      <c r="F61" s="7" t="s">
        <v>17</v>
      </c>
      <c r="G61" s="7" t="s">
        <v>1433</v>
      </c>
      <c r="H61" s="7" t="s">
        <v>2</v>
      </c>
      <c r="I61" s="7" t="s">
        <v>2</v>
      </c>
      <c r="J61" s="7" t="s">
        <v>287</v>
      </c>
    </row>
    <row r="62" spans="1:10" x14ac:dyDescent="0.25" outlineLevel="1" collapsed="1">
      <c r="A62" s="7" t="s">
        <v>17</v>
      </c>
      <c r="B62" s="7" t="s">
        <v>133</v>
      </c>
      <c r="C62" s="7" t="s">
        <v>256</v>
      </c>
      <c r="D62" s="7">
        <f>EXACT(G49,"CWT, CWS")</f>
      </c>
      <c r="E62" s="7" t="s">
        <v>288</v>
      </c>
      <c r="F62" s="7" t="s">
        <v>17</v>
      </c>
      <c r="G62" s="7" t="s">
        <v>289</v>
      </c>
      <c r="H62" s="7" t="s">
        <v>2</v>
      </c>
      <c r="I62" s="7" t="s">
        <v>2</v>
      </c>
      <c r="J62" s="7" t="s">
        <v>290</v>
      </c>
    </row>
    <row r="63" spans="1:10" x14ac:dyDescent="0.25" outlineLevel="1" collapsed="1">
      <c r="A63" s="8" t="s">
        <v>17</v>
      </c>
      <c r="B63" s="9" t="s">
        <v>291</v>
      </c>
      <c r="C63" s="8" t="s">
        <v>2</v>
      </c>
      <c r="D63" s="8">
        <f>EXACT(G49,"CWT, CWS")</f>
      </c>
      <c r="E63" s="8" t="s">
        <v>292</v>
      </c>
      <c r="F63" s="8" t="s">
        <v>17</v>
      </c>
      <c r="G63" s="8" t="s">
        <v>2</v>
      </c>
      <c r="H63" s="8" t="s">
        <v>2</v>
      </c>
      <c r="I63" s="8" t="s">
        <v>2</v>
      </c>
      <c r="J63" s="8" t="s">
        <v>293</v>
      </c>
    </row>
    <row r="64" spans="1:10" x14ac:dyDescent="0.25" outlineLevel="2" collapsed="1">
      <c r="A64" s="7" t="s">
        <v>15</v>
      </c>
      <c r="B64" s="7" t="s">
        <v>47</v>
      </c>
      <c r="C64" s="7" t="s">
        <v>2</v>
      </c>
      <c r="D64" s="7"/>
      <c r="E64" s="7" t="s">
        <v>294</v>
      </c>
      <c r="F64" s="7" t="s">
        <v>17</v>
      </c>
      <c r="G64" s="7" t="b">
        <v>1</v>
      </c>
      <c r="H64" s="7" t="s">
        <v>2</v>
      </c>
      <c r="I64" s="7" t="s">
        <v>2</v>
      </c>
      <c r="J64" s="7" t="s">
        <v>295</v>
      </c>
    </row>
    <row r="65" spans="1:10" x14ac:dyDescent="0.25" outlineLevel="2" collapsed="1">
      <c r="A65" s="7" t="s">
        <v>17</v>
      </c>
      <c r="B65" s="7" t="s">
        <v>26</v>
      </c>
      <c r="C65" s="7" t="s">
        <v>2</v>
      </c>
      <c r="D65" s="7">
        <f>EXACT(G64,true)</f>
      </c>
      <c r="E65" s="7" t="s">
        <v>296</v>
      </c>
      <c r="F65" s="7" t="s">
        <v>17</v>
      </c>
      <c r="G65" s="7" t="s">
        <v>37</v>
      </c>
      <c r="H65" s="7" t="s">
        <v>2</v>
      </c>
      <c r="I65" s="7" t="s">
        <v>2</v>
      </c>
      <c r="J65" s="7" t="s">
        <v>297</v>
      </c>
    </row>
    <row r="66" spans="1:10" x14ac:dyDescent="0.25" outlineLevel="2" collapsed="1">
      <c r="A66" s="7" t="s">
        <v>17</v>
      </c>
      <c r="B66" s="7" t="s">
        <v>133</v>
      </c>
      <c r="C66" s="7" t="s">
        <v>298</v>
      </c>
      <c r="D66" s="7">
        <f>EXACT(G64,true)</f>
      </c>
      <c r="E66" s="7" t="s">
        <v>299</v>
      </c>
      <c r="F66" s="7" t="s">
        <v>17</v>
      </c>
      <c r="G66" s="7" t="s">
        <v>1434</v>
      </c>
      <c r="H66" s="7" t="s">
        <v>2</v>
      </c>
      <c r="I66" s="7" t="s">
        <v>2</v>
      </c>
      <c r="J66" s="7" t="s">
        <v>301</v>
      </c>
    </row>
    <row r="67" spans="1:10" x14ac:dyDescent="0.25" outlineLevel="2" collapsed="1">
      <c r="A67" s="7" t="s">
        <v>17</v>
      </c>
      <c r="B67" s="7" t="s">
        <v>26</v>
      </c>
      <c r="C67" s="7" t="s">
        <v>2</v>
      </c>
      <c r="D67" s="7">
        <f>EXACT(G64,true)</f>
      </c>
      <c r="E67" s="7" t="s">
        <v>302</v>
      </c>
      <c r="F67" s="7" t="s">
        <v>17</v>
      </c>
      <c r="G67" s="7" t="s">
        <v>37</v>
      </c>
      <c r="H67" s="7" t="s">
        <v>2</v>
      </c>
      <c r="I67" s="7" t="s">
        <v>2</v>
      </c>
      <c r="J67" s="7" t="s">
        <v>303</v>
      </c>
    </row>
    <row r="68" spans="1:10" x14ac:dyDescent="0.25" outlineLevel="2" collapsed="1">
      <c r="A68" s="7" t="s">
        <v>17</v>
      </c>
      <c r="B68" s="7" t="s">
        <v>125</v>
      </c>
      <c r="C68" s="7" t="s">
        <v>2</v>
      </c>
      <c r="D68" s="7">
        <f>EXACT(G64,true)</f>
      </c>
      <c r="E68" s="7" t="s">
        <v>304</v>
      </c>
      <c r="F68" s="7" t="s">
        <v>17</v>
      </c>
      <c r="G68" s="7" t="s">
        <v>1435</v>
      </c>
      <c r="H68" s="7" t="s">
        <v>2</v>
      </c>
      <c r="I68" s="7" t="s">
        <v>2</v>
      </c>
      <c r="J68" s="7" t="s">
        <v>306</v>
      </c>
    </row>
    <row r="69" spans="1:10" x14ac:dyDescent="0.25" outlineLevel="2" collapsed="1">
      <c r="A69" s="7" t="s">
        <v>17</v>
      </c>
      <c r="B69" s="7" t="s">
        <v>125</v>
      </c>
      <c r="C69" s="7" t="s">
        <v>2</v>
      </c>
      <c r="D69" s="7">
        <f>EXACT(G64,true)</f>
      </c>
      <c r="E69" s="7" t="s">
        <v>307</v>
      </c>
      <c r="F69" s="7" t="s">
        <v>17</v>
      </c>
      <c r="G69" s="7" t="s">
        <v>1436</v>
      </c>
      <c r="H69" s="7" t="s">
        <v>2</v>
      </c>
      <c r="I69" s="7" t="s">
        <v>2</v>
      </c>
      <c r="J69" s="7" t="s">
        <v>309</v>
      </c>
    </row>
    <row r="70" spans="1:10" x14ac:dyDescent="0.25" outlineLevel="1" collapsed="1">
      <c r="A70" s="7" t="s">
        <v>17</v>
      </c>
      <c r="B70" s="7" t="s">
        <v>125</v>
      </c>
      <c r="C70" s="7" t="s">
        <v>2</v>
      </c>
      <c r="D70" s="7">
        <f>EXACT(G49,"HWT, IWT")</f>
      </c>
      <c r="E70" s="7" t="s">
        <v>253</v>
      </c>
      <c r="F70" s="7" t="s">
        <v>17</v>
      </c>
      <c r="G70" s="7" t="s">
        <v>1437</v>
      </c>
      <c r="H70" s="7" t="s">
        <v>2</v>
      </c>
      <c r="I70" s="7" t="s">
        <v>2</v>
      </c>
      <c r="J70" s="7" t="s">
        <v>311</v>
      </c>
    </row>
    <row r="71" spans="1:10" x14ac:dyDescent="0.25" outlineLevel="1" collapsed="1">
      <c r="A71" s="7" t="s">
        <v>17</v>
      </c>
      <c r="B71" s="7" t="s">
        <v>133</v>
      </c>
      <c r="C71" s="7" t="s">
        <v>268</v>
      </c>
      <c r="D71" s="7">
        <f>EXACT(G49,"HWT, IWT")</f>
      </c>
      <c r="E71" s="7" t="s">
        <v>312</v>
      </c>
      <c r="F71" s="7" t="s">
        <v>17</v>
      </c>
      <c r="G71" s="7" t="s">
        <v>1438</v>
      </c>
      <c r="H71" s="7" t="s">
        <v>2</v>
      </c>
      <c r="I71" s="7" t="s">
        <v>2</v>
      </c>
      <c r="J71" s="7" t="s">
        <v>314</v>
      </c>
    </row>
    <row r="72" spans="1:10" x14ac:dyDescent="0.25" outlineLevel="1" collapsed="1">
      <c r="A72" s="7" t="s">
        <v>17</v>
      </c>
      <c r="B72" s="7" t="s">
        <v>133</v>
      </c>
      <c r="C72" s="7" t="s">
        <v>268</v>
      </c>
      <c r="D72" s="7">
        <f>EXACT(G49,"HWT, IWT")</f>
      </c>
      <c r="E72" s="7" t="s">
        <v>315</v>
      </c>
      <c r="F72" s="7" t="s">
        <v>17</v>
      </c>
      <c r="G72" s="7" t="s">
        <v>1439</v>
      </c>
      <c r="H72" s="7" t="s">
        <v>2</v>
      </c>
      <c r="I72" s="7" t="s">
        <v>2</v>
      </c>
      <c r="J72" s="7" t="s">
        <v>317</v>
      </c>
    </row>
    <row r="73" spans="1:10" x14ac:dyDescent="0.25" outlineLevel="1" collapsed="1">
      <c r="A73" s="7" t="s">
        <v>17</v>
      </c>
      <c r="B73" s="7" t="s">
        <v>133</v>
      </c>
      <c r="C73" s="7" t="s">
        <v>268</v>
      </c>
      <c r="D73" s="7">
        <f>EXACT(G49,"HWT, IWT")</f>
      </c>
      <c r="E73" s="7" t="s">
        <v>318</v>
      </c>
      <c r="F73" s="7" t="s">
        <v>17</v>
      </c>
      <c r="G73" s="7" t="s">
        <v>1440</v>
      </c>
      <c r="H73" s="7" t="s">
        <v>2</v>
      </c>
      <c r="I73" s="7" t="s">
        <v>2</v>
      </c>
      <c r="J73" s="7" t="s">
        <v>320</v>
      </c>
    </row>
    <row r="74" spans="1:10" x14ac:dyDescent="0.25" outlineLevel="1" collapsed="1">
      <c r="A74" s="7" t="s">
        <v>17</v>
      </c>
      <c r="B74" s="7" t="s">
        <v>53</v>
      </c>
      <c r="C74" s="7" t="s">
        <v>2</v>
      </c>
      <c r="D74" s="7">
        <f>EXACT(G49,"HWT, IWT")</f>
      </c>
      <c r="E74" s="7" t="s">
        <v>321</v>
      </c>
      <c r="F74" s="7" t="s">
        <v>17</v>
      </c>
      <c r="G74" s="7">
        <v>1</v>
      </c>
      <c r="H74" s="7" t="s">
        <v>2</v>
      </c>
      <c r="I74" s="7" t="s">
        <v>2</v>
      </c>
      <c r="J74" s="7" t="s">
        <v>322</v>
      </c>
    </row>
    <row r="75" spans="1:10" x14ac:dyDescent="0.25" outlineLevel="1" collapsed="1">
      <c r="A75" s="7" t="s">
        <v>17</v>
      </c>
      <c r="B75" s="7" t="s">
        <v>133</v>
      </c>
      <c r="C75" s="7" t="s">
        <v>268</v>
      </c>
      <c r="D75" s="7">
        <f>EXACT(G49,"HWT, IWT")</f>
      </c>
      <c r="E75" s="7" t="s">
        <v>269</v>
      </c>
      <c r="F75" s="7" t="s">
        <v>17</v>
      </c>
      <c r="G75" s="7" t="s">
        <v>1441</v>
      </c>
      <c r="H75" s="7" t="s">
        <v>2</v>
      </c>
      <c r="I75" s="7" t="s">
        <v>2</v>
      </c>
      <c r="J75" s="7" t="s">
        <v>324</v>
      </c>
    </row>
    <row r="76" spans="1:10" x14ac:dyDescent="0.25" outlineLevel="1" collapsed="1">
      <c r="A76" s="7" t="s">
        <v>17</v>
      </c>
      <c r="B76" s="7" t="s">
        <v>133</v>
      </c>
      <c r="C76" s="7" t="s">
        <v>256</v>
      </c>
      <c r="D76" s="7">
        <f>EXACT(G49,"HWT, IWT")</f>
      </c>
      <c r="E76" s="7" t="s">
        <v>272</v>
      </c>
      <c r="F76" s="7" t="s">
        <v>17</v>
      </c>
      <c r="G76" s="7" t="s">
        <v>1442</v>
      </c>
      <c r="H76" s="7" t="s">
        <v>2</v>
      </c>
      <c r="I76" s="7" t="s">
        <v>2</v>
      </c>
      <c r="J76" s="7" t="s">
        <v>326</v>
      </c>
    </row>
    <row r="77" spans="1:10" x14ac:dyDescent="0.25" outlineLevel="1" collapsed="1">
      <c r="A77" s="7" t="s">
        <v>17</v>
      </c>
      <c r="B77" s="7" t="s">
        <v>133</v>
      </c>
      <c r="C77" s="7" t="s">
        <v>256</v>
      </c>
      <c r="D77" s="7">
        <f>EXACT(G49,"HWT, IWT")</f>
      </c>
      <c r="E77" s="7" t="s">
        <v>327</v>
      </c>
      <c r="F77" s="7" t="s">
        <v>17</v>
      </c>
      <c r="G77" s="7" t="s">
        <v>1443</v>
      </c>
      <c r="H77" s="7" t="s">
        <v>2</v>
      </c>
      <c r="I77" s="7" t="s">
        <v>2</v>
      </c>
      <c r="J77" s="7" t="s">
        <v>329</v>
      </c>
    </row>
    <row r="78" spans="1:10" x14ac:dyDescent="0.25" outlineLevel="1" collapsed="1">
      <c r="A78" s="7" t="s">
        <v>17</v>
      </c>
      <c r="B78" s="7" t="s">
        <v>133</v>
      </c>
      <c r="C78" s="7" t="s">
        <v>256</v>
      </c>
      <c r="D78" s="7">
        <f>EXACT(G49,"HWT, IWT")</f>
      </c>
      <c r="E78" s="7" t="s">
        <v>288</v>
      </c>
      <c r="F78" s="7" t="s">
        <v>17</v>
      </c>
      <c r="G78" s="7" t="s">
        <v>1444</v>
      </c>
      <c r="H78" s="7" t="s">
        <v>2</v>
      </c>
      <c r="I78" s="7" t="s">
        <v>2</v>
      </c>
      <c r="J78" s="7" t="s">
        <v>331</v>
      </c>
    </row>
    <row r="79" spans="1:10" x14ac:dyDescent="0.25">
      <c r="A79" s="5" t="s">
        <v>15</v>
      </c>
      <c r="B79" s="6" t="s">
        <v>1445</v>
      </c>
      <c r="C79" s="5" t="s">
        <v>2</v>
      </c>
      <c r="D79" s="5"/>
      <c r="E79" s="5" t="s">
        <v>1446</v>
      </c>
      <c r="F79" s="5" t="s">
        <v>17</v>
      </c>
      <c r="G79" s="5" t="s">
        <v>1447</v>
      </c>
      <c r="H79" s="5" t="s">
        <v>2</v>
      </c>
      <c r="I79" s="5" t="s">
        <v>2</v>
      </c>
      <c r="J79" s="5" t="s">
        <v>1448</v>
      </c>
    </row>
    <row r="80" spans="1:10" x14ac:dyDescent="0.25" outlineLevel="1" collapsed="1">
      <c r="A80" s="7" t="s">
        <v>15</v>
      </c>
      <c r="B80" s="7" t="s">
        <v>125</v>
      </c>
      <c r="C80" s="7" t="s">
        <v>2</v>
      </c>
      <c r="D80" s="7"/>
      <c r="E80" s="7" t="s">
        <v>1449</v>
      </c>
      <c r="F80" s="7" t="s">
        <v>17</v>
      </c>
      <c r="G80" s="7" t="s">
        <v>1450</v>
      </c>
      <c r="H80" s="7" t="s">
        <v>2</v>
      </c>
      <c r="I80" s="7" t="s">
        <v>2</v>
      </c>
      <c r="J80" s="7" t="s">
        <v>1451</v>
      </c>
    </row>
    <row r="81" spans="1:10" x14ac:dyDescent="0.25" outlineLevel="1" collapsed="1">
      <c r="A81" s="7" t="s">
        <v>15</v>
      </c>
      <c r="B81" s="7" t="s">
        <v>125</v>
      </c>
      <c r="C81" s="7" t="s">
        <v>2</v>
      </c>
      <c r="D81" s="7"/>
      <c r="E81" s="7" t="s">
        <v>1452</v>
      </c>
      <c r="F81" s="7" t="s">
        <v>17</v>
      </c>
      <c r="G81" s="7" t="s">
        <v>1453</v>
      </c>
      <c r="H81" s="7" t="s">
        <v>2</v>
      </c>
      <c r="I81" s="7" t="s">
        <v>2</v>
      </c>
      <c r="J81" s="7" t="s">
        <v>1454</v>
      </c>
    </row>
    <row r="82" spans="1:10" x14ac:dyDescent="0.25" outlineLevel="1" collapsed="1">
      <c r="A82" s="7" t="s">
        <v>15</v>
      </c>
      <c r="B82" s="7" t="s">
        <v>125</v>
      </c>
      <c r="C82" s="7" t="s">
        <v>2</v>
      </c>
      <c r="D82" s="7"/>
      <c r="E82" s="7" t="s">
        <v>1455</v>
      </c>
      <c r="F82" s="7" t="s">
        <v>17</v>
      </c>
      <c r="G82" s="7" t="s">
        <v>1456</v>
      </c>
      <c r="H82" s="7" t="s">
        <v>2</v>
      </c>
      <c r="I82" s="7" t="s">
        <v>2</v>
      </c>
      <c r="J82" s="7" t="s">
        <v>1457</v>
      </c>
    </row>
    <row r="83" spans="1:10" x14ac:dyDescent="0.25">
      <c r="A83" s="5" t="s">
        <v>17</v>
      </c>
      <c r="B83" s="5" t="s">
        <v>20</v>
      </c>
      <c r="C83" s="5" t="s">
        <v>2</v>
      </c>
      <c r="D83" s="5"/>
      <c r="E83" s="5" t="s">
        <v>1458</v>
      </c>
      <c r="F83" s="5" t="s">
        <v>17</v>
      </c>
      <c r="G83" s="5" t="s">
        <v>22</v>
      </c>
      <c r="H83" s="5" t="s">
        <v>2</v>
      </c>
      <c r="I83" s="5" t="s">
        <v>2</v>
      </c>
      <c r="J83" s="5" t="s">
        <v>183</v>
      </c>
    </row>
  </sheetData>
  <mergeCells count="3">
    <mergeCell ref="A1:J1"/>
    <mergeCell ref="B2:J2"/>
    <mergeCell ref="B3:J3"/>
  </mergeCells>
  <dataValidations count="10">
    <dataValidation type="list" allowBlank="1" sqref="G11:I11">
      <formula1>'Enums'!C2711:C2714</formula1>
    </dataValidation>
    <dataValidation type="list" allowBlank="1" sqref="G13:I13">
      <formula1>'Enums'!C2715:C2717</formula1>
    </dataValidation>
    <dataValidation type="list" allowBlank="1" sqref="G17:I17">
      <formula1>'Enums'!C2718:C2733</formula1>
    </dataValidation>
    <dataValidation type="list" allowBlank="1" sqref="G22:I22">
      <formula1>'Enums'!C2123:C2375</formula1>
    </dataValidation>
    <dataValidation type="list" allowBlank="1" sqref="G26:I26">
      <formula1>'Enums'!C2376:C2377</formula1>
    </dataValidation>
    <dataValidation type="list" allowBlank="1" sqref="G41:I41">
      <formula1>'Enums'!C2734:C2735</formula1>
    </dataValidation>
    <dataValidation type="list" allowBlank="1" sqref="G43:I43">
      <formula1>'Enums'!C2736:C2742</formula1>
    </dataValidation>
    <dataValidation type="list" allowBlank="1" sqref="G46:I46">
      <formula1>'Enums'!C2743:C2746</formula1>
    </dataValidation>
    <dataValidation type="list" allowBlank="1" sqref="G49:I49">
      <formula1>'Enums'!C1811:C1812</formula1>
    </dataValidation>
    <dataValidation type="list" allowBlank="1" sqref="G8:I8">
      <formula1>'Enums'!C2709:C2710</formula1>
    </dataValidation>
  </dataValidations>
  <hyperlinks>
    <hyperlink ref="B5" r:id="rId1" location="#'Project Details'!A1"/>
    <hyperlink ref="B16" r:id="rId2" location="#'Contribution of the Project to'!A1"/>
    <hyperlink ref="B20" r:id="rId3" location="#'Project Location Details'!A1"/>
    <hyperlink ref="B21" r:id="rId4" location="#'Country'!A1"/>
    <hyperlink ref="B30" r:id="rId5" location="#'Activity Developer Details'!A1"/>
    <hyperlink ref="B39" r:id="rId6" location="#'Water Treatment Technology'!A1"/>
    <hyperlink ref="B40" r:id="rId7" location="#'Treatment Technology Sub-ty 3'!A1"/>
    <hyperlink ref="B42" r:id="rId8" location="#'Treatment Technology Sub-type'!A1"/>
    <hyperlink ref="B45" r:id="rId9" location="#'Treatment Technology Sub-ty 2'!A1"/>
    <hyperlink ref="B63" r:id="rId10" location="#'If the Project Installation is'!A1"/>
    <hyperlink ref="B79" r:id="rId11" location="#'Upload Supporting Compliance D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1459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44</v>
      </c>
      <c r="C5" s="12" t="s">
        <v>1356</v>
      </c>
      <c r="D5" s="5"/>
      <c r="E5" s="5" t="s">
        <v>1357</v>
      </c>
      <c r="F5" s="5" t="s">
        <v>17</v>
      </c>
      <c r="G5" s="5" t="s">
        <v>762</v>
      </c>
      <c r="H5" s="5" t="s">
        <v>2</v>
      </c>
      <c r="I5" s="5" t="s">
        <v>2</v>
      </c>
      <c r="J5" s="5" t="s">
        <v>1358</v>
      </c>
    </row>
    <row r="6" spans="1:10" x14ac:dyDescent="0.25">
      <c r="A6" s="5" t="s">
        <v>15</v>
      </c>
      <c r="B6" s="6" t="s">
        <v>1337</v>
      </c>
      <c r="C6" s="5" t="s">
        <v>2</v>
      </c>
      <c r="D6" s="5"/>
      <c r="E6" s="5" t="s">
        <v>1338</v>
      </c>
      <c r="F6" s="5" t="s">
        <v>15</v>
      </c>
      <c r="G6" s="5" t="s">
        <v>2</v>
      </c>
      <c r="H6" s="5" t="s">
        <v>2</v>
      </c>
      <c r="I6" s="5" t="s">
        <v>2</v>
      </c>
      <c r="J6" s="5" t="s">
        <v>1340</v>
      </c>
    </row>
    <row r="7" spans="1:10" x14ac:dyDescent="0.25" outlineLevel="1" collapsed="1">
      <c r="A7" s="7" t="s">
        <v>15</v>
      </c>
      <c r="B7" s="7" t="s">
        <v>20</v>
      </c>
      <c r="C7" s="7" t="s">
        <v>2</v>
      </c>
      <c r="D7" s="7"/>
      <c r="E7" s="7" t="s">
        <v>1338</v>
      </c>
      <c r="F7" s="7" t="s">
        <v>17</v>
      </c>
      <c r="G7" s="7" t="s">
        <v>22</v>
      </c>
      <c r="H7" s="7" t="s">
        <v>2</v>
      </c>
      <c r="I7" s="7" t="s">
        <v>2</v>
      </c>
      <c r="J7" s="7" t="s">
        <v>1340</v>
      </c>
    </row>
    <row r="8" spans="1:10" x14ac:dyDescent="0.25" outlineLevel="1" collapsed="1">
      <c r="A8" s="7" t="s">
        <v>15</v>
      </c>
      <c r="B8" s="7" t="s">
        <v>20</v>
      </c>
      <c r="C8" s="7" t="s">
        <v>2</v>
      </c>
      <c r="D8" s="7"/>
      <c r="E8" s="7" t="s">
        <v>1141</v>
      </c>
      <c r="F8" s="7" t="s">
        <v>17</v>
      </c>
      <c r="G8" s="7" t="s">
        <v>22</v>
      </c>
      <c r="H8" s="7" t="s">
        <v>2</v>
      </c>
      <c r="I8" s="7" t="s">
        <v>2</v>
      </c>
      <c r="J8" s="7" t="s">
        <v>1142</v>
      </c>
    </row>
    <row r="9" spans="1:10" x14ac:dyDescent="0.25" outlineLevel="1" collapsed="1">
      <c r="A9" s="7" t="s">
        <v>15</v>
      </c>
      <c r="B9" s="7" t="s">
        <v>20</v>
      </c>
      <c r="C9" s="7" t="s">
        <v>2</v>
      </c>
      <c r="D9" s="7"/>
      <c r="E9" s="7" t="s">
        <v>9</v>
      </c>
      <c r="F9" s="7" t="s">
        <v>17</v>
      </c>
      <c r="G9" s="7" t="s">
        <v>22</v>
      </c>
      <c r="H9" s="7" t="s">
        <v>2</v>
      </c>
      <c r="I9" s="7" t="s">
        <v>2</v>
      </c>
      <c r="J9" s="7" t="s">
        <v>1143</v>
      </c>
    </row>
    <row r="10" spans="1:10" x14ac:dyDescent="0.25" outlineLevel="1" collapsed="1">
      <c r="A10" s="7" t="s">
        <v>15</v>
      </c>
      <c r="B10" s="7" t="s">
        <v>20</v>
      </c>
      <c r="C10" s="7" t="s">
        <v>2</v>
      </c>
      <c r="D10" s="7"/>
      <c r="E10" s="7" t="s">
        <v>1144</v>
      </c>
      <c r="F10" s="7" t="s">
        <v>17</v>
      </c>
      <c r="G10" s="7" t="s">
        <v>22</v>
      </c>
      <c r="H10" s="7" t="s">
        <v>2</v>
      </c>
      <c r="I10" s="7" t="s">
        <v>2</v>
      </c>
      <c r="J10" s="7" t="s">
        <v>1145</v>
      </c>
    </row>
    <row r="11" spans="1:10" x14ac:dyDescent="0.25" outlineLevel="1" collapsed="1">
      <c r="A11" s="7" t="s">
        <v>15</v>
      </c>
      <c r="B11" s="7" t="s">
        <v>20</v>
      </c>
      <c r="C11" s="7" t="s">
        <v>2</v>
      </c>
      <c r="D11" s="7"/>
      <c r="E11" s="7" t="s">
        <v>1341</v>
      </c>
      <c r="F11" s="7" t="s">
        <v>17</v>
      </c>
      <c r="G11" s="7" t="s">
        <v>22</v>
      </c>
      <c r="H11" s="7" t="s">
        <v>2</v>
      </c>
      <c r="I11" s="7" t="s">
        <v>2</v>
      </c>
      <c r="J11" s="7" t="s">
        <v>1342</v>
      </c>
    </row>
    <row r="12" spans="1:10" x14ac:dyDescent="0.25" outlineLevel="1" collapsed="1">
      <c r="A12" s="7" t="s">
        <v>15</v>
      </c>
      <c r="B12" s="7" t="s">
        <v>20</v>
      </c>
      <c r="C12" s="7" t="s">
        <v>2</v>
      </c>
      <c r="D12" s="7"/>
      <c r="E12" s="7" t="s">
        <v>1343</v>
      </c>
      <c r="F12" s="7" t="s">
        <v>17</v>
      </c>
      <c r="G12" s="7" t="s">
        <v>22</v>
      </c>
      <c r="H12" s="7" t="s">
        <v>2</v>
      </c>
      <c r="I12" s="7" t="s">
        <v>2</v>
      </c>
      <c r="J12" s="7" t="s">
        <v>1344</v>
      </c>
    </row>
    <row r="13" spans="1:10" x14ac:dyDescent="0.25" outlineLevel="1" collapsed="1">
      <c r="A13" s="7" t="s">
        <v>15</v>
      </c>
      <c r="B13" s="7" t="s">
        <v>20</v>
      </c>
      <c r="C13" s="7" t="s">
        <v>2</v>
      </c>
      <c r="D13" s="7"/>
      <c r="E13" s="7" t="s">
        <v>1345</v>
      </c>
      <c r="F13" s="7" t="s">
        <v>17</v>
      </c>
      <c r="G13" s="7" t="s">
        <v>22</v>
      </c>
      <c r="H13" s="7" t="s">
        <v>2</v>
      </c>
      <c r="I13" s="7" t="s">
        <v>2</v>
      </c>
      <c r="J13" s="7" t="s">
        <v>1346</v>
      </c>
    </row>
    <row r="14" spans="1:10" x14ac:dyDescent="0.25" outlineLevel="1" collapsed="1">
      <c r="A14" s="7" t="s">
        <v>15</v>
      </c>
      <c r="B14" s="7" t="s">
        <v>20</v>
      </c>
      <c r="C14" s="7" t="s">
        <v>2</v>
      </c>
      <c r="D14" s="7"/>
      <c r="E14" s="7" t="s">
        <v>1150</v>
      </c>
      <c r="F14" s="7" t="s">
        <v>17</v>
      </c>
      <c r="G14" s="7" t="s">
        <v>22</v>
      </c>
      <c r="H14" s="7" t="s">
        <v>2</v>
      </c>
      <c r="I14" s="7" t="s">
        <v>2</v>
      </c>
      <c r="J14" s="7" t="s">
        <v>1151</v>
      </c>
    </row>
    <row r="15" spans="1:10" x14ac:dyDescent="0.25" outlineLevel="1" collapsed="1">
      <c r="A15" s="7" t="s">
        <v>15</v>
      </c>
      <c r="B15" s="7" t="s">
        <v>20</v>
      </c>
      <c r="C15" s="7" t="s">
        <v>2</v>
      </c>
      <c r="D15" s="7"/>
      <c r="E15" s="7" t="s">
        <v>1152</v>
      </c>
      <c r="F15" s="7" t="s">
        <v>17</v>
      </c>
      <c r="G15" s="7" t="s">
        <v>22</v>
      </c>
      <c r="H15" s="7" t="s">
        <v>2</v>
      </c>
      <c r="I15" s="7" t="s">
        <v>2</v>
      </c>
      <c r="J15" s="7" t="s">
        <v>1153</v>
      </c>
    </row>
    <row r="16" spans="1:10" x14ac:dyDescent="0.25">
      <c r="A16" s="5" t="s">
        <v>15</v>
      </c>
      <c r="B16" s="5" t="s">
        <v>125</v>
      </c>
      <c r="C16" s="5" t="s">
        <v>2</v>
      </c>
      <c r="D16" s="5"/>
      <c r="E16" s="5" t="s">
        <v>1347</v>
      </c>
      <c r="F16" s="5" t="s">
        <v>17</v>
      </c>
      <c r="G16" s="5" t="s">
        <v>1461</v>
      </c>
      <c r="H16" s="5" t="s">
        <v>2</v>
      </c>
      <c r="I16" s="5" t="s">
        <v>2</v>
      </c>
      <c r="J16" s="5" t="s">
        <v>1349</v>
      </c>
    </row>
    <row r="17" spans="1:10" x14ac:dyDescent="0.25">
      <c r="A17" s="5" t="s">
        <v>15</v>
      </c>
      <c r="B17" s="5" t="s">
        <v>125</v>
      </c>
      <c r="C17" s="5" t="s">
        <v>2</v>
      </c>
      <c r="D17" s="5"/>
      <c r="E17" s="5" t="s">
        <v>1350</v>
      </c>
      <c r="F17" s="5" t="s">
        <v>17</v>
      </c>
      <c r="G17" s="5" t="s">
        <v>1462</v>
      </c>
      <c r="H17" s="5" t="s">
        <v>2</v>
      </c>
      <c r="I17" s="5" t="s">
        <v>2</v>
      </c>
      <c r="J17" s="5" t="s">
        <v>1352</v>
      </c>
    </row>
  </sheetData>
  <mergeCells count="3">
    <mergeCell ref="A1:J1"/>
    <mergeCell ref="B2:J2"/>
    <mergeCell ref="B3:J3"/>
  </mergeCells>
  <dataValidations count="1">
    <dataValidation type="list" allowBlank="1" sqref="G5:I5">
      <formula1>'Enums'!C2691:C2706</formula1>
    </dataValidation>
  </dataValidations>
  <hyperlinks>
    <hyperlink ref="B6" r:id="rId1" location="#'Monitoring Parameter - Item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4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499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502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503</v>
      </c>
    </row>
    <row r="6" spans="1:10" x14ac:dyDescent="0.25">
      <c r="A6" s="5" t="s">
        <v>15</v>
      </c>
      <c r="B6" s="5" t="s">
        <v>53</v>
      </c>
      <c r="C6" s="5" t="s">
        <v>2</v>
      </c>
      <c r="D6" s="5"/>
      <c r="E6" s="5" t="s">
        <v>504</v>
      </c>
      <c r="F6" s="5" t="s">
        <v>17</v>
      </c>
      <c r="G6" s="5">
        <v>1</v>
      </c>
      <c r="H6" s="5" t="s">
        <v>2</v>
      </c>
      <c r="I6" s="5" t="s">
        <v>2</v>
      </c>
      <c r="J6" s="5" t="s">
        <v>505</v>
      </c>
    </row>
    <row r="7" spans="1:10" x14ac:dyDescent="0.25">
      <c r="A7" s="5" t="s">
        <v>17</v>
      </c>
      <c r="B7" s="5" t="s">
        <v>53</v>
      </c>
      <c r="C7" s="5" t="s">
        <v>2</v>
      </c>
      <c r="D7" s="5" t="s">
        <v>506</v>
      </c>
      <c r="E7" s="5" t="s">
        <v>507</v>
      </c>
      <c r="F7" s="5" t="s">
        <v>17</v>
      </c>
      <c r="G7" s="5">
        <v>1</v>
      </c>
      <c r="H7" s="5" t="s">
        <v>2</v>
      </c>
      <c r="I7" s="5" t="s">
        <v>2</v>
      </c>
      <c r="J7" s="5" t="s">
        <v>508</v>
      </c>
    </row>
    <row r="8" spans="1:10" x14ac:dyDescent="0.25">
      <c r="A8" s="5" t="s">
        <v>15</v>
      </c>
      <c r="B8" s="5" t="s">
        <v>53</v>
      </c>
      <c r="C8" s="5" t="s">
        <v>2</v>
      </c>
      <c r="D8" s="5"/>
      <c r="E8" s="5" t="s">
        <v>509</v>
      </c>
      <c r="F8" s="5" t="s">
        <v>17</v>
      </c>
      <c r="G8" s="5">
        <v>1</v>
      </c>
      <c r="H8" s="5" t="s">
        <v>2</v>
      </c>
      <c r="I8" s="5" t="s">
        <v>2</v>
      </c>
      <c r="J8" s="5" t="s">
        <v>510</v>
      </c>
    </row>
    <row r="9" spans="1:10" x14ac:dyDescent="0.25">
      <c r="A9" s="5" t="s">
        <v>15</v>
      </c>
      <c r="B9" s="5" t="s">
        <v>53</v>
      </c>
      <c r="C9" s="5" t="s">
        <v>2</v>
      </c>
      <c r="D9" s="5"/>
      <c r="E9" s="5" t="s">
        <v>511</v>
      </c>
      <c r="F9" s="5" t="s">
        <v>17</v>
      </c>
      <c r="G9" s="5">
        <v>1</v>
      </c>
      <c r="H9" s="5" t="s">
        <v>2</v>
      </c>
      <c r="I9" s="5" t="s">
        <v>2</v>
      </c>
      <c r="J9" s="5" t="s">
        <v>512</v>
      </c>
    </row>
    <row r="10" spans="1:10" x14ac:dyDescent="0.25">
      <c r="A10" s="5" t="s">
        <v>15</v>
      </c>
      <c r="B10" s="5" t="s">
        <v>53</v>
      </c>
      <c r="C10" s="5" t="s">
        <v>2</v>
      </c>
      <c r="D10" s="5"/>
      <c r="E10" s="5" t="s">
        <v>513</v>
      </c>
      <c r="F10" s="5" t="s">
        <v>17</v>
      </c>
      <c r="G10" s="5">
        <v>1</v>
      </c>
      <c r="H10" s="5" t="s">
        <v>2</v>
      </c>
      <c r="I10" s="5" t="s">
        <v>2</v>
      </c>
      <c r="J10" s="5" t="s">
        <v>514</v>
      </c>
    </row>
    <row r="11" spans="1:10" x14ac:dyDescent="0.25">
      <c r="A11" s="5" t="s">
        <v>17</v>
      </c>
      <c r="B11" s="5" t="s">
        <v>53</v>
      </c>
      <c r="C11" s="5" t="s">
        <v>2</v>
      </c>
      <c r="D11" s="5" t="s">
        <v>506</v>
      </c>
      <c r="E11" s="5" t="s">
        <v>515</v>
      </c>
      <c r="F11" s="5" t="s">
        <v>17</v>
      </c>
      <c r="G11" s="5">
        <v>1</v>
      </c>
      <c r="H11" s="5" t="s">
        <v>2</v>
      </c>
      <c r="I11" s="5" t="s">
        <v>2</v>
      </c>
      <c r="J11" s="5" t="s">
        <v>516</v>
      </c>
    </row>
    <row r="12" spans="1:10" x14ac:dyDescent="0.25">
      <c r="A12" s="5" t="s">
        <v>15</v>
      </c>
      <c r="B12" s="5" t="s">
        <v>53</v>
      </c>
      <c r="C12" s="5" t="s">
        <v>2</v>
      </c>
      <c r="D12" s="5"/>
      <c r="E12" s="5" t="s">
        <v>517</v>
      </c>
      <c r="F12" s="5" t="s">
        <v>17</v>
      </c>
      <c r="G12" s="5">
        <v>1</v>
      </c>
      <c r="H12" s="5" t="s">
        <v>2</v>
      </c>
      <c r="I12" s="5" t="s">
        <v>2</v>
      </c>
      <c r="J12" s="5" t="s">
        <v>518</v>
      </c>
    </row>
    <row r="13" spans="1:10" x14ac:dyDescent="0.25">
      <c r="A13" s="5" t="s">
        <v>17</v>
      </c>
      <c r="B13" s="5" t="s">
        <v>20</v>
      </c>
      <c r="C13" s="5" t="s">
        <v>2</v>
      </c>
      <c r="D13" s="5"/>
      <c r="E13" s="5" t="s">
        <v>519</v>
      </c>
      <c r="F13" s="5" t="s">
        <v>17</v>
      </c>
      <c r="G13" s="5" t="s">
        <v>22</v>
      </c>
      <c r="H13" s="5" t="s">
        <v>2</v>
      </c>
      <c r="I13" s="5" t="s">
        <v>2</v>
      </c>
      <c r="J13" s="5" t="s">
        <v>520</v>
      </c>
    </row>
    <row r="14" spans="1:10" x14ac:dyDescent="0.25">
      <c r="A14" s="5" t="s">
        <v>15</v>
      </c>
      <c r="B14" s="5" t="s">
        <v>125</v>
      </c>
      <c r="C14" s="5" t="s">
        <v>2</v>
      </c>
      <c r="D14" s="5"/>
      <c r="E14" s="5" t="s">
        <v>521</v>
      </c>
      <c r="F14" s="5" t="s">
        <v>17</v>
      </c>
      <c r="G14" s="5" t="s">
        <v>1463</v>
      </c>
      <c r="H14" s="5" t="s">
        <v>2</v>
      </c>
      <c r="I14" s="5" t="s">
        <v>2</v>
      </c>
      <c r="J14" s="5" t="s">
        <v>523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337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337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44</v>
      </c>
      <c r="C5" s="12" t="s">
        <v>769</v>
      </c>
      <c r="D5" s="5"/>
      <c r="E5" s="5" t="s">
        <v>337</v>
      </c>
      <c r="F5" s="5" t="s">
        <v>17</v>
      </c>
      <c r="G5" s="5" t="s">
        <v>340</v>
      </c>
      <c r="H5" s="5" t="s">
        <v>2</v>
      </c>
      <c r="I5" s="5" t="s">
        <v>2</v>
      </c>
      <c r="J5" s="5" t="s">
        <v>338</v>
      </c>
    </row>
  </sheetData>
  <mergeCells count="3">
    <mergeCell ref="A1:J1"/>
    <mergeCell ref="B2:J2"/>
    <mergeCell ref="B3:J3"/>
  </mergeCells>
  <dataValidations count="1">
    <dataValidation type="list" allowBlank="1" sqref="G5:I5">
      <formula1>'Enums'!C2123:C2375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175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17</v>
      </c>
      <c r="B5" s="5" t="s">
        <v>125</v>
      </c>
      <c r="C5" s="5" t="s">
        <v>2</v>
      </c>
      <c r="D5" s="5"/>
      <c r="E5" s="5" t="s">
        <v>178</v>
      </c>
      <c r="F5" s="5" t="s">
        <v>15</v>
      </c>
      <c r="G5" s="5" t="s">
        <v>1464</v>
      </c>
      <c r="H5" s="5" t="s">
        <v>2</v>
      </c>
      <c r="I5" s="5" t="s">
        <v>2</v>
      </c>
      <c r="J5" s="5" t="s">
        <v>180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820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823</v>
      </c>
      <c r="C5" s="5" t="s">
        <v>2</v>
      </c>
      <c r="D5" s="5"/>
      <c r="E5" s="5" t="s">
        <v>824</v>
      </c>
      <c r="F5" s="5" t="s">
        <v>17</v>
      </c>
      <c r="G5" s="5" t="s">
        <v>2</v>
      </c>
      <c r="H5" s="5" t="s">
        <v>2</v>
      </c>
      <c r="I5" s="5" t="s">
        <v>2</v>
      </c>
      <c r="J5" s="5" t="s">
        <v>825</v>
      </c>
    </row>
    <row r="6" spans="1:10" x14ac:dyDescent="0.25" outlineLevel="1" collapsed="1">
      <c r="A6" s="7" t="s">
        <v>15</v>
      </c>
      <c r="B6" s="7" t="s">
        <v>44</v>
      </c>
      <c r="C6" s="10" t="s">
        <v>826</v>
      </c>
      <c r="D6" s="7"/>
      <c r="E6" s="7" t="s">
        <v>827</v>
      </c>
      <c r="F6" s="7" t="s">
        <v>17</v>
      </c>
      <c r="G6" s="7" t="s">
        <v>15</v>
      </c>
      <c r="H6" s="7" t="s">
        <v>2</v>
      </c>
      <c r="I6" s="7" t="s">
        <v>2</v>
      </c>
      <c r="J6" s="7" t="s">
        <v>828</v>
      </c>
    </row>
    <row r="7" spans="1:10" x14ac:dyDescent="0.25" outlineLevel="1" collapsed="1">
      <c r="A7" s="7" t="s">
        <v>17</v>
      </c>
      <c r="B7" s="7" t="s">
        <v>20</v>
      </c>
      <c r="C7" s="7" t="s">
        <v>2</v>
      </c>
      <c r="D7" s="7"/>
      <c r="E7" s="7" t="s">
        <v>76</v>
      </c>
      <c r="F7" s="7" t="s">
        <v>17</v>
      </c>
      <c r="G7" s="7" t="s">
        <v>22</v>
      </c>
      <c r="H7" s="7" t="s">
        <v>2</v>
      </c>
      <c r="I7" s="7" t="s">
        <v>2</v>
      </c>
      <c r="J7" s="7" t="s">
        <v>78</v>
      </c>
    </row>
    <row r="8" spans="1:10" x14ac:dyDescent="0.25">
      <c r="A8" s="5" t="s">
        <v>15</v>
      </c>
      <c r="B8" s="6" t="s">
        <v>823</v>
      </c>
      <c r="C8" s="5" t="s">
        <v>2</v>
      </c>
      <c r="D8" s="5"/>
      <c r="E8" s="5" t="s">
        <v>829</v>
      </c>
      <c r="F8" s="5" t="s">
        <v>17</v>
      </c>
      <c r="G8" s="5" t="s">
        <v>2</v>
      </c>
      <c r="H8" s="5" t="s">
        <v>2</v>
      </c>
      <c r="I8" s="5" t="s">
        <v>2</v>
      </c>
      <c r="J8" s="5" t="s">
        <v>830</v>
      </c>
    </row>
    <row r="9" spans="1:10" x14ac:dyDescent="0.25" outlineLevel="1" collapsed="1">
      <c r="A9" s="7" t="s">
        <v>15</v>
      </c>
      <c r="B9" s="7" t="s">
        <v>44</v>
      </c>
      <c r="C9" s="10" t="s">
        <v>826</v>
      </c>
      <c r="D9" s="7"/>
      <c r="E9" s="7" t="s">
        <v>827</v>
      </c>
      <c r="F9" s="7" t="s">
        <v>17</v>
      </c>
      <c r="G9" s="7" t="s">
        <v>15</v>
      </c>
      <c r="H9" s="7" t="s">
        <v>2</v>
      </c>
      <c r="I9" s="7" t="s">
        <v>2</v>
      </c>
      <c r="J9" s="7" t="s">
        <v>828</v>
      </c>
    </row>
    <row r="10" spans="1:10" x14ac:dyDescent="0.25" outlineLevel="1" collapsed="1">
      <c r="A10" s="7" t="s">
        <v>17</v>
      </c>
      <c r="B10" s="7" t="s">
        <v>20</v>
      </c>
      <c r="C10" s="7" t="s">
        <v>2</v>
      </c>
      <c r="D10" s="7"/>
      <c r="E10" s="7" t="s">
        <v>76</v>
      </c>
      <c r="F10" s="7" t="s">
        <v>17</v>
      </c>
      <c r="G10" s="7" t="s">
        <v>22</v>
      </c>
      <c r="H10" s="7" t="s">
        <v>2</v>
      </c>
      <c r="I10" s="7" t="s">
        <v>2</v>
      </c>
      <c r="J10" s="7" t="s">
        <v>78</v>
      </c>
    </row>
    <row r="11" spans="1:10" x14ac:dyDescent="0.25">
      <c r="A11" s="5" t="s">
        <v>15</v>
      </c>
      <c r="B11" s="6" t="s">
        <v>823</v>
      </c>
      <c r="C11" s="5" t="s">
        <v>2</v>
      </c>
      <c r="D11" s="5"/>
      <c r="E11" s="5" t="s">
        <v>831</v>
      </c>
      <c r="F11" s="5" t="s">
        <v>17</v>
      </c>
      <c r="G11" s="5" t="s">
        <v>2</v>
      </c>
      <c r="H11" s="5" t="s">
        <v>2</v>
      </c>
      <c r="I11" s="5" t="s">
        <v>2</v>
      </c>
      <c r="J11" s="5" t="s">
        <v>832</v>
      </c>
    </row>
    <row r="12" spans="1:10" x14ac:dyDescent="0.25" outlineLevel="1" collapsed="1">
      <c r="A12" s="7" t="s">
        <v>15</v>
      </c>
      <c r="B12" s="7" t="s">
        <v>44</v>
      </c>
      <c r="C12" s="10" t="s">
        <v>826</v>
      </c>
      <c r="D12" s="7"/>
      <c r="E12" s="7" t="s">
        <v>827</v>
      </c>
      <c r="F12" s="7" t="s">
        <v>17</v>
      </c>
      <c r="G12" s="7" t="s">
        <v>15</v>
      </c>
      <c r="H12" s="7" t="s">
        <v>2</v>
      </c>
      <c r="I12" s="7" t="s">
        <v>2</v>
      </c>
      <c r="J12" s="7" t="s">
        <v>828</v>
      </c>
    </row>
    <row r="13" spans="1:10" x14ac:dyDescent="0.25" outlineLevel="1" collapsed="1">
      <c r="A13" s="7" t="s">
        <v>17</v>
      </c>
      <c r="B13" s="7" t="s">
        <v>20</v>
      </c>
      <c r="C13" s="7" t="s">
        <v>2</v>
      </c>
      <c r="D13" s="7"/>
      <c r="E13" s="7" t="s">
        <v>76</v>
      </c>
      <c r="F13" s="7" t="s">
        <v>17</v>
      </c>
      <c r="G13" s="7" t="s">
        <v>22</v>
      </c>
      <c r="H13" s="7" t="s">
        <v>2</v>
      </c>
      <c r="I13" s="7" t="s">
        <v>2</v>
      </c>
      <c r="J13" s="7" t="s">
        <v>78</v>
      </c>
    </row>
    <row r="14" spans="1:10" x14ac:dyDescent="0.25">
      <c r="A14" s="5" t="s">
        <v>15</v>
      </c>
      <c r="B14" s="6" t="s">
        <v>823</v>
      </c>
      <c r="C14" s="5" t="s">
        <v>2</v>
      </c>
      <c r="D14" s="5"/>
      <c r="E14" s="5" t="s">
        <v>833</v>
      </c>
      <c r="F14" s="5" t="s">
        <v>17</v>
      </c>
      <c r="G14" s="5" t="s">
        <v>2</v>
      </c>
      <c r="H14" s="5" t="s">
        <v>2</v>
      </c>
      <c r="I14" s="5" t="s">
        <v>2</v>
      </c>
      <c r="J14" s="5" t="s">
        <v>834</v>
      </c>
    </row>
    <row r="15" spans="1:10" x14ac:dyDescent="0.25" outlineLevel="1" collapsed="1">
      <c r="A15" s="7" t="s">
        <v>15</v>
      </c>
      <c r="B15" s="7" t="s">
        <v>44</v>
      </c>
      <c r="C15" s="10" t="s">
        <v>826</v>
      </c>
      <c r="D15" s="7"/>
      <c r="E15" s="7" t="s">
        <v>827</v>
      </c>
      <c r="F15" s="7" t="s">
        <v>17</v>
      </c>
      <c r="G15" s="7" t="s">
        <v>15</v>
      </c>
      <c r="H15" s="7" t="s">
        <v>2</v>
      </c>
      <c r="I15" s="7" t="s">
        <v>2</v>
      </c>
      <c r="J15" s="7" t="s">
        <v>828</v>
      </c>
    </row>
    <row r="16" spans="1:10" x14ac:dyDescent="0.25" outlineLevel="1" collapsed="1">
      <c r="A16" s="7" t="s">
        <v>17</v>
      </c>
      <c r="B16" s="7" t="s">
        <v>20</v>
      </c>
      <c r="C16" s="7" t="s">
        <v>2</v>
      </c>
      <c r="D16" s="7"/>
      <c r="E16" s="7" t="s">
        <v>76</v>
      </c>
      <c r="F16" s="7" t="s">
        <v>17</v>
      </c>
      <c r="G16" s="7" t="s">
        <v>22</v>
      </c>
      <c r="H16" s="7" t="s">
        <v>2</v>
      </c>
      <c r="I16" s="7" t="s">
        <v>2</v>
      </c>
      <c r="J16" s="7" t="s">
        <v>78</v>
      </c>
    </row>
    <row r="17" spans="1:10" x14ac:dyDescent="0.25">
      <c r="A17" s="5" t="s">
        <v>15</v>
      </c>
      <c r="B17" s="6" t="s">
        <v>823</v>
      </c>
      <c r="C17" s="5" t="s">
        <v>2</v>
      </c>
      <c r="D17" s="5"/>
      <c r="E17" s="5" t="s">
        <v>835</v>
      </c>
      <c r="F17" s="5" t="s">
        <v>17</v>
      </c>
      <c r="G17" s="5" t="s">
        <v>2</v>
      </c>
      <c r="H17" s="5" t="s">
        <v>2</v>
      </c>
      <c r="I17" s="5" t="s">
        <v>2</v>
      </c>
      <c r="J17" s="5" t="s">
        <v>836</v>
      </c>
    </row>
    <row r="18" spans="1:10" x14ac:dyDescent="0.25" outlineLevel="1" collapsed="1">
      <c r="A18" s="7" t="s">
        <v>15</v>
      </c>
      <c r="B18" s="7" t="s">
        <v>44</v>
      </c>
      <c r="C18" s="10" t="s">
        <v>826</v>
      </c>
      <c r="D18" s="7"/>
      <c r="E18" s="7" t="s">
        <v>827</v>
      </c>
      <c r="F18" s="7" t="s">
        <v>17</v>
      </c>
      <c r="G18" s="7" t="s">
        <v>15</v>
      </c>
      <c r="H18" s="7" t="s">
        <v>2</v>
      </c>
      <c r="I18" s="7" t="s">
        <v>2</v>
      </c>
      <c r="J18" s="7" t="s">
        <v>828</v>
      </c>
    </row>
    <row r="19" spans="1:10" x14ac:dyDescent="0.25" outlineLevel="1" collapsed="1">
      <c r="A19" s="7" t="s">
        <v>17</v>
      </c>
      <c r="B19" s="7" t="s">
        <v>20</v>
      </c>
      <c r="C19" s="7" t="s">
        <v>2</v>
      </c>
      <c r="D19" s="7"/>
      <c r="E19" s="7" t="s">
        <v>76</v>
      </c>
      <c r="F19" s="7" t="s">
        <v>17</v>
      </c>
      <c r="G19" s="7" t="s">
        <v>22</v>
      </c>
      <c r="H19" s="7" t="s">
        <v>2</v>
      </c>
      <c r="I19" s="7" t="s">
        <v>2</v>
      </c>
      <c r="J19" s="7" t="s">
        <v>78</v>
      </c>
    </row>
    <row r="20" spans="1:10" x14ac:dyDescent="0.25">
      <c r="A20" s="5" t="s">
        <v>15</v>
      </c>
      <c r="B20" s="6" t="s">
        <v>823</v>
      </c>
      <c r="C20" s="5" t="s">
        <v>2</v>
      </c>
      <c r="D20" s="5"/>
      <c r="E20" s="5" t="s">
        <v>837</v>
      </c>
      <c r="F20" s="5" t="s">
        <v>17</v>
      </c>
      <c r="G20" s="5" t="s">
        <v>2</v>
      </c>
      <c r="H20" s="5" t="s">
        <v>2</v>
      </c>
      <c r="I20" s="5" t="s">
        <v>2</v>
      </c>
      <c r="J20" s="5" t="s">
        <v>838</v>
      </c>
    </row>
    <row r="21" spans="1:10" x14ac:dyDescent="0.25" outlineLevel="1" collapsed="1">
      <c r="A21" s="7" t="s">
        <v>15</v>
      </c>
      <c r="B21" s="7" t="s">
        <v>44</v>
      </c>
      <c r="C21" s="10" t="s">
        <v>826</v>
      </c>
      <c r="D21" s="7"/>
      <c r="E21" s="7" t="s">
        <v>827</v>
      </c>
      <c r="F21" s="7" t="s">
        <v>17</v>
      </c>
      <c r="G21" s="7" t="s">
        <v>15</v>
      </c>
      <c r="H21" s="7" t="s">
        <v>2</v>
      </c>
      <c r="I21" s="7" t="s">
        <v>2</v>
      </c>
      <c r="J21" s="7" t="s">
        <v>828</v>
      </c>
    </row>
    <row r="22" spans="1:10" x14ac:dyDescent="0.25" outlineLevel="1" collapsed="1">
      <c r="A22" s="7" t="s">
        <v>17</v>
      </c>
      <c r="B22" s="7" t="s">
        <v>20</v>
      </c>
      <c r="C22" s="7" t="s">
        <v>2</v>
      </c>
      <c r="D22" s="7"/>
      <c r="E22" s="7" t="s">
        <v>76</v>
      </c>
      <c r="F22" s="7" t="s">
        <v>17</v>
      </c>
      <c r="G22" s="7" t="s">
        <v>22</v>
      </c>
      <c r="H22" s="7" t="s">
        <v>2</v>
      </c>
      <c r="I22" s="7" t="s">
        <v>2</v>
      </c>
      <c r="J22" s="7" t="s">
        <v>78</v>
      </c>
    </row>
    <row r="23" spans="1:10" x14ac:dyDescent="0.25">
      <c r="A23" s="5" t="s">
        <v>15</v>
      </c>
      <c r="B23" s="6" t="s">
        <v>823</v>
      </c>
      <c r="C23" s="5" t="s">
        <v>2</v>
      </c>
      <c r="D23" s="5"/>
      <c r="E23" s="5" t="s">
        <v>839</v>
      </c>
      <c r="F23" s="5" t="s">
        <v>17</v>
      </c>
      <c r="G23" s="5" t="s">
        <v>2</v>
      </c>
      <c r="H23" s="5" t="s">
        <v>2</v>
      </c>
      <c r="I23" s="5" t="s">
        <v>2</v>
      </c>
      <c r="J23" s="5" t="s">
        <v>840</v>
      </c>
    </row>
    <row r="24" spans="1:10" x14ac:dyDescent="0.25" outlineLevel="1" collapsed="1">
      <c r="A24" s="7" t="s">
        <v>15</v>
      </c>
      <c r="B24" s="7" t="s">
        <v>44</v>
      </c>
      <c r="C24" s="10" t="s">
        <v>826</v>
      </c>
      <c r="D24" s="7"/>
      <c r="E24" s="7" t="s">
        <v>827</v>
      </c>
      <c r="F24" s="7" t="s">
        <v>17</v>
      </c>
      <c r="G24" s="7" t="s">
        <v>15</v>
      </c>
      <c r="H24" s="7" t="s">
        <v>2</v>
      </c>
      <c r="I24" s="7" t="s">
        <v>2</v>
      </c>
      <c r="J24" s="7" t="s">
        <v>828</v>
      </c>
    </row>
    <row r="25" spans="1:10" x14ac:dyDescent="0.25" outlineLevel="1" collapsed="1">
      <c r="A25" s="7" t="s">
        <v>17</v>
      </c>
      <c r="B25" s="7" t="s">
        <v>20</v>
      </c>
      <c r="C25" s="7" t="s">
        <v>2</v>
      </c>
      <c r="D25" s="7"/>
      <c r="E25" s="7" t="s">
        <v>76</v>
      </c>
      <c r="F25" s="7" t="s">
        <v>17</v>
      </c>
      <c r="G25" s="7" t="s">
        <v>22</v>
      </c>
      <c r="H25" s="7" t="s">
        <v>2</v>
      </c>
      <c r="I25" s="7" t="s">
        <v>2</v>
      </c>
      <c r="J25" s="7" t="s">
        <v>78</v>
      </c>
    </row>
    <row r="26" spans="1:10" x14ac:dyDescent="0.25">
      <c r="A26" s="5" t="s">
        <v>15</v>
      </c>
      <c r="B26" s="6" t="s">
        <v>823</v>
      </c>
      <c r="C26" s="5" t="s">
        <v>2</v>
      </c>
      <c r="D26" s="5"/>
      <c r="E26" s="5" t="s">
        <v>841</v>
      </c>
      <c r="F26" s="5" t="s">
        <v>17</v>
      </c>
      <c r="G26" s="5" t="s">
        <v>2</v>
      </c>
      <c r="H26" s="5" t="s">
        <v>2</v>
      </c>
      <c r="I26" s="5" t="s">
        <v>2</v>
      </c>
      <c r="J26" s="5" t="s">
        <v>842</v>
      </c>
    </row>
    <row r="27" spans="1:10" x14ac:dyDescent="0.25" outlineLevel="1" collapsed="1">
      <c r="A27" s="7" t="s">
        <v>15</v>
      </c>
      <c r="B27" s="7" t="s">
        <v>44</v>
      </c>
      <c r="C27" s="10" t="s">
        <v>826</v>
      </c>
      <c r="D27" s="7"/>
      <c r="E27" s="7" t="s">
        <v>827</v>
      </c>
      <c r="F27" s="7" t="s">
        <v>17</v>
      </c>
      <c r="G27" s="7" t="s">
        <v>15</v>
      </c>
      <c r="H27" s="7" t="s">
        <v>2</v>
      </c>
      <c r="I27" s="7" t="s">
        <v>2</v>
      </c>
      <c r="J27" s="7" t="s">
        <v>828</v>
      </c>
    </row>
    <row r="28" spans="1:10" x14ac:dyDescent="0.25" outlineLevel="1" collapsed="1">
      <c r="A28" s="7" t="s">
        <v>17</v>
      </c>
      <c r="B28" s="7" t="s">
        <v>20</v>
      </c>
      <c r="C28" s="7" t="s">
        <v>2</v>
      </c>
      <c r="D28" s="7"/>
      <c r="E28" s="7" t="s">
        <v>76</v>
      </c>
      <c r="F28" s="7" t="s">
        <v>17</v>
      </c>
      <c r="G28" s="7" t="s">
        <v>22</v>
      </c>
      <c r="H28" s="7" t="s">
        <v>2</v>
      </c>
      <c r="I28" s="7" t="s">
        <v>2</v>
      </c>
      <c r="J28" s="7" t="s">
        <v>78</v>
      </c>
    </row>
    <row r="29" spans="1:10" x14ac:dyDescent="0.25">
      <c r="A29" s="5" t="s">
        <v>15</v>
      </c>
      <c r="B29" s="6" t="s">
        <v>823</v>
      </c>
      <c r="C29" s="5" t="s">
        <v>2</v>
      </c>
      <c r="D29" s="5"/>
      <c r="E29" s="5" t="s">
        <v>843</v>
      </c>
      <c r="F29" s="5" t="s">
        <v>17</v>
      </c>
      <c r="G29" s="5" t="s">
        <v>2</v>
      </c>
      <c r="H29" s="5" t="s">
        <v>2</v>
      </c>
      <c r="I29" s="5" t="s">
        <v>2</v>
      </c>
      <c r="J29" s="5" t="s">
        <v>844</v>
      </c>
    </row>
    <row r="30" spans="1:10" x14ac:dyDescent="0.25" outlineLevel="1" collapsed="1">
      <c r="A30" s="7" t="s">
        <v>15</v>
      </c>
      <c r="B30" s="7" t="s">
        <v>44</v>
      </c>
      <c r="C30" s="10" t="s">
        <v>826</v>
      </c>
      <c r="D30" s="7"/>
      <c r="E30" s="7" t="s">
        <v>827</v>
      </c>
      <c r="F30" s="7" t="s">
        <v>17</v>
      </c>
      <c r="G30" s="7" t="s">
        <v>15</v>
      </c>
      <c r="H30" s="7" t="s">
        <v>2</v>
      </c>
      <c r="I30" s="7" t="s">
        <v>2</v>
      </c>
      <c r="J30" s="7" t="s">
        <v>828</v>
      </c>
    </row>
    <row r="31" spans="1:10" x14ac:dyDescent="0.25" outlineLevel="1" collapsed="1">
      <c r="A31" s="7" t="s">
        <v>17</v>
      </c>
      <c r="B31" s="7" t="s">
        <v>20</v>
      </c>
      <c r="C31" s="7" t="s">
        <v>2</v>
      </c>
      <c r="D31" s="7"/>
      <c r="E31" s="7" t="s">
        <v>76</v>
      </c>
      <c r="F31" s="7" t="s">
        <v>17</v>
      </c>
      <c r="G31" s="7" t="s">
        <v>22</v>
      </c>
      <c r="H31" s="7" t="s">
        <v>2</v>
      </c>
      <c r="I31" s="7" t="s">
        <v>2</v>
      </c>
      <c r="J31" s="7" t="s">
        <v>78</v>
      </c>
    </row>
    <row r="32" spans="1:10" x14ac:dyDescent="0.25">
      <c r="A32" s="5" t="s">
        <v>15</v>
      </c>
      <c r="B32" s="6" t="s">
        <v>823</v>
      </c>
      <c r="C32" s="5" t="s">
        <v>2</v>
      </c>
      <c r="D32" s="5"/>
      <c r="E32" s="5" t="s">
        <v>845</v>
      </c>
      <c r="F32" s="5" t="s">
        <v>17</v>
      </c>
      <c r="G32" s="5" t="s">
        <v>2</v>
      </c>
      <c r="H32" s="5" t="s">
        <v>2</v>
      </c>
      <c r="I32" s="5" t="s">
        <v>2</v>
      </c>
      <c r="J32" s="5" t="s">
        <v>846</v>
      </c>
    </row>
    <row r="33" spans="1:10" x14ac:dyDescent="0.25" outlineLevel="1" collapsed="1">
      <c r="A33" s="7" t="s">
        <v>15</v>
      </c>
      <c r="B33" s="7" t="s">
        <v>44</v>
      </c>
      <c r="C33" s="10" t="s">
        <v>826</v>
      </c>
      <c r="D33" s="7"/>
      <c r="E33" s="7" t="s">
        <v>827</v>
      </c>
      <c r="F33" s="7" t="s">
        <v>17</v>
      </c>
      <c r="G33" s="7" t="s">
        <v>15</v>
      </c>
      <c r="H33" s="7" t="s">
        <v>2</v>
      </c>
      <c r="I33" s="7" t="s">
        <v>2</v>
      </c>
      <c r="J33" s="7" t="s">
        <v>828</v>
      </c>
    </row>
    <row r="34" spans="1:10" x14ac:dyDescent="0.25" outlineLevel="1" collapsed="1">
      <c r="A34" s="7" t="s">
        <v>17</v>
      </c>
      <c r="B34" s="7" t="s">
        <v>20</v>
      </c>
      <c r="C34" s="7" t="s">
        <v>2</v>
      </c>
      <c r="D34" s="7"/>
      <c r="E34" s="7" t="s">
        <v>76</v>
      </c>
      <c r="F34" s="7" t="s">
        <v>17</v>
      </c>
      <c r="G34" s="7" t="s">
        <v>22</v>
      </c>
      <c r="H34" s="7" t="s">
        <v>2</v>
      </c>
      <c r="I34" s="7" t="s">
        <v>2</v>
      </c>
      <c r="J34" s="7" t="s">
        <v>78</v>
      </c>
    </row>
    <row r="35" spans="1:10" x14ac:dyDescent="0.25">
      <c r="A35" s="5" t="s">
        <v>15</v>
      </c>
      <c r="B35" s="6" t="s">
        <v>823</v>
      </c>
      <c r="C35" s="5" t="s">
        <v>2</v>
      </c>
      <c r="D35" s="5"/>
      <c r="E35" s="5" t="s">
        <v>847</v>
      </c>
      <c r="F35" s="5" t="s">
        <v>17</v>
      </c>
      <c r="G35" s="5" t="s">
        <v>2</v>
      </c>
      <c r="H35" s="5" t="s">
        <v>2</v>
      </c>
      <c r="I35" s="5" t="s">
        <v>2</v>
      </c>
      <c r="J35" s="5" t="s">
        <v>848</v>
      </c>
    </row>
    <row r="36" spans="1:10" x14ac:dyDescent="0.25" outlineLevel="1" collapsed="1">
      <c r="A36" s="7" t="s">
        <v>15</v>
      </c>
      <c r="B36" s="7" t="s">
        <v>44</v>
      </c>
      <c r="C36" s="10" t="s">
        <v>826</v>
      </c>
      <c r="D36" s="7"/>
      <c r="E36" s="7" t="s">
        <v>827</v>
      </c>
      <c r="F36" s="7" t="s">
        <v>17</v>
      </c>
      <c r="G36" s="7" t="s">
        <v>15</v>
      </c>
      <c r="H36" s="7" t="s">
        <v>2</v>
      </c>
      <c r="I36" s="7" t="s">
        <v>2</v>
      </c>
      <c r="J36" s="7" t="s">
        <v>828</v>
      </c>
    </row>
    <row r="37" spans="1:10" x14ac:dyDescent="0.25" outlineLevel="1" collapsed="1">
      <c r="A37" s="7" t="s">
        <v>17</v>
      </c>
      <c r="B37" s="7" t="s">
        <v>20</v>
      </c>
      <c r="C37" s="7" t="s">
        <v>2</v>
      </c>
      <c r="D37" s="7"/>
      <c r="E37" s="7" t="s">
        <v>76</v>
      </c>
      <c r="F37" s="7" t="s">
        <v>17</v>
      </c>
      <c r="G37" s="7" t="s">
        <v>22</v>
      </c>
      <c r="H37" s="7" t="s">
        <v>2</v>
      </c>
      <c r="I37" s="7" t="s">
        <v>2</v>
      </c>
      <c r="J37" s="7" t="s">
        <v>78</v>
      </c>
    </row>
    <row r="38" spans="1:10" x14ac:dyDescent="0.25">
      <c r="A38" s="5" t="s">
        <v>15</v>
      </c>
      <c r="B38" s="6" t="s">
        <v>823</v>
      </c>
      <c r="C38" s="5" t="s">
        <v>2</v>
      </c>
      <c r="D38" s="5"/>
      <c r="E38" s="5" t="s">
        <v>849</v>
      </c>
      <c r="F38" s="5" t="s">
        <v>17</v>
      </c>
      <c r="G38" s="5" t="s">
        <v>2</v>
      </c>
      <c r="H38" s="5" t="s">
        <v>2</v>
      </c>
      <c r="I38" s="5" t="s">
        <v>2</v>
      </c>
      <c r="J38" s="5" t="s">
        <v>850</v>
      </c>
    </row>
    <row r="39" spans="1:10" x14ac:dyDescent="0.25" outlineLevel="1" collapsed="1">
      <c r="A39" s="7" t="s">
        <v>15</v>
      </c>
      <c r="B39" s="7" t="s">
        <v>44</v>
      </c>
      <c r="C39" s="10" t="s">
        <v>826</v>
      </c>
      <c r="D39" s="7"/>
      <c r="E39" s="7" t="s">
        <v>827</v>
      </c>
      <c r="F39" s="7" t="s">
        <v>17</v>
      </c>
      <c r="G39" s="7" t="s">
        <v>15</v>
      </c>
      <c r="H39" s="7" t="s">
        <v>2</v>
      </c>
      <c r="I39" s="7" t="s">
        <v>2</v>
      </c>
      <c r="J39" s="7" t="s">
        <v>828</v>
      </c>
    </row>
    <row r="40" spans="1:10" x14ac:dyDescent="0.25" outlineLevel="1" collapsed="1">
      <c r="A40" s="7" t="s">
        <v>17</v>
      </c>
      <c r="B40" s="7" t="s">
        <v>20</v>
      </c>
      <c r="C40" s="7" t="s">
        <v>2</v>
      </c>
      <c r="D40" s="7"/>
      <c r="E40" s="7" t="s">
        <v>76</v>
      </c>
      <c r="F40" s="7" t="s">
        <v>17</v>
      </c>
      <c r="G40" s="7" t="s">
        <v>22</v>
      </c>
      <c r="H40" s="7" t="s">
        <v>2</v>
      </c>
      <c r="I40" s="7" t="s">
        <v>2</v>
      </c>
      <c r="J40" s="7" t="s">
        <v>78</v>
      </c>
    </row>
  </sheetData>
  <mergeCells count="3">
    <mergeCell ref="A1:J1"/>
    <mergeCell ref="B2:J2"/>
    <mergeCell ref="B3:J3"/>
  </mergeCells>
  <dataValidations count="12">
    <dataValidation type="list" allowBlank="1" sqref="G12:I12">
      <formula1>'Enums'!C2707:C2708</formula1>
    </dataValidation>
    <dataValidation type="list" allowBlank="1" sqref="G15:I15">
      <formula1>'Enums'!C2707:C2708</formula1>
    </dataValidation>
    <dataValidation type="list" allowBlank="1" sqref="G18:I18">
      <formula1>'Enums'!C2707:C2708</formula1>
    </dataValidation>
    <dataValidation type="list" allowBlank="1" sqref="G21:I21">
      <formula1>'Enums'!C2707:C2708</formula1>
    </dataValidation>
    <dataValidation type="list" allowBlank="1" sqref="G24:I24">
      <formula1>'Enums'!C2707:C2708</formula1>
    </dataValidation>
    <dataValidation type="list" allowBlank="1" sqref="G27:I27">
      <formula1>'Enums'!C2707:C2708</formula1>
    </dataValidation>
    <dataValidation type="list" allowBlank="1" sqref="G30:I30">
      <formula1>'Enums'!C2707:C2708</formula1>
    </dataValidation>
    <dataValidation type="list" allowBlank="1" sqref="G33:I33">
      <formula1>'Enums'!C2707:C2708</formula1>
    </dataValidation>
    <dataValidation type="list" allowBlank="1" sqref="G36:I36">
      <formula1>'Enums'!C2707:C2708</formula1>
    </dataValidation>
    <dataValidation type="list" allowBlank="1" sqref="G39:I39">
      <formula1>'Enums'!C2707:C2708</formula1>
    </dataValidation>
    <dataValidation type="list" allowBlank="1" sqref="G6:I6">
      <formula1>'Enums'!C2707:C2708</formula1>
    </dataValidation>
    <dataValidation type="list" allowBlank="1" sqref="G9:I9">
      <formula1>'Enums'!C2707:C2708</formula1>
    </dataValidation>
  </dataValidations>
  <hyperlinks>
    <hyperlink ref="B5" r:id="rId1" location="#'Yes or no with comments'!A1"/>
    <hyperlink ref="B8" r:id="rId2" location="#'Yes or no with comments'!A1"/>
    <hyperlink ref="B11" r:id="rId3" location="#'Yes or no with comments'!A1"/>
    <hyperlink ref="B14" r:id="rId4" location="#'Yes or no with comments'!A1"/>
    <hyperlink ref="B17" r:id="rId5" location="#'Yes or no with comments'!A1"/>
    <hyperlink ref="B20" r:id="rId6" location="#'Yes or no with comments'!A1"/>
    <hyperlink ref="B23" r:id="rId7" location="#'Yes or no with comments'!A1"/>
    <hyperlink ref="B26" r:id="rId8" location="#'Yes or no with comments'!A1"/>
    <hyperlink ref="B29" r:id="rId9" location="#'Yes or no with comments'!A1"/>
    <hyperlink ref="B32" r:id="rId10" location="#'Yes or no with comments'!A1"/>
    <hyperlink ref="B35" r:id="rId11" location="#'Yes or no with comments'!A1"/>
    <hyperlink ref="B38" r:id="rId12" location="#'Yes or no with comm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1465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190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193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104</v>
      </c>
    </row>
    <row r="6" spans="1:10" x14ac:dyDescent="0.25">
      <c r="A6" s="5" t="s">
        <v>15</v>
      </c>
      <c r="B6" s="5" t="s">
        <v>194</v>
      </c>
      <c r="C6" s="5" t="s">
        <v>2</v>
      </c>
      <c r="D6" s="5"/>
      <c r="E6" s="5" t="s">
        <v>195</v>
      </c>
      <c r="F6" s="5" t="s">
        <v>17</v>
      </c>
      <c r="G6" s="5">
        <v>1</v>
      </c>
      <c r="H6" s="5" t="s">
        <v>2</v>
      </c>
      <c r="I6" s="5" t="s">
        <v>2</v>
      </c>
      <c r="J6" s="5" t="s">
        <v>196</v>
      </c>
    </row>
    <row r="7" spans="1:10" x14ac:dyDescent="0.25">
      <c r="A7" s="5" t="s">
        <v>15</v>
      </c>
      <c r="B7" s="6" t="s">
        <v>34</v>
      </c>
      <c r="C7" s="5" t="s">
        <v>2</v>
      </c>
      <c r="D7" s="5"/>
      <c r="E7" s="5" t="s">
        <v>197</v>
      </c>
      <c r="F7" s="5" t="s">
        <v>17</v>
      </c>
      <c r="G7" s="5" t="s">
        <v>2</v>
      </c>
      <c r="H7" s="5" t="s">
        <v>2</v>
      </c>
      <c r="I7" s="5" t="s">
        <v>2</v>
      </c>
      <c r="J7" s="5" t="s">
        <v>35</v>
      </c>
    </row>
    <row r="8" spans="1:10" x14ac:dyDescent="0.25" outlineLevel="1" collapsed="1">
      <c r="A8" s="7" t="s">
        <v>15</v>
      </c>
      <c r="B8" s="7" t="s">
        <v>26</v>
      </c>
      <c r="C8" s="7" t="s">
        <v>2</v>
      </c>
      <c r="D8" s="7"/>
      <c r="E8" s="7" t="s">
        <v>36</v>
      </c>
      <c r="F8" s="7" t="s">
        <v>17</v>
      </c>
      <c r="G8" s="7" t="s">
        <v>37</v>
      </c>
      <c r="H8" s="7" t="s">
        <v>2</v>
      </c>
      <c r="I8" s="7" t="s">
        <v>2</v>
      </c>
      <c r="J8" s="7" t="s">
        <v>38</v>
      </c>
    </row>
    <row r="9" spans="1:10" x14ac:dyDescent="0.25" outlineLevel="1" collapsed="1">
      <c r="A9" s="7" t="s">
        <v>15</v>
      </c>
      <c r="B9" s="7" t="s">
        <v>26</v>
      </c>
      <c r="C9" s="7" t="s">
        <v>2</v>
      </c>
      <c r="D9" s="7"/>
      <c r="E9" s="7" t="s">
        <v>39</v>
      </c>
      <c r="F9" s="7" t="s">
        <v>17</v>
      </c>
      <c r="G9" s="7" t="s">
        <v>37</v>
      </c>
      <c r="H9" s="7" t="s">
        <v>2</v>
      </c>
      <c r="I9" s="7" t="s">
        <v>2</v>
      </c>
      <c r="J9" s="7" t="s">
        <v>40</v>
      </c>
    </row>
    <row r="10" spans="1:10" x14ac:dyDescent="0.25">
      <c r="A10" s="5" t="s">
        <v>15</v>
      </c>
      <c r="B10" s="5" t="s">
        <v>194</v>
      </c>
      <c r="C10" s="5" t="s">
        <v>2</v>
      </c>
      <c r="D10" s="5"/>
      <c r="E10" s="5" t="s">
        <v>198</v>
      </c>
      <c r="F10" s="5" t="s">
        <v>17</v>
      </c>
      <c r="G10" s="5">
        <v>1</v>
      </c>
      <c r="H10" s="5" t="s">
        <v>2</v>
      </c>
      <c r="I10" s="5" t="s">
        <v>2</v>
      </c>
      <c r="J10" s="5" t="s">
        <v>199</v>
      </c>
    </row>
    <row r="11" spans="1:10" x14ac:dyDescent="0.25">
      <c r="A11" s="5" t="s">
        <v>15</v>
      </c>
      <c r="B11" s="5" t="s">
        <v>20</v>
      </c>
      <c r="C11" s="5" t="s">
        <v>2</v>
      </c>
      <c r="D11" s="5"/>
      <c r="E11" s="5" t="s">
        <v>200</v>
      </c>
      <c r="F11" s="5" t="s">
        <v>17</v>
      </c>
      <c r="G11" s="5" t="s">
        <v>22</v>
      </c>
      <c r="H11" s="5" t="s">
        <v>2</v>
      </c>
      <c r="I11" s="5" t="s">
        <v>2</v>
      </c>
      <c r="J11" s="5" t="s">
        <v>201</v>
      </c>
    </row>
    <row r="12" spans="1:10" x14ac:dyDescent="0.25">
      <c r="A12" s="5" t="s">
        <v>15</v>
      </c>
      <c r="B12" s="5" t="s">
        <v>20</v>
      </c>
      <c r="C12" s="5" t="s">
        <v>2</v>
      </c>
      <c r="D12" s="5"/>
      <c r="E12" s="5" t="s">
        <v>202</v>
      </c>
      <c r="F12" s="5" t="s">
        <v>17</v>
      </c>
      <c r="G12" s="5" t="s">
        <v>22</v>
      </c>
      <c r="H12" s="5" t="s">
        <v>2</v>
      </c>
      <c r="I12" s="5" t="s">
        <v>2</v>
      </c>
      <c r="J12" s="5" t="s">
        <v>203</v>
      </c>
    </row>
    <row r="13" spans="1:10" x14ac:dyDescent="0.25">
      <c r="A13" s="5" t="s">
        <v>15</v>
      </c>
      <c r="B13" s="5" t="s">
        <v>20</v>
      </c>
      <c r="C13" s="5" t="s">
        <v>2</v>
      </c>
      <c r="D13" s="5"/>
      <c r="E13" s="5" t="s">
        <v>204</v>
      </c>
      <c r="F13" s="5" t="s">
        <v>17</v>
      </c>
      <c r="G13" s="5" t="s">
        <v>22</v>
      </c>
      <c r="H13" s="5" t="s">
        <v>2</v>
      </c>
      <c r="I13" s="5" t="s">
        <v>2</v>
      </c>
      <c r="J13" s="5" t="s">
        <v>205</v>
      </c>
    </row>
  </sheetData>
  <mergeCells count="3">
    <mergeCell ref="A1:J1"/>
    <mergeCell ref="B2:J2"/>
    <mergeCell ref="B3:J3"/>
  </mergeCells>
  <hyperlinks>
    <hyperlink ref="B7" r:id="rId1" location="#'Duration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190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193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104</v>
      </c>
    </row>
    <row r="6" spans="1:10" x14ac:dyDescent="0.25">
      <c r="A6" s="5" t="s">
        <v>15</v>
      </c>
      <c r="B6" s="5" t="s">
        <v>26</v>
      </c>
      <c r="C6" s="5" t="s">
        <v>2</v>
      </c>
      <c r="D6" s="5"/>
      <c r="E6" s="5" t="s">
        <v>987</v>
      </c>
      <c r="F6" s="5" t="s">
        <v>17</v>
      </c>
      <c r="G6" s="5" t="s">
        <v>37</v>
      </c>
      <c r="H6" s="5" t="s">
        <v>2</v>
      </c>
      <c r="I6" s="5" t="s">
        <v>2</v>
      </c>
      <c r="J6" s="5" t="s">
        <v>400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1225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1228</v>
      </c>
      <c r="C5" s="5" t="s">
        <v>2</v>
      </c>
      <c r="D5" s="5"/>
      <c r="E5" s="5" t="s">
        <v>1228</v>
      </c>
      <c r="F5" s="5" t="s">
        <v>15</v>
      </c>
      <c r="G5" s="5" t="s">
        <v>2</v>
      </c>
      <c r="H5" s="5" t="s">
        <v>2</v>
      </c>
      <c r="I5" s="5" t="s">
        <v>2</v>
      </c>
      <c r="J5" s="5" t="s">
        <v>1229</v>
      </c>
    </row>
    <row r="6" spans="1:10" x14ac:dyDescent="0.25" outlineLevel="1" collapsed="1">
      <c r="A6" s="7" t="s">
        <v>15</v>
      </c>
      <c r="B6" s="7" t="s">
        <v>20</v>
      </c>
      <c r="C6" s="7" t="s">
        <v>2</v>
      </c>
      <c r="D6" s="7"/>
      <c r="E6" s="7" t="s">
        <v>1228</v>
      </c>
      <c r="F6" s="7" t="s">
        <v>17</v>
      </c>
      <c r="G6" s="7" t="s">
        <v>22</v>
      </c>
      <c r="H6" s="7" t="s">
        <v>2</v>
      </c>
      <c r="I6" s="7" t="s">
        <v>2</v>
      </c>
      <c r="J6" s="7" t="s">
        <v>1230</v>
      </c>
    </row>
    <row r="7" spans="1:10" x14ac:dyDescent="0.25" outlineLevel="1" collapsed="1">
      <c r="A7" s="8" t="s">
        <v>15</v>
      </c>
      <c r="B7" s="9" t="s">
        <v>1231</v>
      </c>
      <c r="C7" s="8" t="s">
        <v>2</v>
      </c>
      <c r="D7" s="8"/>
      <c r="E7" s="8" t="s">
        <v>1232</v>
      </c>
      <c r="F7" s="8" t="s">
        <v>15</v>
      </c>
      <c r="G7" s="8" t="s">
        <v>2</v>
      </c>
      <c r="H7" s="8" t="s">
        <v>2</v>
      </c>
      <c r="I7" s="8" t="s">
        <v>2</v>
      </c>
      <c r="J7" s="8" t="s">
        <v>1233</v>
      </c>
    </row>
    <row r="8" spans="1:10" x14ac:dyDescent="0.25" outlineLevel="2" collapsed="1">
      <c r="A8" s="7" t="s">
        <v>15</v>
      </c>
      <c r="B8" s="7" t="s">
        <v>20</v>
      </c>
      <c r="C8" s="7" t="s">
        <v>2</v>
      </c>
      <c r="D8" s="7"/>
      <c r="E8" s="7" t="s">
        <v>1234</v>
      </c>
      <c r="F8" s="7" t="s">
        <v>17</v>
      </c>
      <c r="G8" s="7" t="s">
        <v>22</v>
      </c>
      <c r="H8" s="7" t="s">
        <v>2</v>
      </c>
      <c r="I8" s="7" t="s">
        <v>2</v>
      </c>
      <c r="J8" s="7" t="s">
        <v>1235</v>
      </c>
    </row>
    <row r="9" spans="1:10" x14ac:dyDescent="0.25" outlineLevel="2" collapsed="1">
      <c r="A9" s="7" t="s">
        <v>15</v>
      </c>
      <c r="B9" s="7" t="s">
        <v>47</v>
      </c>
      <c r="C9" s="7" t="s">
        <v>2</v>
      </c>
      <c r="D9" s="7"/>
      <c r="E9" s="7" t="s">
        <v>1236</v>
      </c>
      <c r="F9" s="7" t="s">
        <v>17</v>
      </c>
      <c r="G9" s="7" t="b">
        <v>1</v>
      </c>
      <c r="H9" s="7" t="s">
        <v>2</v>
      </c>
      <c r="I9" s="7" t="s">
        <v>2</v>
      </c>
      <c r="J9" s="7" t="s">
        <v>1237</v>
      </c>
    </row>
    <row r="10" spans="1:10" x14ac:dyDescent="0.25" outlineLevel="2" collapsed="1">
      <c r="A10" s="7" t="s">
        <v>15</v>
      </c>
      <c r="B10" s="7" t="s">
        <v>20</v>
      </c>
      <c r="C10" s="7" t="s">
        <v>2</v>
      </c>
      <c r="D10" s="7"/>
      <c r="E10" s="7" t="s">
        <v>1238</v>
      </c>
      <c r="F10" s="7" t="s">
        <v>17</v>
      </c>
      <c r="G10" s="7" t="s">
        <v>22</v>
      </c>
      <c r="H10" s="7" t="s">
        <v>2</v>
      </c>
      <c r="I10" s="7" t="s">
        <v>2</v>
      </c>
      <c r="J10" s="7" t="s">
        <v>1239</v>
      </c>
    </row>
  </sheetData>
  <mergeCells count="3">
    <mergeCell ref="A1:J1"/>
    <mergeCell ref="B2:J2"/>
    <mergeCell ref="B3:J3"/>
  </mergeCells>
  <hyperlinks>
    <hyperlink ref="B5" r:id="rId1" location="#'Source'!A1"/>
    <hyperlink ref="B7" r:id="rId2" location="#'GHG Detail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1178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44</v>
      </c>
      <c r="C5" s="12" t="s">
        <v>1180</v>
      </c>
      <c r="D5" s="5"/>
      <c r="E5" s="5" t="s">
        <v>1181</v>
      </c>
      <c r="F5" s="5" t="s">
        <v>17</v>
      </c>
      <c r="G5" s="5" t="s">
        <v>1182</v>
      </c>
      <c r="H5" s="5" t="s">
        <v>2</v>
      </c>
      <c r="I5" s="5" t="s">
        <v>2</v>
      </c>
      <c r="J5" s="5" t="s">
        <v>1183</v>
      </c>
    </row>
    <row r="6" spans="1:10" x14ac:dyDescent="0.25">
      <c r="A6" s="5" t="s">
        <v>15</v>
      </c>
      <c r="B6" s="5" t="s">
        <v>20</v>
      </c>
      <c r="C6" s="5" t="s">
        <v>2</v>
      </c>
      <c r="D6" s="5"/>
      <c r="E6" s="5" t="s">
        <v>1184</v>
      </c>
      <c r="F6" s="5" t="s">
        <v>17</v>
      </c>
      <c r="G6" s="5" t="s">
        <v>22</v>
      </c>
      <c r="H6" s="5" t="s">
        <v>2</v>
      </c>
      <c r="I6" s="5" t="s">
        <v>2</v>
      </c>
      <c r="J6" s="5" t="s">
        <v>1185</v>
      </c>
    </row>
    <row r="7" spans="1:10" x14ac:dyDescent="0.25">
      <c r="A7" s="5" t="s">
        <v>15</v>
      </c>
      <c r="B7" s="5" t="s">
        <v>20</v>
      </c>
      <c r="C7" s="5" t="s">
        <v>2</v>
      </c>
      <c r="D7" s="5"/>
      <c r="E7" s="5" t="s">
        <v>1186</v>
      </c>
      <c r="F7" s="5" t="s">
        <v>17</v>
      </c>
      <c r="G7" s="5" t="s">
        <v>22</v>
      </c>
      <c r="H7" s="5" t="s">
        <v>2</v>
      </c>
      <c r="I7" s="5" t="s">
        <v>2</v>
      </c>
      <c r="J7" s="5" t="s">
        <v>1187</v>
      </c>
    </row>
    <row r="8" spans="1:10" x14ac:dyDescent="0.25">
      <c r="A8" s="5" t="s">
        <v>15</v>
      </c>
      <c r="B8" s="5" t="s">
        <v>20</v>
      </c>
      <c r="C8" s="5" t="s">
        <v>2</v>
      </c>
      <c r="D8" s="5"/>
      <c r="E8" s="5" t="s">
        <v>1188</v>
      </c>
      <c r="F8" s="5" t="s">
        <v>17</v>
      </c>
      <c r="G8" s="5" t="s">
        <v>22</v>
      </c>
      <c r="H8" s="5" t="s">
        <v>2</v>
      </c>
      <c r="I8" s="5" t="s">
        <v>2</v>
      </c>
      <c r="J8" s="5" t="s">
        <v>1189</v>
      </c>
    </row>
    <row r="9" spans="1:10" x14ac:dyDescent="0.25">
      <c r="A9" s="5" t="s">
        <v>15</v>
      </c>
      <c r="B9" s="5" t="s">
        <v>20</v>
      </c>
      <c r="C9" s="5" t="s">
        <v>2</v>
      </c>
      <c r="D9" s="5"/>
      <c r="E9" s="5" t="s">
        <v>1190</v>
      </c>
      <c r="F9" s="5" t="s">
        <v>17</v>
      </c>
      <c r="G9" s="5" t="s">
        <v>22</v>
      </c>
      <c r="H9" s="5" t="s">
        <v>2</v>
      </c>
      <c r="I9" s="5" t="s">
        <v>2</v>
      </c>
      <c r="J9" s="5" t="s">
        <v>1191</v>
      </c>
    </row>
    <row r="10" spans="1:10" x14ac:dyDescent="0.25">
      <c r="A10" s="5" t="s">
        <v>17</v>
      </c>
      <c r="B10" s="5" t="s">
        <v>125</v>
      </c>
      <c r="C10" s="5" t="s">
        <v>2</v>
      </c>
      <c r="D10" s="5"/>
      <c r="E10" s="5" t="s">
        <v>1192</v>
      </c>
      <c r="F10" s="5" t="s">
        <v>17</v>
      </c>
      <c r="G10" s="5" t="s">
        <v>1466</v>
      </c>
      <c r="H10" s="5" t="s">
        <v>2</v>
      </c>
      <c r="I10" s="5" t="s">
        <v>2</v>
      </c>
      <c r="J10" s="5" t="s">
        <v>1194</v>
      </c>
    </row>
    <row r="11" spans="1:10" x14ac:dyDescent="0.25">
      <c r="A11" s="5" t="s">
        <v>17</v>
      </c>
      <c r="B11" s="5" t="s">
        <v>133</v>
      </c>
      <c r="C11" s="5" t="s">
        <v>1195</v>
      </c>
      <c r="D11" s="5">
        <f>EXACT(G5,"Other (Specify)")</f>
      </c>
      <c r="E11" s="5" t="s">
        <v>1196</v>
      </c>
      <c r="F11" s="5" t="s">
        <v>17</v>
      </c>
      <c r="G11" s="5" t="s">
        <v>1467</v>
      </c>
      <c r="H11" s="5" t="s">
        <v>2</v>
      </c>
      <c r="I11" s="5" t="s">
        <v>2</v>
      </c>
      <c r="J11" s="5" t="s">
        <v>1198</v>
      </c>
    </row>
  </sheetData>
  <mergeCells count="3">
    <mergeCell ref="A1:J1"/>
    <mergeCell ref="B2:J2"/>
    <mergeCell ref="B3:J3"/>
  </mergeCells>
  <dataValidations count="1">
    <dataValidation type="list" allowBlank="1" sqref="G5:I5">
      <formula1>'Enums'!C1789:C1795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53</v>
      </c>
      <c r="C5" s="5" t="s">
        <v>2</v>
      </c>
      <c r="D5" s="5"/>
      <c r="E5" s="5" t="s">
        <v>82</v>
      </c>
      <c r="F5" s="5" t="s">
        <v>17</v>
      </c>
      <c r="G5" s="5">
        <v>1</v>
      </c>
      <c r="H5" s="5" t="s">
        <v>2</v>
      </c>
      <c r="I5" s="5" t="s">
        <v>2</v>
      </c>
      <c r="J5" s="5" t="s">
        <v>83</v>
      </c>
    </row>
    <row r="6" spans="1:10" x14ac:dyDescent="0.25">
      <c r="A6" s="5" t="s">
        <v>15</v>
      </c>
      <c r="B6" s="5" t="s">
        <v>53</v>
      </c>
      <c r="C6" s="5" t="s">
        <v>2</v>
      </c>
      <c r="D6" s="5"/>
      <c r="E6" s="5" t="s">
        <v>84</v>
      </c>
      <c r="F6" s="5" t="s">
        <v>17</v>
      </c>
      <c r="G6" s="5">
        <v>1</v>
      </c>
      <c r="H6" s="5" t="s">
        <v>2</v>
      </c>
      <c r="I6" s="5" t="s">
        <v>2</v>
      </c>
      <c r="J6" s="5" t="s">
        <v>85</v>
      </c>
    </row>
    <row r="7" spans="1:10" x14ac:dyDescent="0.25">
      <c r="A7" s="5" t="s">
        <v>15</v>
      </c>
      <c r="B7" s="5" t="s">
        <v>53</v>
      </c>
      <c r="C7" s="5" t="s">
        <v>2</v>
      </c>
      <c r="D7" s="5"/>
      <c r="E7" s="5" t="s">
        <v>86</v>
      </c>
      <c r="F7" s="5" t="s">
        <v>17</v>
      </c>
      <c r="G7" s="5">
        <v>1</v>
      </c>
      <c r="H7" s="5" t="s">
        <v>2</v>
      </c>
      <c r="I7" s="5" t="s">
        <v>2</v>
      </c>
      <c r="J7" s="5" t="s">
        <v>87</v>
      </c>
    </row>
    <row r="8" spans="1:10" x14ac:dyDescent="0.25">
      <c r="A8" s="5" t="s">
        <v>17</v>
      </c>
      <c r="B8" s="5" t="s">
        <v>53</v>
      </c>
      <c r="C8" s="5" t="s">
        <v>2</v>
      </c>
      <c r="D8" s="5"/>
      <c r="E8" s="5" t="s">
        <v>88</v>
      </c>
      <c r="F8" s="5" t="s">
        <v>17</v>
      </c>
      <c r="G8" s="5" t="s">
        <v>89</v>
      </c>
      <c r="H8" s="5" t="s">
        <v>2</v>
      </c>
      <c r="I8" s="5" t="s">
        <v>2</v>
      </c>
      <c r="J8" s="5" t="s">
        <v>90</v>
      </c>
    </row>
    <row r="9" spans="1:10" x14ac:dyDescent="0.25">
      <c r="A9" s="5" t="s">
        <v>15</v>
      </c>
      <c r="B9" s="5" t="s">
        <v>53</v>
      </c>
      <c r="C9" s="5" t="s">
        <v>2</v>
      </c>
      <c r="D9" s="5"/>
      <c r="E9" s="5" t="s">
        <v>91</v>
      </c>
      <c r="F9" s="5" t="s">
        <v>17</v>
      </c>
      <c r="G9" s="5">
        <v>1</v>
      </c>
      <c r="H9" s="5" t="s">
        <v>2</v>
      </c>
      <c r="I9" s="5" t="s">
        <v>2</v>
      </c>
      <c r="J9" s="5" t="s">
        <v>92</v>
      </c>
    </row>
    <row r="10" spans="1:10" x14ac:dyDescent="0.25">
      <c r="A10" s="5" t="s">
        <v>17</v>
      </c>
      <c r="B10" s="5" t="s">
        <v>53</v>
      </c>
      <c r="C10" s="5" t="s">
        <v>2</v>
      </c>
      <c r="D10" s="5"/>
      <c r="E10" s="5" t="s">
        <v>93</v>
      </c>
      <c r="F10" s="5" t="s">
        <v>17</v>
      </c>
      <c r="G10" s="5">
        <v>1</v>
      </c>
      <c r="H10" s="5" t="s">
        <v>2</v>
      </c>
      <c r="I10" s="5" t="s">
        <v>2</v>
      </c>
      <c r="J10" s="5" t="s">
        <v>94</v>
      </c>
    </row>
    <row r="11" spans="1:10" x14ac:dyDescent="0.25">
      <c r="A11" s="5" t="s">
        <v>15</v>
      </c>
      <c r="B11" s="5" t="s">
        <v>47</v>
      </c>
      <c r="C11" s="5" t="s">
        <v>2</v>
      </c>
      <c r="D11" s="5"/>
      <c r="E11" s="5" t="s">
        <v>95</v>
      </c>
      <c r="F11" s="5" t="s">
        <v>17</v>
      </c>
      <c r="G11" s="5" t="s">
        <v>15</v>
      </c>
      <c r="H11" s="5" t="s">
        <v>2</v>
      </c>
      <c r="I11" s="5" t="s">
        <v>2</v>
      </c>
      <c r="J11" s="5" t="s">
        <v>96</v>
      </c>
    </row>
    <row r="12" spans="1:10" x14ac:dyDescent="0.25">
      <c r="A12" s="5" t="s">
        <v>15</v>
      </c>
      <c r="B12" s="5" t="s">
        <v>20</v>
      </c>
      <c r="C12" s="5" t="s">
        <v>2</v>
      </c>
      <c r="D12" s="5"/>
      <c r="E12" s="5" t="s">
        <v>97</v>
      </c>
      <c r="F12" s="5" t="s">
        <v>17</v>
      </c>
      <c r="G12" s="5" t="s">
        <v>22</v>
      </c>
      <c r="H12" s="5" t="s">
        <v>2</v>
      </c>
      <c r="I12" s="5" t="s">
        <v>2</v>
      </c>
      <c r="J12" s="5" t="s">
        <v>98</v>
      </c>
    </row>
    <row r="13" spans="1:10" x14ac:dyDescent="0.25">
      <c r="A13" s="5" t="s">
        <v>15</v>
      </c>
      <c r="B13" s="5" t="s">
        <v>47</v>
      </c>
      <c r="C13" s="5" t="s">
        <v>2</v>
      </c>
      <c r="D13" s="5"/>
      <c r="E13" s="5" t="s">
        <v>99</v>
      </c>
      <c r="F13" s="5" t="s">
        <v>17</v>
      </c>
      <c r="G13" s="5" t="s">
        <v>15</v>
      </c>
      <c r="H13" s="5" t="s">
        <v>2</v>
      </c>
      <c r="I13" s="5" t="s">
        <v>2</v>
      </c>
      <c r="J13" s="5" t="s">
        <v>100</v>
      </c>
    </row>
    <row r="14" spans="1:10" x14ac:dyDescent="0.25">
      <c r="A14" s="5" t="s">
        <v>15</v>
      </c>
      <c r="B14" s="5" t="s">
        <v>20</v>
      </c>
      <c r="C14" s="5" t="s">
        <v>2</v>
      </c>
      <c r="D14" s="5"/>
      <c r="E14" s="5" t="s">
        <v>101</v>
      </c>
      <c r="F14" s="5" t="s">
        <v>17</v>
      </c>
      <c r="G14" s="5" t="s">
        <v>22</v>
      </c>
      <c r="H14" s="5" t="s">
        <v>2</v>
      </c>
      <c r="I14" s="5" t="s">
        <v>2</v>
      </c>
      <c r="J14" s="5" t="s">
        <v>102</v>
      </c>
    </row>
    <row r="15" spans="1:10" x14ac:dyDescent="0.25">
      <c r="A15" s="5" t="s">
        <v>15</v>
      </c>
      <c r="B15" s="6" t="s">
        <v>103</v>
      </c>
      <c r="C15" s="5" t="s">
        <v>2</v>
      </c>
      <c r="D15" s="5"/>
      <c r="E15" s="5" t="s">
        <v>103</v>
      </c>
      <c r="F15" s="5" t="s">
        <v>17</v>
      </c>
      <c r="G15" s="5" t="s">
        <v>2</v>
      </c>
      <c r="H15" s="5" t="s">
        <v>2</v>
      </c>
      <c r="I15" s="5" t="s">
        <v>2</v>
      </c>
      <c r="J15" s="5" t="s">
        <v>104</v>
      </c>
    </row>
    <row r="16" spans="1:10" x14ac:dyDescent="0.25" outlineLevel="1" collapsed="1">
      <c r="A16" s="7" t="s">
        <v>15</v>
      </c>
      <c r="B16" s="7" t="s">
        <v>20</v>
      </c>
      <c r="C16" s="7" t="s">
        <v>2</v>
      </c>
      <c r="D16" s="7"/>
      <c r="E16" s="7" t="s">
        <v>105</v>
      </c>
      <c r="F16" s="7" t="s">
        <v>17</v>
      </c>
      <c r="G16" s="7" t="s">
        <v>22</v>
      </c>
      <c r="H16" s="7" t="s">
        <v>2</v>
      </c>
      <c r="I16" s="7" t="s">
        <v>2</v>
      </c>
      <c r="J16" s="7" t="s">
        <v>106</v>
      </c>
    </row>
    <row r="17" spans="1:10" x14ac:dyDescent="0.25" outlineLevel="1" collapsed="1">
      <c r="A17" s="7" t="s">
        <v>15</v>
      </c>
      <c r="B17" s="7" t="s">
        <v>20</v>
      </c>
      <c r="C17" s="7" t="s">
        <v>2</v>
      </c>
      <c r="D17" s="7"/>
      <c r="E17" s="7" t="s">
        <v>107</v>
      </c>
      <c r="F17" s="7" t="s">
        <v>17</v>
      </c>
      <c r="G17" s="7" t="s">
        <v>22</v>
      </c>
      <c r="H17" s="7" t="s">
        <v>2</v>
      </c>
      <c r="I17" s="7" t="s">
        <v>2</v>
      </c>
      <c r="J17" s="7" t="s">
        <v>108</v>
      </c>
    </row>
    <row r="18" spans="1:10" x14ac:dyDescent="0.25" outlineLevel="1" collapsed="1">
      <c r="A18" s="7" t="s">
        <v>15</v>
      </c>
      <c r="B18" s="7" t="s">
        <v>26</v>
      </c>
      <c r="C18" s="7" t="s">
        <v>2</v>
      </c>
      <c r="D18" s="7"/>
      <c r="E18" s="7" t="s">
        <v>109</v>
      </c>
      <c r="F18" s="7" t="s">
        <v>17</v>
      </c>
      <c r="G18" s="7" t="s">
        <v>37</v>
      </c>
      <c r="H18" s="7" t="s">
        <v>2</v>
      </c>
      <c r="I18" s="7" t="s">
        <v>2</v>
      </c>
      <c r="J18" s="7" t="s">
        <v>110</v>
      </c>
    </row>
  </sheetData>
  <mergeCells count="3">
    <mergeCell ref="A1:J1"/>
    <mergeCell ref="B2:J2"/>
    <mergeCell ref="B3:J3"/>
  </mergeCells>
  <hyperlinks>
    <hyperlink ref="B15" r:id="rId1" location="#'Certification Statemen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780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780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784</v>
      </c>
      <c r="F5" s="5" t="s">
        <v>17</v>
      </c>
      <c r="G5" s="5" t="s">
        <v>785</v>
      </c>
      <c r="H5" s="5" t="s">
        <v>2</v>
      </c>
      <c r="I5" s="5" t="s">
        <v>2</v>
      </c>
      <c r="J5" s="5" t="s">
        <v>786</v>
      </c>
    </row>
    <row r="6" spans="1:10" x14ac:dyDescent="0.25">
      <c r="A6" s="5" t="s">
        <v>15</v>
      </c>
      <c r="B6" s="5" t="s">
        <v>20</v>
      </c>
      <c r="C6" s="5" t="s">
        <v>2</v>
      </c>
      <c r="D6" s="5"/>
      <c r="E6" s="5" t="s">
        <v>787</v>
      </c>
      <c r="F6" s="5" t="s">
        <v>17</v>
      </c>
      <c r="G6" s="5" t="s">
        <v>788</v>
      </c>
      <c r="H6" s="5" t="s">
        <v>2</v>
      </c>
      <c r="I6" s="5" t="s">
        <v>2</v>
      </c>
      <c r="J6" s="5" t="s">
        <v>789</v>
      </c>
    </row>
    <row r="7" spans="1:10" x14ac:dyDescent="0.25">
      <c r="A7" s="5" t="s">
        <v>15</v>
      </c>
      <c r="B7" s="5" t="s">
        <v>20</v>
      </c>
      <c r="C7" s="5" t="s">
        <v>2</v>
      </c>
      <c r="D7" s="5"/>
      <c r="E7" s="5" t="s">
        <v>790</v>
      </c>
      <c r="F7" s="5" t="s">
        <v>17</v>
      </c>
      <c r="G7" s="5" t="s">
        <v>791</v>
      </c>
      <c r="H7" s="5" t="s">
        <v>2</v>
      </c>
      <c r="I7" s="5" t="s">
        <v>2</v>
      </c>
      <c r="J7" s="5" t="s">
        <v>792</v>
      </c>
    </row>
    <row r="8" spans="1:10" x14ac:dyDescent="0.25">
      <c r="A8" s="5" t="s">
        <v>15</v>
      </c>
      <c r="B8" s="5" t="s">
        <v>20</v>
      </c>
      <c r="C8" s="5" t="s">
        <v>2</v>
      </c>
      <c r="D8" s="5"/>
      <c r="E8" s="5" t="s">
        <v>793</v>
      </c>
      <c r="F8" s="5" t="s">
        <v>17</v>
      </c>
      <c r="G8" s="5" t="s">
        <v>794</v>
      </c>
      <c r="H8" s="5" t="s">
        <v>2</v>
      </c>
      <c r="I8" s="5" t="s">
        <v>2</v>
      </c>
      <c r="J8" s="5" t="s">
        <v>795</v>
      </c>
    </row>
    <row r="9" spans="1:10" x14ac:dyDescent="0.25">
      <c r="A9" s="5" t="s">
        <v>15</v>
      </c>
      <c r="B9" s="5" t="s">
        <v>20</v>
      </c>
      <c r="C9" s="5" t="s">
        <v>2</v>
      </c>
      <c r="D9" s="5"/>
      <c r="E9" s="5" t="s">
        <v>796</v>
      </c>
      <c r="F9" s="5" t="s">
        <v>17</v>
      </c>
      <c r="G9" s="5" t="s">
        <v>797</v>
      </c>
      <c r="H9" s="5" t="s">
        <v>2</v>
      </c>
      <c r="I9" s="5" t="s">
        <v>2</v>
      </c>
      <c r="J9" s="5" t="s">
        <v>798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897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897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26</v>
      </c>
      <c r="C5" s="5" t="s">
        <v>2</v>
      </c>
      <c r="D5" s="5"/>
      <c r="E5" s="5" t="s">
        <v>901</v>
      </c>
      <c r="F5" s="5" t="s">
        <v>17</v>
      </c>
      <c r="G5" s="5" t="s">
        <v>37</v>
      </c>
      <c r="H5" s="5" t="s">
        <v>2</v>
      </c>
      <c r="I5" s="5" t="s">
        <v>2</v>
      </c>
      <c r="J5" s="5" t="s">
        <v>902</v>
      </c>
    </row>
    <row r="6" spans="1:10" x14ac:dyDescent="0.25">
      <c r="A6" s="5" t="s">
        <v>15</v>
      </c>
      <c r="B6" s="6" t="s">
        <v>34</v>
      </c>
      <c r="C6" s="5" t="s">
        <v>2</v>
      </c>
      <c r="D6" s="5"/>
      <c r="E6" s="5" t="s">
        <v>897</v>
      </c>
      <c r="F6" s="5" t="s">
        <v>17</v>
      </c>
      <c r="G6" s="5" t="s">
        <v>2</v>
      </c>
      <c r="H6" s="5" t="s">
        <v>2</v>
      </c>
      <c r="I6" s="5" t="s">
        <v>2</v>
      </c>
      <c r="J6" s="5" t="s">
        <v>903</v>
      </c>
    </row>
    <row r="7" spans="1:10" x14ac:dyDescent="0.25" outlineLevel="1" collapsed="1">
      <c r="A7" s="7" t="s">
        <v>15</v>
      </c>
      <c r="B7" s="7" t="s">
        <v>26</v>
      </c>
      <c r="C7" s="7" t="s">
        <v>2</v>
      </c>
      <c r="D7" s="7"/>
      <c r="E7" s="7" t="s">
        <v>36</v>
      </c>
      <c r="F7" s="7" t="s">
        <v>17</v>
      </c>
      <c r="G7" s="7" t="s">
        <v>37</v>
      </c>
      <c r="H7" s="7" t="s">
        <v>2</v>
      </c>
      <c r="I7" s="7" t="s">
        <v>2</v>
      </c>
      <c r="J7" s="7" t="s">
        <v>38</v>
      </c>
    </row>
    <row r="8" spans="1:10" x14ac:dyDescent="0.25" outlineLevel="1" collapsed="1">
      <c r="A8" s="7" t="s">
        <v>15</v>
      </c>
      <c r="B8" s="7" t="s">
        <v>26</v>
      </c>
      <c r="C8" s="7" t="s">
        <v>2</v>
      </c>
      <c r="D8" s="7"/>
      <c r="E8" s="7" t="s">
        <v>39</v>
      </c>
      <c r="F8" s="7" t="s">
        <v>17</v>
      </c>
      <c r="G8" s="7" t="s">
        <v>37</v>
      </c>
      <c r="H8" s="7" t="s">
        <v>2</v>
      </c>
      <c r="I8" s="7" t="s">
        <v>2</v>
      </c>
      <c r="J8" s="7" t="s">
        <v>40</v>
      </c>
    </row>
    <row r="9" spans="1:10" x14ac:dyDescent="0.25">
      <c r="A9" s="5" t="s">
        <v>15</v>
      </c>
      <c r="B9" s="5" t="s">
        <v>44</v>
      </c>
      <c r="C9" s="12" t="s">
        <v>904</v>
      </c>
      <c r="D9" s="5"/>
      <c r="E9" s="5" t="s">
        <v>905</v>
      </c>
      <c r="F9" s="5" t="s">
        <v>17</v>
      </c>
      <c r="G9" s="5" t="s">
        <v>906</v>
      </c>
      <c r="H9" s="5" t="s">
        <v>2</v>
      </c>
      <c r="I9" s="5" t="s">
        <v>2</v>
      </c>
      <c r="J9" s="5" t="s">
        <v>907</v>
      </c>
    </row>
    <row r="10" spans="1:10" x14ac:dyDescent="0.25">
      <c r="A10" s="5" t="s">
        <v>15</v>
      </c>
      <c r="B10" s="5" t="s">
        <v>20</v>
      </c>
      <c r="C10" s="5" t="s">
        <v>2</v>
      </c>
      <c r="D10" s="5"/>
      <c r="E10" s="5" t="s">
        <v>908</v>
      </c>
      <c r="F10" s="5" t="s">
        <v>17</v>
      </c>
      <c r="G10" s="5" t="s">
        <v>22</v>
      </c>
      <c r="H10" s="5" t="s">
        <v>2</v>
      </c>
      <c r="I10" s="5" t="s">
        <v>2</v>
      </c>
      <c r="J10" s="5" t="s">
        <v>909</v>
      </c>
    </row>
  </sheetData>
  <mergeCells count="3">
    <mergeCell ref="A1:J1"/>
    <mergeCell ref="B2:J2"/>
    <mergeCell ref="B3:J3"/>
  </mergeCells>
  <dataValidations count="1">
    <dataValidation type="list" allowBlank="1" sqref="G9:I9">
      <formula1>'Enums'!C1796:C1797</formula1>
    </dataValidation>
  </dataValidations>
  <hyperlinks>
    <hyperlink ref="B6" r:id="rId1" location="#'Duration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227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230</v>
      </c>
      <c r="C5" s="5" t="s">
        <v>2</v>
      </c>
      <c r="D5" s="5"/>
      <c r="E5" s="5" t="s">
        <v>231</v>
      </c>
      <c r="F5" s="5" t="s">
        <v>17</v>
      </c>
      <c r="G5" s="5" t="s">
        <v>2</v>
      </c>
      <c r="H5" s="5" t="s">
        <v>2</v>
      </c>
      <c r="I5" s="5" t="s">
        <v>2</v>
      </c>
      <c r="J5" s="5" t="s">
        <v>232</v>
      </c>
    </row>
    <row r="6" spans="1:10" x14ac:dyDescent="0.25" outlineLevel="1" collapsed="1">
      <c r="A6" s="7" t="s">
        <v>15</v>
      </c>
      <c r="B6" s="7" t="s">
        <v>44</v>
      </c>
      <c r="C6" s="10" t="s">
        <v>233</v>
      </c>
      <c r="D6" s="7"/>
      <c r="E6" s="7" t="s">
        <v>231</v>
      </c>
      <c r="F6" s="7" t="s">
        <v>17</v>
      </c>
      <c r="G6" s="7" t="s">
        <v>234</v>
      </c>
      <c r="H6" s="7" t="s">
        <v>2</v>
      </c>
      <c r="I6" s="7" t="s">
        <v>2</v>
      </c>
      <c r="J6" s="7" t="s">
        <v>232</v>
      </c>
    </row>
    <row r="7" spans="1:10" x14ac:dyDescent="0.25" outlineLevel="1" collapsed="1">
      <c r="A7" s="8" t="s">
        <v>17</v>
      </c>
      <c r="B7" s="9" t="s">
        <v>235</v>
      </c>
      <c r="C7" s="8" t="s">
        <v>2</v>
      </c>
      <c r="D7" s="8">
        <f>EXACT(G6,"HWT, IWT, CWT")</f>
      </c>
      <c r="E7" s="8" t="s">
        <v>235</v>
      </c>
      <c r="F7" s="8" t="s">
        <v>17</v>
      </c>
      <c r="G7" s="8" t="s">
        <v>2</v>
      </c>
      <c r="H7" s="8" t="s">
        <v>2</v>
      </c>
      <c r="I7" s="8" t="s">
        <v>2</v>
      </c>
      <c r="J7" s="8" t="s">
        <v>236</v>
      </c>
    </row>
    <row r="8" spans="1:10" x14ac:dyDescent="0.25" outlineLevel="2" collapsed="1">
      <c r="A8" s="7" t="s">
        <v>15</v>
      </c>
      <c r="B8" s="7" t="s">
        <v>44</v>
      </c>
      <c r="C8" s="10" t="s">
        <v>237</v>
      </c>
      <c r="D8" s="7"/>
      <c r="E8" s="7" t="s">
        <v>235</v>
      </c>
      <c r="F8" s="7" t="s">
        <v>17</v>
      </c>
      <c r="G8" s="7" t="s">
        <v>238</v>
      </c>
      <c r="H8" s="7" t="s">
        <v>2</v>
      </c>
      <c r="I8" s="7" t="s">
        <v>2</v>
      </c>
      <c r="J8" s="7" t="s">
        <v>239</v>
      </c>
    </row>
    <row r="9" spans="1:10" x14ac:dyDescent="0.25" outlineLevel="2" collapsed="1">
      <c r="A9" s="7" t="s">
        <v>17</v>
      </c>
      <c r="B9" s="7" t="s">
        <v>20</v>
      </c>
      <c r="C9" s="7" t="s">
        <v>2</v>
      </c>
      <c r="D9" s="7">
        <f>EXACT(G8,"Other (Specify)")</f>
      </c>
      <c r="E9" s="7" t="s">
        <v>240</v>
      </c>
      <c r="F9" s="7" t="s">
        <v>17</v>
      </c>
      <c r="G9" s="7" t="s">
        <v>22</v>
      </c>
      <c r="H9" s="7" t="s">
        <v>2</v>
      </c>
      <c r="I9" s="7" t="s">
        <v>2</v>
      </c>
      <c r="J9" s="7" t="s">
        <v>241</v>
      </c>
    </row>
    <row r="10" spans="1:10" x14ac:dyDescent="0.25" outlineLevel="1" collapsed="1">
      <c r="A10" s="8" t="s">
        <v>17</v>
      </c>
      <c r="B10" s="9" t="s">
        <v>242</v>
      </c>
      <c r="C10" s="8" t="s">
        <v>2</v>
      </c>
      <c r="D10" s="8">
        <f>EXACT(G6,"CWS")</f>
      </c>
      <c r="E10" s="8" t="s">
        <v>235</v>
      </c>
      <c r="F10" s="8" t="s">
        <v>17</v>
      </c>
      <c r="G10" s="8" t="s">
        <v>2</v>
      </c>
      <c r="H10" s="8" t="s">
        <v>2</v>
      </c>
      <c r="I10" s="8" t="s">
        <v>2</v>
      </c>
      <c r="J10" s="8" t="s">
        <v>243</v>
      </c>
    </row>
    <row r="11" spans="1:10" x14ac:dyDescent="0.25" outlineLevel="2" collapsed="1">
      <c r="A11" s="7" t="s">
        <v>15</v>
      </c>
      <c r="B11" s="7" t="s">
        <v>44</v>
      </c>
      <c r="C11" s="10" t="s">
        <v>244</v>
      </c>
      <c r="D11" s="7"/>
      <c r="E11" s="7" t="s">
        <v>235</v>
      </c>
      <c r="F11" s="7" t="s">
        <v>17</v>
      </c>
      <c r="G11" s="7" t="s">
        <v>245</v>
      </c>
      <c r="H11" s="7" t="s">
        <v>2</v>
      </c>
      <c r="I11" s="7" t="s">
        <v>2</v>
      </c>
      <c r="J11" s="7" t="s">
        <v>246</v>
      </c>
    </row>
    <row r="12" spans="1:10" x14ac:dyDescent="0.25" outlineLevel="2" collapsed="1">
      <c r="A12" s="7" t="s">
        <v>17</v>
      </c>
      <c r="B12" s="7" t="s">
        <v>20</v>
      </c>
      <c r="C12" s="7" t="s">
        <v>2</v>
      </c>
      <c r="D12" s="7">
        <f>EXACT(G11,"Other (Specify)")</f>
      </c>
      <c r="E12" s="7" t="s">
        <v>240</v>
      </c>
      <c r="F12" s="7" t="s">
        <v>17</v>
      </c>
      <c r="G12" s="7" t="s">
        <v>22</v>
      </c>
      <c r="H12" s="7" t="s">
        <v>2</v>
      </c>
      <c r="I12" s="7" t="s">
        <v>2</v>
      </c>
      <c r="J12" s="7" t="s">
        <v>241</v>
      </c>
    </row>
    <row r="13" spans="1:10" x14ac:dyDescent="0.25">
      <c r="A13" s="5" t="s">
        <v>15</v>
      </c>
      <c r="B13" s="5" t="s">
        <v>20</v>
      </c>
      <c r="C13" s="5" t="s">
        <v>2</v>
      </c>
      <c r="D13" s="5"/>
      <c r="E13" s="5" t="s">
        <v>247</v>
      </c>
      <c r="F13" s="5" t="s">
        <v>17</v>
      </c>
      <c r="G13" s="5" t="s">
        <v>22</v>
      </c>
      <c r="H13" s="5" t="s">
        <v>2</v>
      </c>
      <c r="I13" s="5" t="s">
        <v>2</v>
      </c>
      <c r="J13" s="5" t="s">
        <v>248</v>
      </c>
    </row>
    <row r="14" spans="1:10" x14ac:dyDescent="0.25">
      <c r="A14" s="5" t="s">
        <v>15</v>
      </c>
      <c r="B14" s="5" t="s">
        <v>44</v>
      </c>
      <c r="C14" s="12" t="s">
        <v>249</v>
      </c>
      <c r="D14" s="5"/>
      <c r="E14" s="5" t="s">
        <v>250</v>
      </c>
      <c r="F14" s="5" t="s">
        <v>17</v>
      </c>
      <c r="G14" s="5" t="s">
        <v>251</v>
      </c>
      <c r="H14" s="5" t="s">
        <v>2</v>
      </c>
      <c r="I14" s="5" t="s">
        <v>2</v>
      </c>
      <c r="J14" s="5" t="s">
        <v>252</v>
      </c>
    </row>
    <row r="15" spans="1:10" x14ac:dyDescent="0.25">
      <c r="A15" s="5" t="s">
        <v>17</v>
      </c>
      <c r="B15" s="5" t="s">
        <v>125</v>
      </c>
      <c r="C15" s="5" t="s">
        <v>2</v>
      </c>
      <c r="D15" s="5">
        <f>EXACT(G14,"CWT, CWS")</f>
      </c>
      <c r="E15" s="5" t="s">
        <v>253</v>
      </c>
      <c r="F15" s="5" t="s">
        <v>17</v>
      </c>
      <c r="G15" s="5" t="s">
        <v>1468</v>
      </c>
      <c r="H15" s="5" t="s">
        <v>2</v>
      </c>
      <c r="I15" s="5" t="s">
        <v>2</v>
      </c>
      <c r="J15" s="5" t="s">
        <v>255</v>
      </c>
    </row>
    <row r="16" spans="1:10" x14ac:dyDescent="0.25">
      <c r="A16" s="5" t="s">
        <v>17</v>
      </c>
      <c r="B16" s="5" t="s">
        <v>133</v>
      </c>
      <c r="C16" s="5" t="s">
        <v>256</v>
      </c>
      <c r="D16" s="5">
        <f>EXACT(G14,"CWT, CWS")</f>
      </c>
      <c r="E16" s="5" t="s">
        <v>257</v>
      </c>
      <c r="F16" s="5" t="s">
        <v>17</v>
      </c>
      <c r="G16" s="5" t="s">
        <v>1469</v>
      </c>
      <c r="H16" s="5" t="s">
        <v>2</v>
      </c>
      <c r="I16" s="5" t="s">
        <v>2</v>
      </c>
      <c r="J16" s="5" t="s">
        <v>259</v>
      </c>
    </row>
    <row r="17" spans="1:10" x14ac:dyDescent="0.25">
      <c r="A17" s="5" t="s">
        <v>17</v>
      </c>
      <c r="B17" s="5" t="s">
        <v>133</v>
      </c>
      <c r="C17" s="5" t="s">
        <v>256</v>
      </c>
      <c r="D17" s="5">
        <f>EXACT(G14,"CWT, CWS")</f>
      </c>
      <c r="E17" s="5" t="s">
        <v>260</v>
      </c>
      <c r="F17" s="5" t="s">
        <v>17</v>
      </c>
      <c r="G17" s="5" t="s">
        <v>1470</v>
      </c>
      <c r="H17" s="5" t="s">
        <v>2</v>
      </c>
      <c r="I17" s="5" t="s">
        <v>2</v>
      </c>
      <c r="J17" s="5" t="s">
        <v>262</v>
      </c>
    </row>
    <row r="18" spans="1:10" x14ac:dyDescent="0.25">
      <c r="A18" s="5" t="s">
        <v>17</v>
      </c>
      <c r="B18" s="5" t="s">
        <v>47</v>
      </c>
      <c r="C18" s="5" t="s">
        <v>2</v>
      </c>
      <c r="D18" s="5">
        <f>EXACT(G14,"CWT, CWS")</f>
      </c>
      <c r="E18" s="5" t="s">
        <v>263</v>
      </c>
      <c r="F18" s="5" t="s">
        <v>17</v>
      </c>
      <c r="G18" s="5" t="b">
        <v>1</v>
      </c>
      <c r="H18" s="5" t="s">
        <v>2</v>
      </c>
      <c r="I18" s="5" t="s">
        <v>2</v>
      </c>
      <c r="J18" s="5" t="s">
        <v>264</v>
      </c>
    </row>
    <row r="19" spans="1:10" x14ac:dyDescent="0.25">
      <c r="A19" s="5" t="s">
        <v>17</v>
      </c>
      <c r="B19" s="5" t="s">
        <v>133</v>
      </c>
      <c r="C19" s="5" t="s">
        <v>256</v>
      </c>
      <c r="D19" s="5">
        <f>EXACT(G14,"CWT, CWS")</f>
      </c>
      <c r="E19" s="5" t="s">
        <v>265</v>
      </c>
      <c r="F19" s="5" t="s">
        <v>17</v>
      </c>
      <c r="G19" s="5" t="s">
        <v>1471</v>
      </c>
      <c r="H19" s="5" t="s">
        <v>2</v>
      </c>
      <c r="I19" s="5" t="s">
        <v>2</v>
      </c>
      <c r="J19" s="5" t="s">
        <v>267</v>
      </c>
    </row>
    <row r="20" spans="1:10" x14ac:dyDescent="0.25">
      <c r="A20" s="5" t="s">
        <v>17</v>
      </c>
      <c r="B20" s="5" t="s">
        <v>133</v>
      </c>
      <c r="C20" s="5" t="s">
        <v>268</v>
      </c>
      <c r="D20" s="5">
        <f>EXACT(G14,"CWT, CWS")</f>
      </c>
      <c r="E20" s="5" t="s">
        <v>269</v>
      </c>
      <c r="F20" s="5" t="s">
        <v>17</v>
      </c>
      <c r="G20" s="5" t="s">
        <v>1472</v>
      </c>
      <c r="H20" s="5" t="s">
        <v>2</v>
      </c>
      <c r="I20" s="5" t="s">
        <v>2</v>
      </c>
      <c r="J20" s="5" t="s">
        <v>271</v>
      </c>
    </row>
    <row r="21" spans="1:10" x14ac:dyDescent="0.25">
      <c r="A21" s="5" t="s">
        <v>17</v>
      </c>
      <c r="B21" s="5" t="s">
        <v>133</v>
      </c>
      <c r="C21" s="5" t="s">
        <v>256</v>
      </c>
      <c r="D21" s="5">
        <f>EXACT(G14,"CWT, CWS")</f>
      </c>
      <c r="E21" s="5" t="s">
        <v>272</v>
      </c>
      <c r="F21" s="5" t="s">
        <v>17</v>
      </c>
      <c r="G21" s="5" t="s">
        <v>1473</v>
      </c>
      <c r="H21" s="5" t="s">
        <v>2</v>
      </c>
      <c r="I21" s="5" t="s">
        <v>2</v>
      </c>
      <c r="J21" s="5" t="s">
        <v>274</v>
      </c>
    </row>
    <row r="22" spans="1:10" x14ac:dyDescent="0.25">
      <c r="A22" s="5" t="s">
        <v>17</v>
      </c>
      <c r="B22" s="5" t="s">
        <v>194</v>
      </c>
      <c r="C22" s="5" t="s">
        <v>2</v>
      </c>
      <c r="D22" s="5">
        <f>EXACT(G14,"CWT, CWS")</f>
      </c>
      <c r="E22" s="5" t="s">
        <v>275</v>
      </c>
      <c r="F22" s="5" t="s">
        <v>17</v>
      </c>
      <c r="G22" s="5">
        <v>1</v>
      </c>
      <c r="H22" s="5" t="s">
        <v>2</v>
      </c>
      <c r="I22" s="5" t="s">
        <v>2</v>
      </c>
      <c r="J22" s="5" t="s">
        <v>276</v>
      </c>
    </row>
    <row r="23" spans="1:10" x14ac:dyDescent="0.25">
      <c r="A23" s="5" t="s">
        <v>17</v>
      </c>
      <c r="B23" s="5" t="s">
        <v>53</v>
      </c>
      <c r="C23" s="5" t="s">
        <v>2</v>
      </c>
      <c r="D23" s="5">
        <f>EXACT(G14,"CWT, CWS")</f>
      </c>
      <c r="E23" s="5" t="s">
        <v>277</v>
      </c>
      <c r="F23" s="5" t="s">
        <v>17</v>
      </c>
      <c r="G23" s="5">
        <v>1</v>
      </c>
      <c r="H23" s="5" t="s">
        <v>2</v>
      </c>
      <c r="I23" s="5" t="s">
        <v>2</v>
      </c>
      <c r="J23" s="5" t="s">
        <v>278</v>
      </c>
    </row>
    <row r="24" spans="1:10" x14ac:dyDescent="0.25">
      <c r="A24" s="5" t="s">
        <v>17</v>
      </c>
      <c r="B24" s="5" t="s">
        <v>194</v>
      </c>
      <c r="C24" s="5" t="s">
        <v>2</v>
      </c>
      <c r="D24" s="5">
        <f>EXACT(G14,"CWT, CWS")</f>
      </c>
      <c r="E24" s="5" t="s">
        <v>279</v>
      </c>
      <c r="F24" s="5" t="s">
        <v>17</v>
      </c>
      <c r="G24" s="5">
        <v>1</v>
      </c>
      <c r="H24" s="5" t="s">
        <v>2</v>
      </c>
      <c r="I24" s="5" t="s">
        <v>2</v>
      </c>
      <c r="J24" s="5" t="s">
        <v>280</v>
      </c>
    </row>
    <row r="25" spans="1:10" x14ac:dyDescent="0.25">
      <c r="A25" s="5" t="s">
        <v>17</v>
      </c>
      <c r="B25" s="5" t="s">
        <v>133</v>
      </c>
      <c r="C25" s="5" t="s">
        <v>281</v>
      </c>
      <c r="D25" s="5">
        <f>EXACT(G14,"CWT, CWS")</f>
      </c>
      <c r="E25" s="5" t="s">
        <v>282</v>
      </c>
      <c r="F25" s="5" t="s">
        <v>17</v>
      </c>
      <c r="G25" s="5" t="s">
        <v>1474</v>
      </c>
      <c r="H25" s="5" t="s">
        <v>2</v>
      </c>
      <c r="I25" s="5" t="s">
        <v>2</v>
      </c>
      <c r="J25" s="5" t="s">
        <v>284</v>
      </c>
    </row>
    <row r="26" spans="1:10" x14ac:dyDescent="0.25">
      <c r="A26" s="5" t="s">
        <v>17</v>
      </c>
      <c r="B26" s="5" t="s">
        <v>133</v>
      </c>
      <c r="C26" s="5" t="s">
        <v>256</v>
      </c>
      <c r="D26" s="5">
        <f>EXACT(G14,"CWT, CWS")</f>
      </c>
      <c r="E26" s="5" t="s">
        <v>285</v>
      </c>
      <c r="F26" s="5" t="s">
        <v>17</v>
      </c>
      <c r="G26" s="5" t="s">
        <v>1475</v>
      </c>
      <c r="H26" s="5" t="s">
        <v>2</v>
      </c>
      <c r="I26" s="5" t="s">
        <v>2</v>
      </c>
      <c r="J26" s="5" t="s">
        <v>287</v>
      </c>
    </row>
    <row r="27" spans="1:10" x14ac:dyDescent="0.25">
      <c r="A27" s="5" t="s">
        <v>17</v>
      </c>
      <c r="B27" s="5" t="s">
        <v>133</v>
      </c>
      <c r="C27" s="5" t="s">
        <v>256</v>
      </c>
      <c r="D27" s="5">
        <f>EXACT(G14,"CWT, CWS")</f>
      </c>
      <c r="E27" s="5" t="s">
        <v>288</v>
      </c>
      <c r="F27" s="5" t="s">
        <v>17</v>
      </c>
      <c r="G27" s="5" t="s">
        <v>289</v>
      </c>
      <c r="H27" s="5" t="s">
        <v>2</v>
      </c>
      <c r="I27" s="5" t="s">
        <v>2</v>
      </c>
      <c r="J27" s="5" t="s">
        <v>290</v>
      </c>
    </row>
    <row r="28" spans="1:10" x14ac:dyDescent="0.25">
      <c r="A28" s="5" t="s">
        <v>17</v>
      </c>
      <c r="B28" s="6" t="s">
        <v>291</v>
      </c>
      <c r="C28" s="5" t="s">
        <v>2</v>
      </c>
      <c r="D28" s="5">
        <f>EXACT(G14,"CWT, CWS")</f>
      </c>
      <c r="E28" s="5" t="s">
        <v>292</v>
      </c>
      <c r="F28" s="5" t="s">
        <v>17</v>
      </c>
      <c r="G28" s="5" t="s">
        <v>2</v>
      </c>
      <c r="H28" s="5" t="s">
        <v>2</v>
      </c>
      <c r="I28" s="5" t="s">
        <v>2</v>
      </c>
      <c r="J28" s="5" t="s">
        <v>293</v>
      </c>
    </row>
    <row r="29" spans="1:10" x14ac:dyDescent="0.25" outlineLevel="1" collapsed="1">
      <c r="A29" s="7" t="s">
        <v>15</v>
      </c>
      <c r="B29" s="7" t="s">
        <v>47</v>
      </c>
      <c r="C29" s="7" t="s">
        <v>2</v>
      </c>
      <c r="D29" s="7"/>
      <c r="E29" s="7" t="s">
        <v>294</v>
      </c>
      <c r="F29" s="7" t="s">
        <v>17</v>
      </c>
      <c r="G29" s="7" t="b">
        <v>1</v>
      </c>
      <c r="H29" s="7" t="s">
        <v>2</v>
      </c>
      <c r="I29" s="7" t="s">
        <v>2</v>
      </c>
      <c r="J29" s="7" t="s">
        <v>295</v>
      </c>
    </row>
    <row r="30" spans="1:10" x14ac:dyDescent="0.25" outlineLevel="1" collapsed="1">
      <c r="A30" s="7" t="s">
        <v>17</v>
      </c>
      <c r="B30" s="7" t="s">
        <v>26</v>
      </c>
      <c r="C30" s="7" t="s">
        <v>2</v>
      </c>
      <c r="D30" s="7">
        <f>EXACT(G29,true)</f>
      </c>
      <c r="E30" s="7" t="s">
        <v>296</v>
      </c>
      <c r="F30" s="7" t="s">
        <v>17</v>
      </c>
      <c r="G30" s="7" t="s">
        <v>37</v>
      </c>
      <c r="H30" s="7" t="s">
        <v>2</v>
      </c>
      <c r="I30" s="7" t="s">
        <v>2</v>
      </c>
      <c r="J30" s="7" t="s">
        <v>297</v>
      </c>
    </row>
    <row r="31" spans="1:10" x14ac:dyDescent="0.25" outlineLevel="1" collapsed="1">
      <c r="A31" s="7" t="s">
        <v>17</v>
      </c>
      <c r="B31" s="7" t="s">
        <v>133</v>
      </c>
      <c r="C31" s="7" t="s">
        <v>298</v>
      </c>
      <c r="D31" s="7">
        <f>EXACT(G29,true)</f>
      </c>
      <c r="E31" s="7" t="s">
        <v>299</v>
      </c>
      <c r="F31" s="7" t="s">
        <v>17</v>
      </c>
      <c r="G31" s="7" t="s">
        <v>1476</v>
      </c>
      <c r="H31" s="7" t="s">
        <v>2</v>
      </c>
      <c r="I31" s="7" t="s">
        <v>2</v>
      </c>
      <c r="J31" s="7" t="s">
        <v>301</v>
      </c>
    </row>
    <row r="32" spans="1:10" x14ac:dyDescent="0.25" outlineLevel="1" collapsed="1">
      <c r="A32" s="7" t="s">
        <v>17</v>
      </c>
      <c r="B32" s="7" t="s">
        <v>26</v>
      </c>
      <c r="C32" s="7" t="s">
        <v>2</v>
      </c>
      <c r="D32" s="7">
        <f>EXACT(G29,true)</f>
      </c>
      <c r="E32" s="7" t="s">
        <v>302</v>
      </c>
      <c r="F32" s="7" t="s">
        <v>17</v>
      </c>
      <c r="G32" s="7" t="s">
        <v>37</v>
      </c>
      <c r="H32" s="7" t="s">
        <v>2</v>
      </c>
      <c r="I32" s="7" t="s">
        <v>2</v>
      </c>
      <c r="J32" s="7" t="s">
        <v>303</v>
      </c>
    </row>
    <row r="33" spans="1:10" x14ac:dyDescent="0.25" outlineLevel="1" collapsed="1">
      <c r="A33" s="7" t="s">
        <v>17</v>
      </c>
      <c r="B33" s="7" t="s">
        <v>125</v>
      </c>
      <c r="C33" s="7" t="s">
        <v>2</v>
      </c>
      <c r="D33" s="7">
        <f>EXACT(G29,true)</f>
      </c>
      <c r="E33" s="7" t="s">
        <v>304</v>
      </c>
      <c r="F33" s="7" t="s">
        <v>17</v>
      </c>
      <c r="G33" s="7" t="s">
        <v>1477</v>
      </c>
      <c r="H33" s="7" t="s">
        <v>2</v>
      </c>
      <c r="I33" s="7" t="s">
        <v>2</v>
      </c>
      <c r="J33" s="7" t="s">
        <v>306</v>
      </c>
    </row>
    <row r="34" spans="1:10" x14ac:dyDescent="0.25" outlineLevel="1" collapsed="1">
      <c r="A34" s="7" t="s">
        <v>17</v>
      </c>
      <c r="B34" s="7" t="s">
        <v>125</v>
      </c>
      <c r="C34" s="7" t="s">
        <v>2</v>
      </c>
      <c r="D34" s="7">
        <f>EXACT(G29,true)</f>
      </c>
      <c r="E34" s="7" t="s">
        <v>307</v>
      </c>
      <c r="F34" s="7" t="s">
        <v>17</v>
      </c>
      <c r="G34" s="7" t="s">
        <v>1478</v>
      </c>
      <c r="H34" s="7" t="s">
        <v>2</v>
      </c>
      <c r="I34" s="7" t="s">
        <v>2</v>
      </c>
      <c r="J34" s="7" t="s">
        <v>309</v>
      </c>
    </row>
    <row r="35" spans="1:10" x14ac:dyDescent="0.25">
      <c r="A35" s="5" t="s">
        <v>17</v>
      </c>
      <c r="B35" s="5" t="s">
        <v>125</v>
      </c>
      <c r="C35" s="5" t="s">
        <v>2</v>
      </c>
      <c r="D35" s="5">
        <f>EXACT(G14,"HWT, IWT")</f>
      </c>
      <c r="E35" s="5" t="s">
        <v>253</v>
      </c>
      <c r="F35" s="5" t="s">
        <v>17</v>
      </c>
      <c r="G35" s="5" t="s">
        <v>1479</v>
      </c>
      <c r="H35" s="5" t="s">
        <v>2</v>
      </c>
      <c r="I35" s="5" t="s">
        <v>2</v>
      </c>
      <c r="J35" s="5" t="s">
        <v>311</v>
      </c>
    </row>
    <row r="36" spans="1:10" x14ac:dyDescent="0.25">
      <c r="A36" s="5" t="s">
        <v>17</v>
      </c>
      <c r="B36" s="5" t="s">
        <v>133</v>
      </c>
      <c r="C36" s="5" t="s">
        <v>268</v>
      </c>
      <c r="D36" s="5">
        <f>EXACT(G14,"HWT, IWT")</f>
      </c>
      <c r="E36" s="5" t="s">
        <v>312</v>
      </c>
      <c r="F36" s="5" t="s">
        <v>17</v>
      </c>
      <c r="G36" s="5" t="s">
        <v>1480</v>
      </c>
      <c r="H36" s="5" t="s">
        <v>2</v>
      </c>
      <c r="I36" s="5" t="s">
        <v>2</v>
      </c>
      <c r="J36" s="5" t="s">
        <v>314</v>
      </c>
    </row>
    <row r="37" spans="1:10" x14ac:dyDescent="0.25">
      <c r="A37" s="5" t="s">
        <v>17</v>
      </c>
      <c r="B37" s="5" t="s">
        <v>133</v>
      </c>
      <c r="C37" s="5" t="s">
        <v>268</v>
      </c>
      <c r="D37" s="5">
        <f>EXACT(G14,"HWT, IWT")</f>
      </c>
      <c r="E37" s="5" t="s">
        <v>315</v>
      </c>
      <c r="F37" s="5" t="s">
        <v>17</v>
      </c>
      <c r="G37" s="5" t="s">
        <v>1481</v>
      </c>
      <c r="H37" s="5" t="s">
        <v>2</v>
      </c>
      <c r="I37" s="5" t="s">
        <v>2</v>
      </c>
      <c r="J37" s="5" t="s">
        <v>317</v>
      </c>
    </row>
    <row r="38" spans="1:10" x14ac:dyDescent="0.25">
      <c r="A38" s="5" t="s">
        <v>17</v>
      </c>
      <c r="B38" s="5" t="s">
        <v>133</v>
      </c>
      <c r="C38" s="5" t="s">
        <v>268</v>
      </c>
      <c r="D38" s="5">
        <f>EXACT(G14,"HWT, IWT")</f>
      </c>
      <c r="E38" s="5" t="s">
        <v>318</v>
      </c>
      <c r="F38" s="5" t="s">
        <v>17</v>
      </c>
      <c r="G38" s="5" t="s">
        <v>1482</v>
      </c>
      <c r="H38" s="5" t="s">
        <v>2</v>
      </c>
      <c r="I38" s="5" t="s">
        <v>2</v>
      </c>
      <c r="J38" s="5" t="s">
        <v>320</v>
      </c>
    </row>
    <row r="39" spans="1:10" x14ac:dyDescent="0.25">
      <c r="A39" s="5" t="s">
        <v>17</v>
      </c>
      <c r="B39" s="5" t="s">
        <v>53</v>
      </c>
      <c r="C39" s="5" t="s">
        <v>2</v>
      </c>
      <c r="D39" s="5">
        <f>EXACT(G14,"HWT, IWT")</f>
      </c>
      <c r="E39" s="5" t="s">
        <v>321</v>
      </c>
      <c r="F39" s="5" t="s">
        <v>17</v>
      </c>
      <c r="G39" s="5">
        <v>1</v>
      </c>
      <c r="H39" s="5" t="s">
        <v>2</v>
      </c>
      <c r="I39" s="5" t="s">
        <v>2</v>
      </c>
      <c r="J39" s="5" t="s">
        <v>322</v>
      </c>
    </row>
    <row r="40" spans="1:10" x14ac:dyDescent="0.25">
      <c r="A40" s="5" t="s">
        <v>17</v>
      </c>
      <c r="B40" s="5" t="s">
        <v>133</v>
      </c>
      <c r="C40" s="5" t="s">
        <v>268</v>
      </c>
      <c r="D40" s="5">
        <f>EXACT(G14,"HWT, IWT")</f>
      </c>
      <c r="E40" s="5" t="s">
        <v>269</v>
      </c>
      <c r="F40" s="5" t="s">
        <v>17</v>
      </c>
      <c r="G40" s="5" t="s">
        <v>1483</v>
      </c>
      <c r="H40" s="5" t="s">
        <v>2</v>
      </c>
      <c r="I40" s="5" t="s">
        <v>2</v>
      </c>
      <c r="J40" s="5" t="s">
        <v>324</v>
      </c>
    </row>
    <row r="41" spans="1:10" x14ac:dyDescent="0.25">
      <c r="A41" s="5" t="s">
        <v>17</v>
      </c>
      <c r="B41" s="5" t="s">
        <v>133</v>
      </c>
      <c r="C41" s="5" t="s">
        <v>256</v>
      </c>
      <c r="D41" s="5">
        <f>EXACT(G14,"HWT, IWT")</f>
      </c>
      <c r="E41" s="5" t="s">
        <v>272</v>
      </c>
      <c r="F41" s="5" t="s">
        <v>17</v>
      </c>
      <c r="G41" s="5" t="s">
        <v>1484</v>
      </c>
      <c r="H41" s="5" t="s">
        <v>2</v>
      </c>
      <c r="I41" s="5" t="s">
        <v>2</v>
      </c>
      <c r="J41" s="5" t="s">
        <v>326</v>
      </c>
    </row>
    <row r="42" spans="1:10" x14ac:dyDescent="0.25">
      <c r="A42" s="5" t="s">
        <v>17</v>
      </c>
      <c r="B42" s="5" t="s">
        <v>133</v>
      </c>
      <c r="C42" s="5" t="s">
        <v>256</v>
      </c>
      <c r="D42" s="5">
        <f>EXACT(G14,"HWT, IWT")</f>
      </c>
      <c r="E42" s="5" t="s">
        <v>327</v>
      </c>
      <c r="F42" s="5" t="s">
        <v>17</v>
      </c>
      <c r="G42" s="5" t="s">
        <v>1485</v>
      </c>
      <c r="H42" s="5" t="s">
        <v>2</v>
      </c>
      <c r="I42" s="5" t="s">
        <v>2</v>
      </c>
      <c r="J42" s="5" t="s">
        <v>329</v>
      </c>
    </row>
    <row r="43" spans="1:10" x14ac:dyDescent="0.25">
      <c r="A43" s="5" t="s">
        <v>17</v>
      </c>
      <c r="B43" s="5" t="s">
        <v>133</v>
      </c>
      <c r="C43" s="5" t="s">
        <v>256</v>
      </c>
      <c r="D43" s="5">
        <f>EXACT(G14,"HWT, IWT")</f>
      </c>
      <c r="E43" s="5" t="s">
        <v>288</v>
      </c>
      <c r="F43" s="5" t="s">
        <v>17</v>
      </c>
      <c r="G43" s="5" t="s">
        <v>1486</v>
      </c>
      <c r="H43" s="5" t="s">
        <v>2</v>
      </c>
      <c r="I43" s="5" t="s">
        <v>2</v>
      </c>
      <c r="J43" s="5" t="s">
        <v>331</v>
      </c>
    </row>
  </sheetData>
  <mergeCells count="3">
    <mergeCell ref="A1:J1"/>
    <mergeCell ref="B2:J2"/>
    <mergeCell ref="B3:J3"/>
  </mergeCells>
  <dataValidations count="4">
    <dataValidation type="list" allowBlank="1" sqref="G11:I11">
      <formula1>'Enums'!C2743:C2746</formula1>
    </dataValidation>
    <dataValidation type="list" allowBlank="1" sqref="G14:I14">
      <formula1>'Enums'!C1811:C1812</formula1>
    </dataValidation>
    <dataValidation type="list" allowBlank="1" sqref="G6:I6">
      <formula1>'Enums'!C2734:C2735</formula1>
    </dataValidation>
    <dataValidation type="list" allowBlank="1" sqref="G8:I8">
      <formula1>'Enums'!C2736:C2742</formula1>
    </dataValidation>
  </dataValidations>
  <hyperlinks>
    <hyperlink ref="B5" r:id="rId1" location="#'Treatment Technology Sub-ty 3'!A1"/>
    <hyperlink ref="B7" r:id="rId2" location="#'Treatment Technology Sub-type'!A1"/>
    <hyperlink ref="B10" r:id="rId3" location="#'Treatment Technology Sub-ty 2'!A1"/>
    <hyperlink ref="B28" r:id="rId4" location="#'If the Project Installation i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1487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426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26</v>
      </c>
      <c r="C5" s="5" t="s">
        <v>2</v>
      </c>
      <c r="D5" s="5"/>
      <c r="E5" s="5" t="s">
        <v>428</v>
      </c>
      <c r="F5" s="5" t="s">
        <v>17</v>
      </c>
      <c r="G5" s="5" t="s">
        <v>37</v>
      </c>
      <c r="H5" s="5" t="s">
        <v>2</v>
      </c>
      <c r="I5" s="5" t="s">
        <v>2</v>
      </c>
      <c r="J5" s="5" t="s">
        <v>429</v>
      </c>
    </row>
    <row r="6" spans="1:10" x14ac:dyDescent="0.25">
      <c r="A6" s="5" t="s">
        <v>15</v>
      </c>
      <c r="B6" s="5" t="s">
        <v>20</v>
      </c>
      <c r="C6" s="5" t="s">
        <v>2</v>
      </c>
      <c r="D6" s="5"/>
      <c r="E6" s="5" t="s">
        <v>430</v>
      </c>
      <c r="F6" s="5" t="s">
        <v>17</v>
      </c>
      <c r="G6" s="5" t="s">
        <v>22</v>
      </c>
      <c r="H6" s="5" t="s">
        <v>2</v>
      </c>
      <c r="I6" s="5" t="s">
        <v>2</v>
      </c>
      <c r="J6" s="5" t="s">
        <v>431</v>
      </c>
    </row>
    <row r="7" spans="1:10" x14ac:dyDescent="0.25">
      <c r="A7" s="5" t="s">
        <v>15</v>
      </c>
      <c r="B7" s="5" t="s">
        <v>20</v>
      </c>
      <c r="C7" s="5" t="s">
        <v>2</v>
      </c>
      <c r="D7" s="5"/>
      <c r="E7" s="5" t="s">
        <v>432</v>
      </c>
      <c r="F7" s="5" t="s">
        <v>17</v>
      </c>
      <c r="G7" s="5" t="s">
        <v>22</v>
      </c>
      <c r="H7" s="5" t="s">
        <v>2</v>
      </c>
      <c r="I7" s="5" t="s">
        <v>2</v>
      </c>
      <c r="J7" s="5" t="s">
        <v>433</v>
      </c>
    </row>
    <row r="8" spans="1:10" x14ac:dyDescent="0.25">
      <c r="A8" s="5" t="s">
        <v>15</v>
      </c>
      <c r="B8" s="5" t="s">
        <v>125</v>
      </c>
      <c r="C8" s="5" t="s">
        <v>2</v>
      </c>
      <c r="D8" s="5"/>
      <c r="E8" s="5" t="s">
        <v>434</v>
      </c>
      <c r="F8" s="5" t="s">
        <v>17</v>
      </c>
      <c r="G8" s="5" t="s">
        <v>1488</v>
      </c>
      <c r="H8" s="5" t="s">
        <v>2</v>
      </c>
      <c r="I8" s="5" t="s">
        <v>2</v>
      </c>
      <c r="J8" s="5" t="s">
        <v>436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61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53</v>
      </c>
      <c r="C5" s="5" t="s">
        <v>2</v>
      </c>
      <c r="D5" s="5"/>
      <c r="E5" s="5" t="s">
        <v>64</v>
      </c>
      <c r="F5" s="5" t="s">
        <v>17</v>
      </c>
      <c r="G5" s="5">
        <v>0.85</v>
      </c>
      <c r="H5" s="5" t="s">
        <v>2</v>
      </c>
      <c r="I5" s="5" t="s">
        <v>2</v>
      </c>
      <c r="J5" s="5" t="s">
        <v>65</v>
      </c>
    </row>
    <row r="6" spans="1:10" x14ac:dyDescent="0.25">
      <c r="A6" s="5" t="s">
        <v>15</v>
      </c>
      <c r="B6" s="5" t="s">
        <v>53</v>
      </c>
      <c r="C6" s="5" t="s">
        <v>2</v>
      </c>
      <c r="D6" s="5"/>
      <c r="E6" s="5" t="s">
        <v>66</v>
      </c>
      <c r="F6" s="5" t="s">
        <v>17</v>
      </c>
      <c r="G6" s="5">
        <v>0.82</v>
      </c>
      <c r="H6" s="5" t="s">
        <v>2</v>
      </c>
      <c r="I6" s="5" t="s">
        <v>2</v>
      </c>
      <c r="J6" s="5" t="s">
        <v>67</v>
      </c>
    </row>
    <row r="7" spans="1:10" x14ac:dyDescent="0.25">
      <c r="A7" s="5" t="s">
        <v>15</v>
      </c>
      <c r="B7" s="5" t="s">
        <v>20</v>
      </c>
      <c r="C7" s="5" t="s">
        <v>2</v>
      </c>
      <c r="D7" s="5"/>
      <c r="E7" s="5" t="s">
        <v>68</v>
      </c>
      <c r="F7" s="5" t="s">
        <v>17</v>
      </c>
      <c r="G7" s="5" t="s">
        <v>69</v>
      </c>
      <c r="H7" s="5" t="s">
        <v>2</v>
      </c>
      <c r="I7" s="5" t="s">
        <v>2</v>
      </c>
      <c r="J7" s="5" t="s">
        <v>70</v>
      </c>
    </row>
    <row r="8" spans="1:10" x14ac:dyDescent="0.25">
      <c r="A8" s="5" t="s">
        <v>15</v>
      </c>
      <c r="B8" s="5" t="s">
        <v>20</v>
      </c>
      <c r="C8" s="5" t="s">
        <v>2</v>
      </c>
      <c r="D8" s="5"/>
      <c r="E8" s="5" t="s">
        <v>71</v>
      </c>
      <c r="F8" s="5" t="s">
        <v>17</v>
      </c>
      <c r="G8" s="5" t="s">
        <v>72</v>
      </c>
      <c r="H8" s="5" t="s">
        <v>2</v>
      </c>
      <c r="I8" s="5" t="s">
        <v>2</v>
      </c>
      <c r="J8" s="5" t="s">
        <v>73</v>
      </c>
    </row>
    <row r="9" spans="1:10" x14ac:dyDescent="0.25">
      <c r="A9" s="5" t="s">
        <v>15</v>
      </c>
      <c r="B9" s="5" t="s">
        <v>53</v>
      </c>
      <c r="C9" s="5" t="s">
        <v>2</v>
      </c>
      <c r="D9" s="5"/>
      <c r="E9" s="5" t="s">
        <v>74</v>
      </c>
      <c r="F9" s="5" t="s">
        <v>17</v>
      </c>
      <c r="G9" s="5">
        <v>0.82</v>
      </c>
      <c r="H9" s="5" t="s">
        <v>2</v>
      </c>
      <c r="I9" s="5" t="s">
        <v>2</v>
      </c>
      <c r="J9" s="5" t="s">
        <v>75</v>
      </c>
    </row>
    <row r="10" spans="1:10" x14ac:dyDescent="0.25">
      <c r="A10" s="5" t="s">
        <v>17</v>
      </c>
      <c r="B10" s="5" t="s">
        <v>20</v>
      </c>
      <c r="C10" s="5" t="s">
        <v>2</v>
      </c>
      <c r="D10" s="5"/>
      <c r="E10" s="5" t="s">
        <v>76</v>
      </c>
      <c r="F10" s="5" t="s">
        <v>17</v>
      </c>
      <c r="G10" s="5" t="s">
        <v>77</v>
      </c>
      <c r="H10" s="5" t="s">
        <v>2</v>
      </c>
      <c r="I10" s="5" t="s">
        <v>2</v>
      </c>
      <c r="J10" s="5" t="s">
        <v>78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1050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356</v>
      </c>
      <c r="C5" s="5" t="s">
        <v>2</v>
      </c>
      <c r="D5" s="5"/>
      <c r="E5" s="5" t="s">
        <v>432</v>
      </c>
      <c r="F5" s="5" t="s">
        <v>17</v>
      </c>
      <c r="G5" s="5" t="s">
        <v>2</v>
      </c>
      <c r="H5" s="5" t="s">
        <v>2</v>
      </c>
      <c r="I5" s="5" t="s">
        <v>2</v>
      </c>
      <c r="J5" s="5" t="s">
        <v>433</v>
      </c>
    </row>
    <row r="6" spans="1:10" x14ac:dyDescent="0.25">
      <c r="A6" s="5" t="s">
        <v>15</v>
      </c>
      <c r="B6" s="6" t="s">
        <v>1054</v>
      </c>
      <c r="C6" s="5" t="s">
        <v>2</v>
      </c>
      <c r="D6" s="5"/>
      <c r="E6" s="5" t="s">
        <v>1055</v>
      </c>
      <c r="F6" s="5" t="s">
        <v>15</v>
      </c>
      <c r="G6" s="5" t="s">
        <v>2</v>
      </c>
      <c r="H6" s="5" t="s">
        <v>2</v>
      </c>
      <c r="I6" s="5" t="s">
        <v>2</v>
      </c>
      <c r="J6" s="5" t="s">
        <v>1056</v>
      </c>
    </row>
    <row r="7" spans="1:10" x14ac:dyDescent="0.25" outlineLevel="1" collapsed="1">
      <c r="A7" s="7" t="s">
        <v>15</v>
      </c>
      <c r="B7" s="7" t="s">
        <v>53</v>
      </c>
      <c r="C7" s="7" t="s">
        <v>2</v>
      </c>
      <c r="D7" s="7"/>
      <c r="E7" s="7" t="s">
        <v>1057</v>
      </c>
      <c r="F7" s="7" t="s">
        <v>17</v>
      </c>
      <c r="G7" s="7">
        <v>1</v>
      </c>
      <c r="H7" s="7" t="s">
        <v>2</v>
      </c>
      <c r="I7" s="7" t="s">
        <v>2</v>
      </c>
      <c r="J7" s="7" t="s">
        <v>1058</v>
      </c>
    </row>
    <row r="8" spans="1:10" x14ac:dyDescent="0.25" outlineLevel="1" collapsed="1">
      <c r="A8" s="7" t="s">
        <v>15</v>
      </c>
      <c r="B8" s="7" t="s">
        <v>53</v>
      </c>
      <c r="C8" s="7" t="s">
        <v>2</v>
      </c>
      <c r="D8" s="7"/>
      <c r="E8" s="7" t="s">
        <v>1059</v>
      </c>
      <c r="F8" s="7" t="s">
        <v>17</v>
      </c>
      <c r="G8" s="7">
        <v>1</v>
      </c>
      <c r="H8" s="7" t="s">
        <v>2</v>
      </c>
      <c r="I8" s="7" t="s">
        <v>2</v>
      </c>
      <c r="J8" s="7" t="s">
        <v>1060</v>
      </c>
    </row>
    <row r="9" spans="1:10" x14ac:dyDescent="0.25">
      <c r="A9" s="5" t="s">
        <v>15</v>
      </c>
      <c r="B9" s="6" t="s">
        <v>1061</v>
      </c>
      <c r="C9" s="5" t="s">
        <v>2</v>
      </c>
      <c r="D9" s="5"/>
      <c r="E9" s="5" t="s">
        <v>1061</v>
      </c>
      <c r="F9" s="5" t="s">
        <v>15</v>
      </c>
      <c r="G9" s="5" t="s">
        <v>2</v>
      </c>
      <c r="H9" s="5" t="s">
        <v>2</v>
      </c>
      <c r="I9" s="5" t="s">
        <v>2</v>
      </c>
      <c r="J9" s="5" t="s">
        <v>1062</v>
      </c>
    </row>
    <row r="10" spans="1:10" x14ac:dyDescent="0.25" outlineLevel="1" collapsed="1">
      <c r="A10" s="7" t="s">
        <v>15</v>
      </c>
      <c r="B10" s="7" t="s">
        <v>20</v>
      </c>
      <c r="C10" s="7" t="s">
        <v>2</v>
      </c>
      <c r="D10" s="7"/>
      <c r="E10" s="7" t="s">
        <v>1063</v>
      </c>
      <c r="F10" s="7" t="s">
        <v>17</v>
      </c>
      <c r="G10" s="7" t="s">
        <v>22</v>
      </c>
      <c r="H10" s="7" t="s">
        <v>2</v>
      </c>
      <c r="I10" s="7" t="s">
        <v>2</v>
      </c>
      <c r="J10" s="7" t="s">
        <v>1064</v>
      </c>
    </row>
    <row r="11" spans="1:10" x14ac:dyDescent="0.25" outlineLevel="1" collapsed="1">
      <c r="A11" s="7" t="s">
        <v>15</v>
      </c>
      <c r="B11" s="7" t="s">
        <v>133</v>
      </c>
      <c r="C11" s="7" t="s">
        <v>1065</v>
      </c>
      <c r="D11" s="7"/>
      <c r="E11" s="7" t="s">
        <v>1066</v>
      </c>
      <c r="F11" s="7" t="s">
        <v>17</v>
      </c>
      <c r="G11" s="7" t="s">
        <v>1489</v>
      </c>
      <c r="H11" s="7" t="s">
        <v>2</v>
      </c>
      <c r="I11" s="7" t="s">
        <v>2</v>
      </c>
      <c r="J11" s="7" t="s">
        <v>1068</v>
      </c>
    </row>
    <row r="12" spans="1:10" x14ac:dyDescent="0.25">
      <c r="A12" s="5" t="s">
        <v>15</v>
      </c>
      <c r="B12" s="5" t="s">
        <v>125</v>
      </c>
      <c r="C12" s="5" t="s">
        <v>2</v>
      </c>
      <c r="D12" s="5"/>
      <c r="E12" s="5" t="s">
        <v>1069</v>
      </c>
      <c r="F12" s="5" t="s">
        <v>17</v>
      </c>
      <c r="G12" s="5" t="s">
        <v>1490</v>
      </c>
      <c r="H12" s="5" t="s">
        <v>2</v>
      </c>
      <c r="I12" s="5" t="s">
        <v>2</v>
      </c>
      <c r="J12" s="5" t="s">
        <v>1071</v>
      </c>
    </row>
  </sheetData>
  <mergeCells count="3">
    <mergeCell ref="A1:J1"/>
    <mergeCell ref="B2:J2"/>
    <mergeCell ref="B3:J3"/>
  </mergeCells>
  <hyperlinks>
    <hyperlink ref="B6" r:id="rId1" location="#'Water Source Details Percentag'!A1"/>
    <hyperlink ref="B9" r:id="rId2" location="#'Water Source Type Detail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378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378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381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382</v>
      </c>
    </row>
    <row r="6" spans="1:10" x14ac:dyDescent="0.25">
      <c r="A6" s="5" t="s">
        <v>15</v>
      </c>
      <c r="B6" s="5" t="s">
        <v>20</v>
      </c>
      <c r="C6" s="5" t="s">
        <v>2</v>
      </c>
      <c r="D6" s="5"/>
      <c r="E6" s="5" t="s">
        <v>383</v>
      </c>
      <c r="F6" s="5" t="s">
        <v>17</v>
      </c>
      <c r="G6" s="5" t="s">
        <v>22</v>
      </c>
      <c r="H6" s="5" t="s">
        <v>2</v>
      </c>
      <c r="I6" s="5" t="s">
        <v>2</v>
      </c>
      <c r="J6" s="5" t="s">
        <v>384</v>
      </c>
    </row>
    <row r="7" spans="1:10" x14ac:dyDescent="0.25">
      <c r="A7" s="5" t="s">
        <v>15</v>
      </c>
      <c r="B7" s="5" t="s">
        <v>20</v>
      </c>
      <c r="C7" s="5" t="s">
        <v>2</v>
      </c>
      <c r="D7" s="5"/>
      <c r="E7" s="5" t="s">
        <v>385</v>
      </c>
      <c r="F7" s="5" t="s">
        <v>17</v>
      </c>
      <c r="G7" s="5" t="s">
        <v>22</v>
      </c>
      <c r="H7" s="5" t="s">
        <v>2</v>
      </c>
      <c r="I7" s="5" t="s">
        <v>2</v>
      </c>
      <c r="J7" s="5" t="s">
        <v>386</v>
      </c>
    </row>
    <row r="8" spans="1:10" x14ac:dyDescent="0.25">
      <c r="A8" s="5" t="s">
        <v>15</v>
      </c>
      <c r="B8" s="5" t="s">
        <v>20</v>
      </c>
      <c r="C8" s="5" t="s">
        <v>2</v>
      </c>
      <c r="D8" s="5"/>
      <c r="E8" s="5" t="s">
        <v>387</v>
      </c>
      <c r="F8" s="5" t="s">
        <v>17</v>
      </c>
      <c r="G8" s="5" t="s">
        <v>22</v>
      </c>
      <c r="H8" s="5" t="s">
        <v>2</v>
      </c>
      <c r="I8" s="5" t="s">
        <v>2</v>
      </c>
      <c r="J8" s="5" t="s">
        <v>388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628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630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631</v>
      </c>
    </row>
    <row r="6" spans="1:10" x14ac:dyDescent="0.25">
      <c r="A6" s="5" t="s">
        <v>15</v>
      </c>
      <c r="B6" s="5" t="s">
        <v>53</v>
      </c>
      <c r="C6" s="5" t="s">
        <v>2</v>
      </c>
      <c r="D6" s="5"/>
      <c r="E6" s="5" t="s">
        <v>632</v>
      </c>
      <c r="F6" s="5" t="s">
        <v>17</v>
      </c>
      <c r="G6" s="5">
        <v>1</v>
      </c>
      <c r="H6" s="5" t="s">
        <v>2</v>
      </c>
      <c r="I6" s="5" t="s">
        <v>2</v>
      </c>
      <c r="J6" s="5" t="s">
        <v>633</v>
      </c>
    </row>
    <row r="7" spans="1:10" x14ac:dyDescent="0.25">
      <c r="A7" s="5" t="s">
        <v>15</v>
      </c>
      <c r="B7" s="5" t="s">
        <v>53</v>
      </c>
      <c r="C7" s="5" t="s">
        <v>2</v>
      </c>
      <c r="D7" s="5"/>
      <c r="E7" s="5" t="s">
        <v>634</v>
      </c>
      <c r="F7" s="5" t="s">
        <v>17</v>
      </c>
      <c r="G7" s="5">
        <v>1</v>
      </c>
      <c r="H7" s="5" t="s">
        <v>2</v>
      </c>
      <c r="I7" s="5" t="s">
        <v>2</v>
      </c>
      <c r="J7" s="5" t="s">
        <v>635</v>
      </c>
    </row>
    <row r="8" spans="1:10" x14ac:dyDescent="0.25">
      <c r="A8" s="5" t="s">
        <v>15</v>
      </c>
      <c r="B8" s="5" t="s">
        <v>53</v>
      </c>
      <c r="C8" s="5" t="s">
        <v>2</v>
      </c>
      <c r="D8" s="5"/>
      <c r="E8" s="5" t="s">
        <v>636</v>
      </c>
      <c r="F8" s="5" t="s">
        <v>17</v>
      </c>
      <c r="G8" s="5">
        <v>1</v>
      </c>
      <c r="H8" s="5" t="s">
        <v>2</v>
      </c>
      <c r="I8" s="5" t="s">
        <v>2</v>
      </c>
      <c r="J8" s="5" t="s">
        <v>637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1025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1491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1029</v>
      </c>
      <c r="F5" s="5" t="s">
        <v>17</v>
      </c>
      <c r="G5" s="5" t="s">
        <v>1030</v>
      </c>
      <c r="H5" s="5" t="s">
        <v>2</v>
      </c>
      <c r="I5" s="5" t="s">
        <v>2</v>
      </c>
      <c r="J5" s="5" t="s">
        <v>1028</v>
      </c>
    </row>
    <row r="6" spans="1:10" x14ac:dyDescent="0.25">
      <c r="A6" s="5" t="s">
        <v>15</v>
      </c>
      <c r="B6" s="5" t="s">
        <v>20</v>
      </c>
      <c r="C6" s="5" t="s">
        <v>2</v>
      </c>
      <c r="D6" s="5"/>
      <c r="E6" s="5" t="s">
        <v>1031</v>
      </c>
      <c r="F6" s="5" t="s">
        <v>17</v>
      </c>
      <c r="G6" s="5" t="s">
        <v>1032</v>
      </c>
      <c r="H6" s="5" t="s">
        <v>2</v>
      </c>
      <c r="I6" s="5" t="s">
        <v>2</v>
      </c>
      <c r="J6" s="5" t="s">
        <v>1033</v>
      </c>
    </row>
    <row r="7" spans="1:10" x14ac:dyDescent="0.25">
      <c r="A7" s="5" t="s">
        <v>15</v>
      </c>
      <c r="B7" s="5" t="s">
        <v>20</v>
      </c>
      <c r="C7" s="5" t="s">
        <v>2</v>
      </c>
      <c r="D7" s="5"/>
      <c r="E7" s="5" t="s">
        <v>1034</v>
      </c>
      <c r="F7" s="5" t="s">
        <v>17</v>
      </c>
      <c r="G7" s="5" t="s">
        <v>1035</v>
      </c>
      <c r="H7" s="5" t="s">
        <v>2</v>
      </c>
      <c r="I7" s="5" t="s">
        <v>2</v>
      </c>
      <c r="J7" s="5" t="s">
        <v>1036</v>
      </c>
    </row>
    <row r="8" spans="1:10" x14ac:dyDescent="0.25">
      <c r="A8" s="5" t="s">
        <v>17</v>
      </c>
      <c r="B8" s="5" t="s">
        <v>125</v>
      </c>
      <c r="C8" s="5" t="s">
        <v>2</v>
      </c>
      <c r="D8" s="5"/>
      <c r="E8" s="5" t="s">
        <v>1037</v>
      </c>
      <c r="F8" s="5" t="s">
        <v>17</v>
      </c>
      <c r="G8" s="5" t="s">
        <v>1038</v>
      </c>
      <c r="H8" s="5" t="s">
        <v>2</v>
      </c>
      <c r="I8" s="5" t="s">
        <v>2</v>
      </c>
      <c r="J8" s="5" t="s">
        <v>1039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1492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44</v>
      </c>
      <c r="C5" s="12" t="s">
        <v>720</v>
      </c>
      <c r="D5" s="5"/>
      <c r="E5" s="5" t="s">
        <v>721</v>
      </c>
      <c r="F5" s="5" t="s">
        <v>17</v>
      </c>
      <c r="G5" s="5" t="s">
        <v>722</v>
      </c>
      <c r="H5" s="5" t="s">
        <v>2</v>
      </c>
      <c r="I5" s="5" t="s">
        <v>2</v>
      </c>
      <c r="J5" s="5" t="s">
        <v>723</v>
      </c>
    </row>
    <row r="6" spans="1:10" x14ac:dyDescent="0.25">
      <c r="A6" s="5" t="s">
        <v>15</v>
      </c>
      <c r="B6" s="5" t="s">
        <v>125</v>
      </c>
      <c r="C6" s="5" t="s">
        <v>2</v>
      </c>
      <c r="D6" s="5"/>
      <c r="E6" s="5" t="s">
        <v>724</v>
      </c>
      <c r="F6" s="5" t="s">
        <v>17</v>
      </c>
      <c r="G6" s="5" t="s">
        <v>1493</v>
      </c>
      <c r="H6" s="5" t="s">
        <v>2</v>
      </c>
      <c r="I6" s="5" t="s">
        <v>2</v>
      </c>
      <c r="J6" s="5" t="s">
        <v>726</v>
      </c>
    </row>
  </sheetData>
  <mergeCells count="3">
    <mergeCell ref="A1:J1"/>
    <mergeCell ref="B2:J2"/>
    <mergeCell ref="B3:J3"/>
  </mergeCells>
  <dataValidations count="1">
    <dataValidation type="list" allowBlank="1" sqref="G5:I5">
      <formula1>'Enums'!C2763:C2778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133</v>
      </c>
      <c r="C5" s="5" t="s">
        <v>134</v>
      </c>
      <c r="D5" s="5"/>
      <c r="E5" s="5" t="s">
        <v>135</v>
      </c>
      <c r="F5" s="5" t="s">
        <v>17</v>
      </c>
      <c r="G5" s="5" t="s">
        <v>1494</v>
      </c>
      <c r="H5" s="5" t="s">
        <v>2</v>
      </c>
      <c r="I5" s="5" t="s">
        <v>2</v>
      </c>
      <c r="J5" s="5" t="s">
        <v>137</v>
      </c>
    </row>
    <row r="6" spans="1:10" x14ac:dyDescent="0.25">
      <c r="A6" s="5" t="s">
        <v>15</v>
      </c>
      <c r="B6" s="5" t="s">
        <v>44</v>
      </c>
      <c r="C6" s="12" t="s">
        <v>138</v>
      </c>
      <c r="D6" s="5"/>
      <c r="E6" s="5" t="s">
        <v>139</v>
      </c>
      <c r="F6" s="5" t="s">
        <v>17</v>
      </c>
      <c r="G6" s="5" t="s">
        <v>140</v>
      </c>
      <c r="H6" s="5" t="s">
        <v>2</v>
      </c>
      <c r="I6" s="5" t="s">
        <v>2</v>
      </c>
      <c r="J6" s="5" t="s">
        <v>141</v>
      </c>
    </row>
    <row r="7" spans="1:10" x14ac:dyDescent="0.25">
      <c r="A7" s="5" t="s">
        <v>15</v>
      </c>
      <c r="B7" s="5" t="s">
        <v>133</v>
      </c>
      <c r="C7" s="5" t="s">
        <v>142</v>
      </c>
      <c r="D7" s="5"/>
      <c r="E7" s="5" t="s">
        <v>143</v>
      </c>
      <c r="F7" s="5" t="s">
        <v>17</v>
      </c>
      <c r="G7" s="5" t="s">
        <v>1495</v>
      </c>
      <c r="H7" s="5" t="s">
        <v>2</v>
      </c>
      <c r="I7" s="5" t="s">
        <v>2</v>
      </c>
      <c r="J7" s="5" t="s">
        <v>145</v>
      </c>
    </row>
    <row r="8" spans="1:10" x14ac:dyDescent="0.25">
      <c r="A8" s="5" t="s">
        <v>15</v>
      </c>
      <c r="B8" s="5" t="s">
        <v>133</v>
      </c>
      <c r="C8" s="5" t="s">
        <v>146</v>
      </c>
      <c r="D8" s="5"/>
      <c r="E8" s="5" t="s">
        <v>147</v>
      </c>
      <c r="F8" s="5" t="s">
        <v>17</v>
      </c>
      <c r="G8" s="5" t="s">
        <v>1496</v>
      </c>
      <c r="H8" s="5" t="s">
        <v>2</v>
      </c>
      <c r="I8" s="5" t="s">
        <v>2</v>
      </c>
      <c r="J8" s="5" t="s">
        <v>149</v>
      </c>
    </row>
  </sheetData>
  <mergeCells count="3">
    <mergeCell ref="A1:J1"/>
    <mergeCell ref="B2:J2"/>
    <mergeCell ref="B3:J3"/>
  </mergeCells>
  <dataValidations count="1">
    <dataValidation type="list" allowBlank="1" sqref="G6:I6">
      <formula1>'Enums'!C1829:C1833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485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488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489</v>
      </c>
    </row>
    <row r="6" spans="1:10" x14ac:dyDescent="0.25">
      <c r="A6" s="5" t="s">
        <v>17</v>
      </c>
      <c r="B6" s="5" t="s">
        <v>125</v>
      </c>
      <c r="C6" s="5" t="s">
        <v>2</v>
      </c>
      <c r="D6" s="5"/>
      <c r="E6" s="5" t="s">
        <v>490</v>
      </c>
      <c r="F6" s="5" t="s">
        <v>15</v>
      </c>
      <c r="G6" s="5" t="s">
        <v>1497</v>
      </c>
      <c r="H6" s="5" t="s">
        <v>2</v>
      </c>
      <c r="I6" s="5" t="s">
        <v>2</v>
      </c>
      <c r="J6" s="5" t="s">
        <v>492</v>
      </c>
    </row>
    <row r="7" spans="1:10" x14ac:dyDescent="0.25">
      <c r="A7" s="5" t="s">
        <v>15</v>
      </c>
      <c r="B7" s="5" t="s">
        <v>20</v>
      </c>
      <c r="C7" s="5" t="s">
        <v>2</v>
      </c>
      <c r="D7" s="5"/>
      <c r="E7" s="5" t="s">
        <v>493</v>
      </c>
      <c r="F7" s="5" t="s">
        <v>17</v>
      </c>
      <c r="G7" s="5" t="s">
        <v>22</v>
      </c>
      <c r="H7" s="5" t="s">
        <v>2</v>
      </c>
      <c r="I7" s="5" t="s">
        <v>2</v>
      </c>
      <c r="J7" s="5" t="s">
        <v>494</v>
      </c>
    </row>
    <row r="8" spans="1:10" x14ac:dyDescent="0.25">
      <c r="A8" s="5" t="s">
        <v>15</v>
      </c>
      <c r="B8" s="5" t="s">
        <v>20</v>
      </c>
      <c r="C8" s="5" t="s">
        <v>2</v>
      </c>
      <c r="D8" s="5"/>
      <c r="E8" s="5" t="s">
        <v>495</v>
      </c>
      <c r="F8" s="5" t="s">
        <v>17</v>
      </c>
      <c r="G8" s="5" t="s">
        <v>22</v>
      </c>
      <c r="H8" s="5" t="s">
        <v>2</v>
      </c>
      <c r="I8" s="5" t="s">
        <v>2</v>
      </c>
      <c r="J8" s="5" t="s">
        <v>496</v>
      </c>
    </row>
    <row r="9" spans="1:10" x14ac:dyDescent="0.25">
      <c r="A9" s="5" t="s">
        <v>15</v>
      </c>
      <c r="B9" s="6" t="s">
        <v>497</v>
      </c>
      <c r="C9" s="5" t="s">
        <v>2</v>
      </c>
      <c r="D9" s="5"/>
      <c r="E9" s="5" t="s">
        <v>497</v>
      </c>
      <c r="F9" s="5" t="s">
        <v>15</v>
      </c>
      <c r="G9" s="5" t="s">
        <v>2</v>
      </c>
      <c r="H9" s="5" t="s">
        <v>2</v>
      </c>
      <c r="I9" s="5" t="s">
        <v>2</v>
      </c>
      <c r="J9" s="5" t="s">
        <v>498</v>
      </c>
    </row>
    <row r="10" spans="1:10" x14ac:dyDescent="0.25" outlineLevel="1" collapsed="1">
      <c r="A10" s="7" t="s">
        <v>15</v>
      </c>
      <c r="B10" s="7" t="s">
        <v>356</v>
      </c>
      <c r="C10" s="7" t="s">
        <v>2</v>
      </c>
      <c r="D10" s="7"/>
      <c r="E10" s="7" t="s">
        <v>432</v>
      </c>
      <c r="F10" s="7" t="s">
        <v>17</v>
      </c>
      <c r="G10" s="7" t="s">
        <v>2</v>
      </c>
      <c r="H10" s="7" t="s">
        <v>2</v>
      </c>
      <c r="I10" s="7" t="s">
        <v>2</v>
      </c>
      <c r="J10" s="7" t="s">
        <v>433</v>
      </c>
    </row>
    <row r="11" spans="1:10" x14ac:dyDescent="0.25" outlineLevel="1" collapsed="1">
      <c r="A11" s="8" t="s">
        <v>15</v>
      </c>
      <c r="B11" s="9" t="s">
        <v>499</v>
      </c>
      <c r="C11" s="8" t="s">
        <v>2</v>
      </c>
      <c r="D11" s="8"/>
      <c r="E11" s="8" t="s">
        <v>500</v>
      </c>
      <c r="F11" s="8" t="s">
        <v>15</v>
      </c>
      <c r="G11" s="8" t="s">
        <v>2</v>
      </c>
      <c r="H11" s="8" t="s">
        <v>2</v>
      </c>
      <c r="I11" s="8" t="s">
        <v>2</v>
      </c>
      <c r="J11" s="8" t="s">
        <v>501</v>
      </c>
    </row>
    <row r="12" spans="1:10" x14ac:dyDescent="0.25" outlineLevel="2" collapsed="1">
      <c r="A12" s="7" t="s">
        <v>15</v>
      </c>
      <c r="B12" s="7" t="s">
        <v>20</v>
      </c>
      <c r="C12" s="7" t="s">
        <v>2</v>
      </c>
      <c r="D12" s="7"/>
      <c r="E12" s="7" t="s">
        <v>502</v>
      </c>
      <c r="F12" s="7" t="s">
        <v>17</v>
      </c>
      <c r="G12" s="7" t="s">
        <v>22</v>
      </c>
      <c r="H12" s="7" t="s">
        <v>2</v>
      </c>
      <c r="I12" s="7" t="s">
        <v>2</v>
      </c>
      <c r="J12" s="7" t="s">
        <v>503</v>
      </c>
    </row>
    <row r="13" spans="1:10" x14ac:dyDescent="0.25" outlineLevel="2" collapsed="1">
      <c r="A13" s="7" t="s">
        <v>15</v>
      </c>
      <c r="B13" s="7" t="s">
        <v>53</v>
      </c>
      <c r="C13" s="7" t="s">
        <v>2</v>
      </c>
      <c r="D13" s="7"/>
      <c r="E13" s="7" t="s">
        <v>504</v>
      </c>
      <c r="F13" s="7" t="s">
        <v>17</v>
      </c>
      <c r="G13" s="7">
        <v>1</v>
      </c>
      <c r="H13" s="7" t="s">
        <v>2</v>
      </c>
      <c r="I13" s="7" t="s">
        <v>2</v>
      </c>
      <c r="J13" s="7" t="s">
        <v>505</v>
      </c>
    </row>
    <row r="14" spans="1:10" x14ac:dyDescent="0.25" outlineLevel="2" collapsed="1">
      <c r="A14" s="7" t="s">
        <v>17</v>
      </c>
      <c r="B14" s="7" t="s">
        <v>53</v>
      </c>
      <c r="C14" s="7" t="s">
        <v>2</v>
      </c>
      <c r="D14" s="7" t="s">
        <v>506</v>
      </c>
      <c r="E14" s="7" t="s">
        <v>507</v>
      </c>
      <c r="F14" s="7" t="s">
        <v>17</v>
      </c>
      <c r="G14" s="7">
        <v>1</v>
      </c>
      <c r="H14" s="7" t="s">
        <v>2</v>
      </c>
      <c r="I14" s="7" t="s">
        <v>2</v>
      </c>
      <c r="J14" s="7" t="s">
        <v>508</v>
      </c>
    </row>
    <row r="15" spans="1:10" x14ac:dyDescent="0.25" outlineLevel="2" collapsed="1">
      <c r="A15" s="7" t="s">
        <v>15</v>
      </c>
      <c r="B15" s="7" t="s">
        <v>53</v>
      </c>
      <c r="C15" s="7" t="s">
        <v>2</v>
      </c>
      <c r="D15" s="7"/>
      <c r="E15" s="7" t="s">
        <v>509</v>
      </c>
      <c r="F15" s="7" t="s">
        <v>17</v>
      </c>
      <c r="G15" s="7">
        <v>1</v>
      </c>
      <c r="H15" s="7" t="s">
        <v>2</v>
      </c>
      <c r="I15" s="7" t="s">
        <v>2</v>
      </c>
      <c r="J15" s="7" t="s">
        <v>510</v>
      </c>
    </row>
    <row r="16" spans="1:10" x14ac:dyDescent="0.25" outlineLevel="2" collapsed="1">
      <c r="A16" s="7" t="s">
        <v>15</v>
      </c>
      <c r="B16" s="7" t="s">
        <v>53</v>
      </c>
      <c r="C16" s="7" t="s">
        <v>2</v>
      </c>
      <c r="D16" s="7"/>
      <c r="E16" s="7" t="s">
        <v>511</v>
      </c>
      <c r="F16" s="7" t="s">
        <v>17</v>
      </c>
      <c r="G16" s="7">
        <v>1</v>
      </c>
      <c r="H16" s="7" t="s">
        <v>2</v>
      </c>
      <c r="I16" s="7" t="s">
        <v>2</v>
      </c>
      <c r="J16" s="7" t="s">
        <v>512</v>
      </c>
    </row>
    <row r="17" spans="1:10" x14ac:dyDescent="0.25" outlineLevel="2" collapsed="1">
      <c r="A17" s="7" t="s">
        <v>15</v>
      </c>
      <c r="B17" s="7" t="s">
        <v>53</v>
      </c>
      <c r="C17" s="7" t="s">
        <v>2</v>
      </c>
      <c r="D17" s="7"/>
      <c r="E17" s="7" t="s">
        <v>513</v>
      </c>
      <c r="F17" s="7" t="s">
        <v>17</v>
      </c>
      <c r="G17" s="7">
        <v>1</v>
      </c>
      <c r="H17" s="7" t="s">
        <v>2</v>
      </c>
      <c r="I17" s="7" t="s">
        <v>2</v>
      </c>
      <c r="J17" s="7" t="s">
        <v>514</v>
      </c>
    </row>
    <row r="18" spans="1:10" x14ac:dyDescent="0.25" outlineLevel="2" collapsed="1">
      <c r="A18" s="7" t="s">
        <v>17</v>
      </c>
      <c r="B18" s="7" t="s">
        <v>53</v>
      </c>
      <c r="C18" s="7" t="s">
        <v>2</v>
      </c>
      <c r="D18" s="7" t="s">
        <v>506</v>
      </c>
      <c r="E18" s="7" t="s">
        <v>515</v>
      </c>
      <c r="F18" s="7" t="s">
        <v>17</v>
      </c>
      <c r="G18" s="7">
        <v>1</v>
      </c>
      <c r="H18" s="7" t="s">
        <v>2</v>
      </c>
      <c r="I18" s="7" t="s">
        <v>2</v>
      </c>
      <c r="J18" s="7" t="s">
        <v>516</v>
      </c>
    </row>
    <row r="19" spans="1:10" x14ac:dyDescent="0.25" outlineLevel="2" collapsed="1">
      <c r="A19" s="7" t="s">
        <v>15</v>
      </c>
      <c r="B19" s="7" t="s">
        <v>53</v>
      </c>
      <c r="C19" s="7" t="s">
        <v>2</v>
      </c>
      <c r="D19" s="7"/>
      <c r="E19" s="7" t="s">
        <v>517</v>
      </c>
      <c r="F19" s="7" t="s">
        <v>17</v>
      </c>
      <c r="G19" s="7">
        <v>1</v>
      </c>
      <c r="H19" s="7" t="s">
        <v>2</v>
      </c>
      <c r="I19" s="7" t="s">
        <v>2</v>
      </c>
      <c r="J19" s="7" t="s">
        <v>518</v>
      </c>
    </row>
    <row r="20" spans="1:10" x14ac:dyDescent="0.25" outlineLevel="2" collapsed="1">
      <c r="A20" s="7" t="s">
        <v>17</v>
      </c>
      <c r="B20" s="7" t="s">
        <v>20</v>
      </c>
      <c r="C20" s="7" t="s">
        <v>2</v>
      </c>
      <c r="D20" s="7"/>
      <c r="E20" s="7" t="s">
        <v>519</v>
      </c>
      <c r="F20" s="7" t="s">
        <v>17</v>
      </c>
      <c r="G20" s="7" t="s">
        <v>22</v>
      </c>
      <c r="H20" s="7" t="s">
        <v>2</v>
      </c>
      <c r="I20" s="7" t="s">
        <v>2</v>
      </c>
      <c r="J20" s="7" t="s">
        <v>520</v>
      </c>
    </row>
    <row r="21" spans="1:10" x14ac:dyDescent="0.25" outlineLevel="2" collapsed="1">
      <c r="A21" s="7" t="s">
        <v>15</v>
      </c>
      <c r="B21" s="7" t="s">
        <v>125</v>
      </c>
      <c r="C21" s="7" t="s">
        <v>2</v>
      </c>
      <c r="D21" s="7"/>
      <c r="E21" s="7" t="s">
        <v>521</v>
      </c>
      <c r="F21" s="7" t="s">
        <v>17</v>
      </c>
      <c r="G21" s="7" t="s">
        <v>1498</v>
      </c>
      <c r="H21" s="7" t="s">
        <v>2</v>
      </c>
      <c r="I21" s="7" t="s">
        <v>2</v>
      </c>
      <c r="J21" s="7" t="s">
        <v>523</v>
      </c>
    </row>
    <row r="22" spans="1:10" x14ac:dyDescent="0.25" outlineLevel="1" collapsed="1">
      <c r="A22" s="7" t="s">
        <v>17</v>
      </c>
      <c r="B22" s="7" t="s">
        <v>53</v>
      </c>
      <c r="C22" s="7" t="s">
        <v>2</v>
      </c>
      <c r="D22" s="7" t="s">
        <v>506</v>
      </c>
      <c r="E22" s="7" t="s">
        <v>524</v>
      </c>
      <c r="F22" s="7" t="s">
        <v>17</v>
      </c>
      <c r="G22" s="7">
        <v>1</v>
      </c>
      <c r="H22" s="7" t="s">
        <v>2</v>
      </c>
      <c r="I22" s="7" t="s">
        <v>2</v>
      </c>
      <c r="J22" s="7" t="s">
        <v>525</v>
      </c>
    </row>
    <row r="23" spans="1:10" x14ac:dyDescent="0.25" outlineLevel="1" collapsed="1">
      <c r="A23" s="8" t="s">
        <v>15</v>
      </c>
      <c r="B23" s="9" t="s">
        <v>526</v>
      </c>
      <c r="C23" s="8" t="s">
        <v>2</v>
      </c>
      <c r="D23" s="8"/>
      <c r="E23" s="8" t="s">
        <v>527</v>
      </c>
      <c r="F23" s="8" t="s">
        <v>17</v>
      </c>
      <c r="G23" s="8" t="s">
        <v>2</v>
      </c>
      <c r="H23" s="8" t="s">
        <v>2</v>
      </c>
      <c r="I23" s="8" t="s">
        <v>2</v>
      </c>
      <c r="J23" s="8" t="s">
        <v>528</v>
      </c>
    </row>
    <row r="24" spans="1:10" x14ac:dyDescent="0.25" outlineLevel="2" collapsed="1">
      <c r="A24" s="7" t="s">
        <v>15</v>
      </c>
      <c r="B24" s="7" t="s">
        <v>44</v>
      </c>
      <c r="C24" s="10" t="s">
        <v>529</v>
      </c>
      <c r="D24" s="7"/>
      <c r="E24" s="7" t="s">
        <v>231</v>
      </c>
      <c r="F24" s="7" t="s">
        <v>17</v>
      </c>
      <c r="G24" s="7" t="s">
        <v>251</v>
      </c>
      <c r="H24" s="7" t="s">
        <v>2</v>
      </c>
      <c r="I24" s="7" t="s">
        <v>2</v>
      </c>
      <c r="J24" s="7" t="s">
        <v>530</v>
      </c>
    </row>
    <row r="25" spans="1:10" x14ac:dyDescent="0.25" outlineLevel="2" collapsed="1">
      <c r="A25" s="7" t="s">
        <v>17</v>
      </c>
      <c r="B25" s="7" t="s">
        <v>20</v>
      </c>
      <c r="C25" s="7" t="s">
        <v>2</v>
      </c>
      <c r="D25" s="7"/>
      <c r="E25" s="7" t="s">
        <v>76</v>
      </c>
      <c r="F25" s="7" t="s">
        <v>17</v>
      </c>
      <c r="G25" s="7" t="s">
        <v>22</v>
      </c>
      <c r="H25" s="7" t="s">
        <v>2</v>
      </c>
      <c r="I25" s="7" t="s">
        <v>2</v>
      </c>
      <c r="J25" s="7" t="s">
        <v>78</v>
      </c>
    </row>
    <row r="26" spans="1:10" x14ac:dyDescent="0.25" outlineLevel="2" collapsed="1">
      <c r="A26" s="8" t="s">
        <v>17</v>
      </c>
      <c r="B26" s="9" t="s">
        <v>531</v>
      </c>
      <c r="C26" s="8" t="s">
        <v>2</v>
      </c>
      <c r="D26" s="8">
        <f>EXACT(G24,"CWT, CWS")</f>
      </c>
      <c r="E26" s="8" t="s">
        <v>532</v>
      </c>
      <c r="F26" s="8" t="s">
        <v>17</v>
      </c>
      <c r="G26" s="8" t="s">
        <v>2</v>
      </c>
      <c r="H26" s="8" t="s">
        <v>2</v>
      </c>
      <c r="I26" s="8" t="s">
        <v>2</v>
      </c>
      <c r="J26" s="8" t="s">
        <v>533</v>
      </c>
    </row>
    <row r="27" spans="1:10" x14ac:dyDescent="0.25" outlineLevel="3" collapsed="1">
      <c r="A27" s="7" t="s">
        <v>17</v>
      </c>
      <c r="B27" s="7" t="s">
        <v>53</v>
      </c>
      <c r="C27" s="7" t="s">
        <v>2</v>
      </c>
      <c r="D27" s="7" t="s">
        <v>506</v>
      </c>
      <c r="E27" s="7" t="s">
        <v>534</v>
      </c>
      <c r="F27" s="7" t="s">
        <v>17</v>
      </c>
      <c r="G27" s="7">
        <v>1</v>
      </c>
      <c r="H27" s="7" t="s">
        <v>2</v>
      </c>
      <c r="I27" s="7" t="s">
        <v>2</v>
      </c>
      <c r="J27" s="7" t="s">
        <v>535</v>
      </c>
    </row>
    <row r="28" spans="1:10" x14ac:dyDescent="0.25" outlineLevel="3" collapsed="1">
      <c r="A28" s="7" t="s">
        <v>17</v>
      </c>
      <c r="B28" s="7" t="s">
        <v>53</v>
      </c>
      <c r="C28" s="7" t="s">
        <v>2</v>
      </c>
      <c r="D28" s="7" t="s">
        <v>506</v>
      </c>
      <c r="E28" s="7" t="s">
        <v>536</v>
      </c>
      <c r="F28" s="7" t="s">
        <v>17</v>
      </c>
      <c r="G28" s="7">
        <v>1</v>
      </c>
      <c r="H28" s="7" t="s">
        <v>2</v>
      </c>
      <c r="I28" s="7" t="s">
        <v>2</v>
      </c>
      <c r="J28" s="7" t="s">
        <v>537</v>
      </c>
    </row>
    <row r="29" spans="1:10" x14ac:dyDescent="0.25" outlineLevel="3" collapsed="1">
      <c r="A29" s="8" t="s">
        <v>15</v>
      </c>
      <c r="B29" s="9" t="s">
        <v>538</v>
      </c>
      <c r="C29" s="8" t="s">
        <v>2</v>
      </c>
      <c r="D29" s="8"/>
      <c r="E29" s="8" t="s">
        <v>539</v>
      </c>
      <c r="F29" s="8" t="s">
        <v>15</v>
      </c>
      <c r="G29" s="8" t="s">
        <v>2</v>
      </c>
      <c r="H29" s="8" t="s">
        <v>2</v>
      </c>
      <c r="I29" s="8" t="s">
        <v>2</v>
      </c>
      <c r="J29" s="8" t="s">
        <v>540</v>
      </c>
    </row>
    <row r="30" spans="1:10" x14ac:dyDescent="0.25" outlineLevel="4" collapsed="1">
      <c r="A30" s="7" t="s">
        <v>15</v>
      </c>
      <c r="B30" s="7" t="s">
        <v>20</v>
      </c>
      <c r="C30" s="7" t="s">
        <v>2</v>
      </c>
      <c r="D30" s="7"/>
      <c r="E30" s="7" t="s">
        <v>541</v>
      </c>
      <c r="F30" s="7" t="s">
        <v>17</v>
      </c>
      <c r="G30" s="7" t="s">
        <v>22</v>
      </c>
      <c r="H30" s="7" t="s">
        <v>2</v>
      </c>
      <c r="I30" s="7" t="s">
        <v>2</v>
      </c>
      <c r="J30" s="7" t="s">
        <v>406</v>
      </c>
    </row>
    <row r="31" spans="1:10" x14ac:dyDescent="0.25" outlineLevel="4" collapsed="1">
      <c r="A31" s="7" t="s">
        <v>15</v>
      </c>
      <c r="B31" s="7" t="s">
        <v>194</v>
      </c>
      <c r="C31" s="7" t="s">
        <v>2</v>
      </c>
      <c r="D31" s="7"/>
      <c r="E31" s="7" t="s">
        <v>542</v>
      </c>
      <c r="F31" s="7" t="s">
        <v>17</v>
      </c>
      <c r="G31" s="7">
        <v>1</v>
      </c>
      <c r="H31" s="7" t="s">
        <v>2</v>
      </c>
      <c r="I31" s="7" t="s">
        <v>2</v>
      </c>
      <c r="J31" s="7" t="s">
        <v>543</v>
      </c>
    </row>
    <row r="32" spans="1:10" x14ac:dyDescent="0.25" outlineLevel="4" collapsed="1">
      <c r="A32" s="8" t="s">
        <v>15</v>
      </c>
      <c r="B32" s="9" t="s">
        <v>544</v>
      </c>
      <c r="C32" s="8" t="s">
        <v>2</v>
      </c>
      <c r="D32" s="8"/>
      <c r="E32" s="8" t="s">
        <v>545</v>
      </c>
      <c r="F32" s="8" t="s">
        <v>15</v>
      </c>
      <c r="G32" s="8" t="s">
        <v>2</v>
      </c>
      <c r="H32" s="8" t="s">
        <v>2</v>
      </c>
      <c r="I32" s="8" t="s">
        <v>2</v>
      </c>
      <c r="J32" s="8" t="s">
        <v>546</v>
      </c>
    </row>
    <row r="33" spans="1:10" x14ac:dyDescent="0.25" outlineLevel="5" collapsed="1">
      <c r="A33" s="7" t="s">
        <v>15</v>
      </c>
      <c r="B33" s="7" t="s">
        <v>20</v>
      </c>
      <c r="C33" s="7" t="s">
        <v>2</v>
      </c>
      <c r="D33" s="7"/>
      <c r="E33" s="7" t="s">
        <v>545</v>
      </c>
      <c r="F33" s="7" t="s">
        <v>17</v>
      </c>
      <c r="G33" s="7" t="s">
        <v>22</v>
      </c>
      <c r="H33" s="7" t="s">
        <v>2</v>
      </c>
      <c r="I33" s="7" t="s">
        <v>2</v>
      </c>
      <c r="J33" s="7" t="s">
        <v>546</v>
      </c>
    </row>
    <row r="34" spans="1:10" x14ac:dyDescent="0.25" outlineLevel="5" collapsed="1">
      <c r="A34" s="7" t="s">
        <v>15</v>
      </c>
      <c r="B34" s="7" t="s">
        <v>194</v>
      </c>
      <c r="C34" s="7" t="s">
        <v>2</v>
      </c>
      <c r="D34" s="7"/>
      <c r="E34" s="7" t="s">
        <v>547</v>
      </c>
      <c r="F34" s="7" t="s">
        <v>17</v>
      </c>
      <c r="G34" s="7">
        <v>1</v>
      </c>
      <c r="H34" s="7" t="s">
        <v>2</v>
      </c>
      <c r="I34" s="7" t="s">
        <v>2</v>
      </c>
      <c r="J34" s="7" t="s">
        <v>548</v>
      </c>
    </row>
    <row r="35" spans="1:10" x14ac:dyDescent="0.25" outlineLevel="5" collapsed="1">
      <c r="A35" s="7" t="s">
        <v>15</v>
      </c>
      <c r="B35" s="7" t="s">
        <v>53</v>
      </c>
      <c r="C35" s="7" t="s">
        <v>2</v>
      </c>
      <c r="D35" s="7"/>
      <c r="E35" s="7" t="s">
        <v>549</v>
      </c>
      <c r="F35" s="7" t="s">
        <v>17</v>
      </c>
      <c r="G35" s="7">
        <v>1</v>
      </c>
      <c r="H35" s="7" t="s">
        <v>2</v>
      </c>
      <c r="I35" s="7" t="s">
        <v>2</v>
      </c>
      <c r="J35" s="7" t="s">
        <v>550</v>
      </c>
    </row>
    <row r="36" spans="1:10" x14ac:dyDescent="0.25" outlineLevel="4" collapsed="1">
      <c r="A36" s="7" t="s">
        <v>17</v>
      </c>
      <c r="B36" s="7" t="s">
        <v>53</v>
      </c>
      <c r="C36" s="7" t="s">
        <v>2</v>
      </c>
      <c r="D36" s="7" t="s">
        <v>506</v>
      </c>
      <c r="E36" s="7" t="s">
        <v>551</v>
      </c>
      <c r="F36" s="7" t="s">
        <v>17</v>
      </c>
      <c r="G36" s="7">
        <v>1</v>
      </c>
      <c r="H36" s="7" t="s">
        <v>2</v>
      </c>
      <c r="I36" s="7" t="s">
        <v>2</v>
      </c>
      <c r="J36" s="7" t="s">
        <v>552</v>
      </c>
    </row>
    <row r="37" spans="1:10" x14ac:dyDescent="0.25" outlineLevel="4" collapsed="1">
      <c r="A37" s="7" t="s">
        <v>15</v>
      </c>
      <c r="B37" s="7" t="s">
        <v>194</v>
      </c>
      <c r="C37" s="7" t="s">
        <v>2</v>
      </c>
      <c r="D37" s="7"/>
      <c r="E37" s="7" t="s">
        <v>553</v>
      </c>
      <c r="F37" s="7" t="s">
        <v>17</v>
      </c>
      <c r="G37" s="7">
        <v>1</v>
      </c>
      <c r="H37" s="7" t="s">
        <v>2</v>
      </c>
      <c r="I37" s="7" t="s">
        <v>2</v>
      </c>
      <c r="J37" s="7" t="s">
        <v>554</v>
      </c>
    </row>
    <row r="38" spans="1:10" x14ac:dyDescent="0.25" outlineLevel="4" collapsed="1">
      <c r="A38" s="7" t="s">
        <v>17</v>
      </c>
      <c r="B38" s="7" t="s">
        <v>20</v>
      </c>
      <c r="C38" s="7" t="s">
        <v>2</v>
      </c>
      <c r="D38" s="7"/>
      <c r="E38" s="7" t="s">
        <v>519</v>
      </c>
      <c r="F38" s="7" t="s">
        <v>17</v>
      </c>
      <c r="G38" s="7" t="s">
        <v>22</v>
      </c>
      <c r="H38" s="7" t="s">
        <v>2</v>
      </c>
      <c r="I38" s="7" t="s">
        <v>2</v>
      </c>
      <c r="J38" s="7" t="s">
        <v>520</v>
      </c>
    </row>
    <row r="39" spans="1:10" x14ac:dyDescent="0.25" outlineLevel="4" collapsed="1">
      <c r="A39" s="7" t="s">
        <v>15</v>
      </c>
      <c r="B39" s="7" t="s">
        <v>125</v>
      </c>
      <c r="C39" s="7" t="s">
        <v>2</v>
      </c>
      <c r="D39" s="7"/>
      <c r="E39" s="7" t="s">
        <v>555</v>
      </c>
      <c r="F39" s="7" t="s">
        <v>17</v>
      </c>
      <c r="G39" s="7" t="s">
        <v>1499</v>
      </c>
      <c r="H39" s="7" t="s">
        <v>2</v>
      </c>
      <c r="I39" s="7" t="s">
        <v>2</v>
      </c>
      <c r="J39" s="7" t="s">
        <v>557</v>
      </c>
    </row>
    <row r="40" spans="1:10" x14ac:dyDescent="0.25" outlineLevel="3" collapsed="1">
      <c r="A40" s="7" t="s">
        <v>15</v>
      </c>
      <c r="B40" s="7" t="s">
        <v>125</v>
      </c>
      <c r="C40" s="7" t="s">
        <v>2</v>
      </c>
      <c r="D40" s="7"/>
      <c r="E40" s="7" t="s">
        <v>555</v>
      </c>
      <c r="F40" s="7" t="s">
        <v>17</v>
      </c>
      <c r="G40" s="7" t="s">
        <v>1500</v>
      </c>
      <c r="H40" s="7" t="s">
        <v>2</v>
      </c>
      <c r="I40" s="7" t="s">
        <v>2</v>
      </c>
      <c r="J40" s="7" t="s">
        <v>557</v>
      </c>
    </row>
    <row r="41" spans="1:10" x14ac:dyDescent="0.25" outlineLevel="3" collapsed="1">
      <c r="A41" s="7" t="s">
        <v>17</v>
      </c>
      <c r="B41" s="7" t="s">
        <v>20</v>
      </c>
      <c r="C41" s="7" t="s">
        <v>2</v>
      </c>
      <c r="D41" s="7"/>
      <c r="E41" s="7" t="s">
        <v>519</v>
      </c>
      <c r="F41" s="7" t="s">
        <v>17</v>
      </c>
      <c r="G41" s="7" t="s">
        <v>22</v>
      </c>
      <c r="H41" s="7" t="s">
        <v>2</v>
      </c>
      <c r="I41" s="7" t="s">
        <v>2</v>
      </c>
      <c r="J41" s="7" t="s">
        <v>520</v>
      </c>
    </row>
    <row r="42" spans="1:10" x14ac:dyDescent="0.25" outlineLevel="3" collapsed="1">
      <c r="A42" s="7" t="s">
        <v>15</v>
      </c>
      <c r="B42" s="7" t="s">
        <v>53</v>
      </c>
      <c r="C42" s="7" t="s">
        <v>2</v>
      </c>
      <c r="D42" s="7"/>
      <c r="E42" s="7" t="s">
        <v>559</v>
      </c>
      <c r="F42" s="7" t="s">
        <v>17</v>
      </c>
      <c r="G42" s="7">
        <v>1</v>
      </c>
      <c r="H42" s="7" t="s">
        <v>2</v>
      </c>
      <c r="I42" s="7" t="s">
        <v>2</v>
      </c>
      <c r="J42" s="7" t="s">
        <v>560</v>
      </c>
    </row>
    <row r="43" spans="1:10" x14ac:dyDescent="0.25" outlineLevel="2" collapsed="1">
      <c r="A43" s="8" t="s">
        <v>17</v>
      </c>
      <c r="B43" s="9" t="s">
        <v>561</v>
      </c>
      <c r="C43" s="8" t="s">
        <v>2</v>
      </c>
      <c r="D43" s="8">
        <f>EXACT(G24,"HWT, IWT")</f>
      </c>
      <c r="E43" s="8" t="s">
        <v>562</v>
      </c>
      <c r="F43" s="8" t="s">
        <v>17</v>
      </c>
      <c r="G43" s="8" t="s">
        <v>2</v>
      </c>
      <c r="H43" s="8" t="s">
        <v>2</v>
      </c>
      <c r="I43" s="8" t="s">
        <v>2</v>
      </c>
      <c r="J43" s="8" t="s">
        <v>563</v>
      </c>
    </row>
    <row r="44" spans="1:10" x14ac:dyDescent="0.25" outlineLevel="3" collapsed="1">
      <c r="A44" s="8" t="s">
        <v>15</v>
      </c>
      <c r="B44" s="9" t="s">
        <v>539</v>
      </c>
      <c r="C44" s="8" t="s">
        <v>2</v>
      </c>
      <c r="D44" s="8"/>
      <c r="E44" s="8" t="s">
        <v>539</v>
      </c>
      <c r="F44" s="8" t="s">
        <v>15</v>
      </c>
      <c r="G44" s="8" t="s">
        <v>2</v>
      </c>
      <c r="H44" s="8" t="s">
        <v>2</v>
      </c>
      <c r="I44" s="8" t="s">
        <v>2</v>
      </c>
      <c r="J44" s="8" t="s">
        <v>564</v>
      </c>
    </row>
    <row r="45" spans="1:10" x14ac:dyDescent="0.25" outlineLevel="4" collapsed="1">
      <c r="A45" s="7" t="s">
        <v>15</v>
      </c>
      <c r="B45" s="7" t="s">
        <v>20</v>
      </c>
      <c r="C45" s="7" t="s">
        <v>2</v>
      </c>
      <c r="D45" s="7"/>
      <c r="E45" s="7" t="s">
        <v>541</v>
      </c>
      <c r="F45" s="7" t="s">
        <v>17</v>
      </c>
      <c r="G45" s="7" t="s">
        <v>22</v>
      </c>
      <c r="H45" s="7" t="s">
        <v>2</v>
      </c>
      <c r="I45" s="7" t="s">
        <v>2</v>
      </c>
      <c r="J45" s="7" t="s">
        <v>406</v>
      </c>
    </row>
    <row r="46" spans="1:10" x14ac:dyDescent="0.25" outlineLevel="4" collapsed="1">
      <c r="A46" s="7" t="s">
        <v>15</v>
      </c>
      <c r="B46" s="7" t="s">
        <v>194</v>
      </c>
      <c r="C46" s="7" t="s">
        <v>2</v>
      </c>
      <c r="D46" s="7"/>
      <c r="E46" s="7" t="s">
        <v>565</v>
      </c>
      <c r="F46" s="7" t="s">
        <v>17</v>
      </c>
      <c r="G46" s="7">
        <v>1</v>
      </c>
      <c r="H46" s="7" t="s">
        <v>2</v>
      </c>
      <c r="I46" s="7" t="s">
        <v>2</v>
      </c>
      <c r="J46" s="7" t="s">
        <v>543</v>
      </c>
    </row>
    <row r="47" spans="1:10" x14ac:dyDescent="0.25" outlineLevel="4" collapsed="1">
      <c r="A47" s="8" t="s">
        <v>15</v>
      </c>
      <c r="B47" s="9" t="s">
        <v>566</v>
      </c>
      <c r="C47" s="8" t="s">
        <v>2</v>
      </c>
      <c r="D47" s="8"/>
      <c r="E47" s="8" t="s">
        <v>539</v>
      </c>
      <c r="F47" s="8" t="s">
        <v>15</v>
      </c>
      <c r="G47" s="8" t="s">
        <v>2</v>
      </c>
      <c r="H47" s="8" t="s">
        <v>2</v>
      </c>
      <c r="I47" s="8" t="s">
        <v>2</v>
      </c>
      <c r="J47" s="8" t="s">
        <v>567</v>
      </c>
    </row>
    <row r="48" spans="1:10" x14ac:dyDescent="0.25" outlineLevel="5" collapsed="1">
      <c r="A48" s="7" t="s">
        <v>15</v>
      </c>
      <c r="B48" s="7" t="s">
        <v>20</v>
      </c>
      <c r="C48" s="7" t="s">
        <v>2</v>
      </c>
      <c r="D48" s="7"/>
      <c r="E48" s="7" t="s">
        <v>545</v>
      </c>
      <c r="F48" s="7" t="s">
        <v>17</v>
      </c>
      <c r="G48" s="7" t="s">
        <v>22</v>
      </c>
      <c r="H48" s="7" t="s">
        <v>2</v>
      </c>
      <c r="I48" s="7" t="s">
        <v>2</v>
      </c>
      <c r="J48" s="7" t="s">
        <v>546</v>
      </c>
    </row>
    <row r="49" spans="1:10" x14ac:dyDescent="0.25" outlineLevel="5" collapsed="1">
      <c r="A49" s="7" t="s">
        <v>15</v>
      </c>
      <c r="B49" s="7" t="s">
        <v>194</v>
      </c>
      <c r="C49" s="7" t="s">
        <v>2</v>
      </c>
      <c r="D49" s="7"/>
      <c r="E49" s="7" t="s">
        <v>547</v>
      </c>
      <c r="F49" s="7" t="s">
        <v>17</v>
      </c>
      <c r="G49" s="7">
        <v>1</v>
      </c>
      <c r="H49" s="7" t="s">
        <v>2</v>
      </c>
      <c r="I49" s="7" t="s">
        <v>2</v>
      </c>
      <c r="J49" s="7" t="s">
        <v>548</v>
      </c>
    </row>
    <row r="50" spans="1:10" x14ac:dyDescent="0.25" outlineLevel="5" collapsed="1">
      <c r="A50" s="7" t="s">
        <v>15</v>
      </c>
      <c r="B50" s="7" t="s">
        <v>53</v>
      </c>
      <c r="C50" s="7" t="s">
        <v>2</v>
      </c>
      <c r="D50" s="7"/>
      <c r="E50" s="7" t="s">
        <v>549</v>
      </c>
      <c r="F50" s="7" t="s">
        <v>17</v>
      </c>
      <c r="G50" s="7">
        <v>1</v>
      </c>
      <c r="H50" s="7" t="s">
        <v>2</v>
      </c>
      <c r="I50" s="7" t="s">
        <v>2</v>
      </c>
      <c r="J50" s="7" t="s">
        <v>550</v>
      </c>
    </row>
    <row r="51" spans="1:10" x14ac:dyDescent="0.25" outlineLevel="4" collapsed="1">
      <c r="A51" s="7" t="s">
        <v>17</v>
      </c>
      <c r="B51" s="7" t="s">
        <v>53</v>
      </c>
      <c r="C51" s="7" t="s">
        <v>2</v>
      </c>
      <c r="D51" s="7" t="s">
        <v>506</v>
      </c>
      <c r="E51" s="7" t="s">
        <v>568</v>
      </c>
      <c r="F51" s="7" t="s">
        <v>17</v>
      </c>
      <c r="G51" s="7">
        <v>1</v>
      </c>
      <c r="H51" s="7" t="s">
        <v>2</v>
      </c>
      <c r="I51" s="7" t="s">
        <v>2</v>
      </c>
      <c r="J51" s="7" t="s">
        <v>552</v>
      </c>
    </row>
    <row r="52" spans="1:10" x14ac:dyDescent="0.25" outlineLevel="4" collapsed="1">
      <c r="A52" s="7" t="s">
        <v>15</v>
      </c>
      <c r="B52" s="7" t="s">
        <v>53</v>
      </c>
      <c r="C52" s="7" t="s">
        <v>2</v>
      </c>
      <c r="D52" s="7"/>
      <c r="E52" s="7" t="s">
        <v>569</v>
      </c>
      <c r="F52" s="7" t="s">
        <v>17</v>
      </c>
      <c r="G52" s="7">
        <v>1</v>
      </c>
      <c r="H52" s="7" t="s">
        <v>2</v>
      </c>
      <c r="I52" s="7" t="s">
        <v>2</v>
      </c>
      <c r="J52" s="7" t="s">
        <v>570</v>
      </c>
    </row>
    <row r="53" spans="1:10" x14ac:dyDescent="0.25" outlineLevel="4" collapsed="1">
      <c r="A53" s="7" t="s">
        <v>15</v>
      </c>
      <c r="B53" s="7" t="s">
        <v>53</v>
      </c>
      <c r="C53" s="7" t="s">
        <v>2</v>
      </c>
      <c r="D53" s="7"/>
      <c r="E53" s="7" t="s">
        <v>571</v>
      </c>
      <c r="F53" s="7" t="s">
        <v>17</v>
      </c>
      <c r="G53" s="7">
        <v>1</v>
      </c>
      <c r="H53" s="7" t="s">
        <v>2</v>
      </c>
      <c r="I53" s="7" t="s">
        <v>2</v>
      </c>
      <c r="J53" s="7" t="s">
        <v>572</v>
      </c>
    </row>
    <row r="54" spans="1:10" x14ac:dyDescent="0.25" outlineLevel="4" collapsed="1">
      <c r="A54" s="7" t="s">
        <v>15</v>
      </c>
      <c r="B54" s="7" t="s">
        <v>53</v>
      </c>
      <c r="C54" s="7" t="s">
        <v>2</v>
      </c>
      <c r="D54" s="7"/>
      <c r="E54" s="7" t="s">
        <v>573</v>
      </c>
      <c r="F54" s="7" t="s">
        <v>17</v>
      </c>
      <c r="G54" s="7">
        <v>1</v>
      </c>
      <c r="H54" s="7" t="s">
        <v>2</v>
      </c>
      <c r="I54" s="7" t="s">
        <v>2</v>
      </c>
      <c r="J54" s="7" t="s">
        <v>574</v>
      </c>
    </row>
    <row r="55" spans="1:10" x14ac:dyDescent="0.25" outlineLevel="4" collapsed="1">
      <c r="A55" s="7" t="s">
        <v>17</v>
      </c>
      <c r="B55" s="7" t="s">
        <v>53</v>
      </c>
      <c r="C55" s="7" t="s">
        <v>2</v>
      </c>
      <c r="D55" s="7" t="s">
        <v>506</v>
      </c>
      <c r="E55" s="7" t="s">
        <v>575</v>
      </c>
      <c r="F55" s="7" t="s">
        <v>17</v>
      </c>
      <c r="G55" s="7">
        <v>1</v>
      </c>
      <c r="H55" s="7" t="s">
        <v>2</v>
      </c>
      <c r="I55" s="7" t="s">
        <v>2</v>
      </c>
      <c r="J55" s="7" t="s">
        <v>576</v>
      </c>
    </row>
    <row r="56" spans="1:10" x14ac:dyDescent="0.25" outlineLevel="4" collapsed="1">
      <c r="A56" s="7" t="s">
        <v>15</v>
      </c>
      <c r="B56" s="7" t="s">
        <v>194</v>
      </c>
      <c r="C56" s="7" t="s">
        <v>2</v>
      </c>
      <c r="D56" s="7"/>
      <c r="E56" s="7" t="s">
        <v>553</v>
      </c>
      <c r="F56" s="7" t="s">
        <v>17</v>
      </c>
      <c r="G56" s="7">
        <v>1</v>
      </c>
      <c r="H56" s="7" t="s">
        <v>2</v>
      </c>
      <c r="I56" s="7" t="s">
        <v>2</v>
      </c>
      <c r="J56" s="7" t="s">
        <v>554</v>
      </c>
    </row>
    <row r="57" spans="1:10" x14ac:dyDescent="0.25" outlineLevel="4" collapsed="1">
      <c r="A57" s="7" t="s">
        <v>17</v>
      </c>
      <c r="B57" s="7" t="s">
        <v>20</v>
      </c>
      <c r="C57" s="7" t="s">
        <v>2</v>
      </c>
      <c r="D57" s="7"/>
      <c r="E57" s="7" t="s">
        <v>577</v>
      </c>
      <c r="F57" s="7" t="s">
        <v>17</v>
      </c>
      <c r="G57" s="7" t="s">
        <v>22</v>
      </c>
      <c r="H57" s="7" t="s">
        <v>2</v>
      </c>
      <c r="I57" s="7" t="s">
        <v>2</v>
      </c>
      <c r="J57" s="7" t="s">
        <v>520</v>
      </c>
    </row>
    <row r="58" spans="1:10" x14ac:dyDescent="0.25" outlineLevel="4" collapsed="1">
      <c r="A58" s="7" t="s">
        <v>15</v>
      </c>
      <c r="B58" s="7" t="s">
        <v>125</v>
      </c>
      <c r="C58" s="7" t="s">
        <v>2</v>
      </c>
      <c r="D58" s="7"/>
      <c r="E58" s="7" t="s">
        <v>555</v>
      </c>
      <c r="F58" s="7" t="s">
        <v>17</v>
      </c>
      <c r="G58" s="7" t="s">
        <v>1501</v>
      </c>
      <c r="H58" s="7" t="s">
        <v>2</v>
      </c>
      <c r="I58" s="7" t="s">
        <v>2</v>
      </c>
      <c r="J58" s="7" t="s">
        <v>579</v>
      </c>
    </row>
    <row r="59" spans="1:10" x14ac:dyDescent="0.25" outlineLevel="3" collapsed="1">
      <c r="A59" s="7" t="s">
        <v>17</v>
      </c>
      <c r="B59" s="7" t="s">
        <v>53</v>
      </c>
      <c r="C59" s="7" t="s">
        <v>2</v>
      </c>
      <c r="D59" s="7" t="s">
        <v>506</v>
      </c>
      <c r="E59" s="7" t="s">
        <v>580</v>
      </c>
      <c r="F59" s="7" t="s">
        <v>17</v>
      </c>
      <c r="G59" s="7">
        <v>1</v>
      </c>
      <c r="H59" s="7" t="s">
        <v>2</v>
      </c>
      <c r="I59" s="7" t="s">
        <v>2</v>
      </c>
      <c r="J59" s="7" t="s">
        <v>535</v>
      </c>
    </row>
    <row r="60" spans="1:10" x14ac:dyDescent="0.25" outlineLevel="1" collapsed="1">
      <c r="A60" s="8" t="s">
        <v>15</v>
      </c>
      <c r="B60" s="9" t="s">
        <v>581</v>
      </c>
      <c r="C60" s="8" t="s">
        <v>2</v>
      </c>
      <c r="D60" s="8"/>
      <c r="E60" s="8" t="s">
        <v>581</v>
      </c>
      <c r="F60" s="8" t="s">
        <v>17</v>
      </c>
      <c r="G60" s="8" t="s">
        <v>2</v>
      </c>
      <c r="H60" s="8" t="s">
        <v>2</v>
      </c>
      <c r="I60" s="8" t="s">
        <v>2</v>
      </c>
      <c r="J60" s="8" t="s">
        <v>582</v>
      </c>
    </row>
    <row r="61" spans="1:10" x14ac:dyDescent="0.25" outlineLevel="2" collapsed="1">
      <c r="A61" s="7" t="s">
        <v>15</v>
      </c>
      <c r="B61" s="7" t="s">
        <v>53</v>
      </c>
      <c r="C61" s="7" t="s">
        <v>2</v>
      </c>
      <c r="D61" s="7"/>
      <c r="E61" s="7" t="s">
        <v>583</v>
      </c>
      <c r="F61" s="7" t="s">
        <v>17</v>
      </c>
      <c r="G61" s="7">
        <v>1</v>
      </c>
      <c r="H61" s="7" t="s">
        <v>2</v>
      </c>
      <c r="I61" s="7" t="s">
        <v>2</v>
      </c>
      <c r="J61" s="7" t="s">
        <v>584</v>
      </c>
    </row>
    <row r="62" spans="1:10" x14ac:dyDescent="0.25" outlineLevel="2" collapsed="1">
      <c r="A62" s="7" t="s">
        <v>17</v>
      </c>
      <c r="B62" s="7" t="s">
        <v>20</v>
      </c>
      <c r="C62" s="7" t="s">
        <v>2</v>
      </c>
      <c r="D62" s="7"/>
      <c r="E62" s="7" t="s">
        <v>577</v>
      </c>
      <c r="F62" s="7" t="s">
        <v>17</v>
      </c>
      <c r="G62" s="7" t="s">
        <v>22</v>
      </c>
      <c r="H62" s="7" t="s">
        <v>2</v>
      </c>
      <c r="I62" s="7" t="s">
        <v>2</v>
      </c>
      <c r="J62" s="7" t="s">
        <v>520</v>
      </c>
    </row>
    <row r="63" spans="1:10" x14ac:dyDescent="0.25" outlineLevel="2" collapsed="1">
      <c r="A63" s="7" t="s">
        <v>15</v>
      </c>
      <c r="B63" s="7" t="s">
        <v>125</v>
      </c>
      <c r="C63" s="7" t="s">
        <v>2</v>
      </c>
      <c r="D63" s="7"/>
      <c r="E63" s="7" t="s">
        <v>555</v>
      </c>
      <c r="F63" s="7" t="s">
        <v>17</v>
      </c>
      <c r="G63" s="7" t="s">
        <v>1502</v>
      </c>
      <c r="H63" s="7" t="s">
        <v>2</v>
      </c>
      <c r="I63" s="7" t="s">
        <v>2</v>
      </c>
      <c r="J63" s="7" t="s">
        <v>579</v>
      </c>
    </row>
    <row r="64" spans="1:10" x14ac:dyDescent="0.25" outlineLevel="2" collapsed="1">
      <c r="A64" s="7" t="s">
        <v>17</v>
      </c>
      <c r="B64" s="7" t="s">
        <v>53</v>
      </c>
      <c r="C64" s="7" t="s">
        <v>2</v>
      </c>
      <c r="D64" s="7" t="s">
        <v>506</v>
      </c>
      <c r="E64" s="7" t="s">
        <v>586</v>
      </c>
      <c r="F64" s="7" t="s">
        <v>17</v>
      </c>
      <c r="G64" s="7">
        <v>1</v>
      </c>
      <c r="H64" s="7" t="s">
        <v>2</v>
      </c>
      <c r="I64" s="7" t="s">
        <v>2</v>
      </c>
      <c r="J64" s="7" t="s">
        <v>587</v>
      </c>
    </row>
    <row r="65" spans="1:10" x14ac:dyDescent="0.25" outlineLevel="1" collapsed="1">
      <c r="A65" s="8" t="s">
        <v>15</v>
      </c>
      <c r="B65" s="9" t="s">
        <v>588</v>
      </c>
      <c r="C65" s="8" t="s">
        <v>2</v>
      </c>
      <c r="D65" s="8"/>
      <c r="E65" s="8" t="s">
        <v>589</v>
      </c>
      <c r="F65" s="8" t="s">
        <v>17</v>
      </c>
      <c r="G65" s="8" t="s">
        <v>2</v>
      </c>
      <c r="H65" s="8" t="s">
        <v>2</v>
      </c>
      <c r="I65" s="8" t="s">
        <v>2</v>
      </c>
      <c r="J65" s="8" t="s">
        <v>590</v>
      </c>
    </row>
    <row r="66" spans="1:10" x14ac:dyDescent="0.25" outlineLevel="2" collapsed="1">
      <c r="A66" s="7" t="s">
        <v>15</v>
      </c>
      <c r="B66" s="7" t="s">
        <v>53</v>
      </c>
      <c r="C66" s="7" t="s">
        <v>2</v>
      </c>
      <c r="D66" s="7"/>
      <c r="E66" s="7" t="s">
        <v>591</v>
      </c>
      <c r="F66" s="7" t="s">
        <v>17</v>
      </c>
      <c r="G66" s="7">
        <v>1</v>
      </c>
      <c r="H66" s="7" t="s">
        <v>2</v>
      </c>
      <c r="I66" s="7" t="s">
        <v>2</v>
      </c>
      <c r="J66" s="7" t="s">
        <v>592</v>
      </c>
    </row>
    <row r="67" spans="1:10" x14ac:dyDescent="0.25" outlineLevel="2" collapsed="1">
      <c r="A67" s="7" t="s">
        <v>17</v>
      </c>
      <c r="B67" s="7" t="s">
        <v>20</v>
      </c>
      <c r="C67" s="7" t="s">
        <v>2</v>
      </c>
      <c r="D67" s="7"/>
      <c r="E67" s="7" t="s">
        <v>519</v>
      </c>
      <c r="F67" s="7" t="s">
        <v>17</v>
      </c>
      <c r="G67" s="7" t="s">
        <v>22</v>
      </c>
      <c r="H67" s="7" t="s">
        <v>2</v>
      </c>
      <c r="I67" s="7" t="s">
        <v>2</v>
      </c>
      <c r="J67" s="7" t="s">
        <v>593</v>
      </c>
    </row>
    <row r="68" spans="1:10" x14ac:dyDescent="0.25" outlineLevel="2" collapsed="1">
      <c r="A68" s="7" t="s">
        <v>15</v>
      </c>
      <c r="B68" s="7" t="s">
        <v>125</v>
      </c>
      <c r="C68" s="7" t="s">
        <v>2</v>
      </c>
      <c r="D68" s="7"/>
      <c r="E68" s="7" t="s">
        <v>555</v>
      </c>
      <c r="F68" s="7" t="s">
        <v>17</v>
      </c>
      <c r="G68" s="7" t="s">
        <v>1503</v>
      </c>
      <c r="H68" s="7" t="s">
        <v>2</v>
      </c>
      <c r="I68" s="7" t="s">
        <v>2</v>
      </c>
      <c r="J68" s="7" t="s">
        <v>595</v>
      </c>
    </row>
    <row r="69" spans="1:10" x14ac:dyDescent="0.25" outlineLevel="2" collapsed="1">
      <c r="A69" s="7" t="s">
        <v>15</v>
      </c>
      <c r="B69" s="7" t="s">
        <v>53</v>
      </c>
      <c r="C69" s="7" t="s">
        <v>2</v>
      </c>
      <c r="D69" s="7"/>
      <c r="E69" s="7" t="s">
        <v>596</v>
      </c>
      <c r="F69" s="7" t="s">
        <v>17</v>
      </c>
      <c r="G69" s="7">
        <v>1</v>
      </c>
      <c r="H69" s="7" t="s">
        <v>2</v>
      </c>
      <c r="I69" s="7" t="s">
        <v>2</v>
      </c>
      <c r="J69" s="7" t="s">
        <v>597</v>
      </c>
    </row>
    <row r="70" spans="1:10" x14ac:dyDescent="0.25" outlineLevel="2" collapsed="1">
      <c r="A70" s="7" t="s">
        <v>17</v>
      </c>
      <c r="B70" s="7" t="s">
        <v>20</v>
      </c>
      <c r="C70" s="7" t="s">
        <v>2</v>
      </c>
      <c r="D70" s="7"/>
      <c r="E70" s="7" t="s">
        <v>519</v>
      </c>
      <c r="F70" s="7" t="s">
        <v>17</v>
      </c>
      <c r="G70" s="7" t="s">
        <v>22</v>
      </c>
      <c r="H70" s="7" t="s">
        <v>2</v>
      </c>
      <c r="I70" s="7" t="s">
        <v>2</v>
      </c>
      <c r="J70" s="7" t="s">
        <v>598</v>
      </c>
    </row>
    <row r="71" spans="1:10" x14ac:dyDescent="0.25" outlineLevel="2" collapsed="1">
      <c r="A71" s="7" t="s">
        <v>15</v>
      </c>
      <c r="B71" s="7" t="s">
        <v>125</v>
      </c>
      <c r="C71" s="7" t="s">
        <v>2</v>
      </c>
      <c r="D71" s="7"/>
      <c r="E71" s="7" t="s">
        <v>555</v>
      </c>
      <c r="F71" s="7" t="s">
        <v>17</v>
      </c>
      <c r="G71" s="7" t="s">
        <v>1504</v>
      </c>
      <c r="H71" s="7" t="s">
        <v>2</v>
      </c>
      <c r="I71" s="7" t="s">
        <v>2</v>
      </c>
      <c r="J71" s="7" t="s">
        <v>600</v>
      </c>
    </row>
    <row r="72" spans="1:10" x14ac:dyDescent="0.25" outlineLevel="2" collapsed="1">
      <c r="A72" s="7" t="s">
        <v>15</v>
      </c>
      <c r="B72" s="7" t="s">
        <v>44</v>
      </c>
      <c r="C72" s="10" t="s">
        <v>601</v>
      </c>
      <c r="D72" s="7"/>
      <c r="E72" s="7" t="s">
        <v>231</v>
      </c>
      <c r="F72" s="7" t="s">
        <v>17</v>
      </c>
      <c r="G72" s="7" t="s">
        <v>251</v>
      </c>
      <c r="H72" s="7" t="s">
        <v>2</v>
      </c>
      <c r="I72" s="7" t="s">
        <v>2</v>
      </c>
      <c r="J72" s="7" t="s">
        <v>530</v>
      </c>
    </row>
    <row r="73" spans="1:10" x14ac:dyDescent="0.25" outlineLevel="2" collapsed="1">
      <c r="A73" s="8" t="s">
        <v>17</v>
      </c>
      <c r="B73" s="9" t="s">
        <v>602</v>
      </c>
      <c r="C73" s="8" t="s">
        <v>2</v>
      </c>
      <c r="D73" s="8">
        <f>EXACT(G72,"CWT, CWS")</f>
      </c>
      <c r="E73" s="8" t="s">
        <v>603</v>
      </c>
      <c r="F73" s="8" t="s">
        <v>17</v>
      </c>
      <c r="G73" s="8" t="s">
        <v>2</v>
      </c>
      <c r="H73" s="8" t="s">
        <v>2</v>
      </c>
      <c r="I73" s="8" t="s">
        <v>2</v>
      </c>
      <c r="J73" s="8" t="s">
        <v>604</v>
      </c>
    </row>
    <row r="74" spans="1:10" x14ac:dyDescent="0.25" outlineLevel="3" collapsed="1">
      <c r="A74" s="7" t="s">
        <v>17</v>
      </c>
      <c r="B74" s="7" t="s">
        <v>53</v>
      </c>
      <c r="C74" s="7" t="s">
        <v>2</v>
      </c>
      <c r="D74" s="7" t="s">
        <v>506</v>
      </c>
      <c r="E74" s="7" t="s">
        <v>605</v>
      </c>
      <c r="F74" s="7" t="s">
        <v>17</v>
      </c>
      <c r="G74" s="7">
        <v>1</v>
      </c>
      <c r="H74" s="7" t="s">
        <v>2</v>
      </c>
      <c r="I74" s="7" t="s">
        <v>2</v>
      </c>
      <c r="J74" s="7" t="s">
        <v>606</v>
      </c>
    </row>
    <row r="75" spans="1:10" x14ac:dyDescent="0.25" outlineLevel="2" collapsed="1">
      <c r="A75" s="8" t="s">
        <v>17</v>
      </c>
      <c r="B75" s="9" t="s">
        <v>607</v>
      </c>
      <c r="C75" s="8" t="s">
        <v>2</v>
      </c>
      <c r="D75" s="8">
        <f>EXACT(G72,"HWT, IWT")</f>
      </c>
      <c r="E75" s="8" t="s">
        <v>603</v>
      </c>
      <c r="F75" s="8" t="s">
        <v>17</v>
      </c>
      <c r="G75" s="8" t="s">
        <v>2</v>
      </c>
      <c r="H75" s="8" t="s">
        <v>2</v>
      </c>
      <c r="I75" s="8" t="s">
        <v>2</v>
      </c>
      <c r="J75" s="8" t="s">
        <v>608</v>
      </c>
    </row>
    <row r="76" spans="1:10" x14ac:dyDescent="0.25" outlineLevel="3" collapsed="1">
      <c r="A76" s="7" t="s">
        <v>15</v>
      </c>
      <c r="B76" s="7" t="s">
        <v>53</v>
      </c>
      <c r="C76" s="7" t="s">
        <v>2</v>
      </c>
      <c r="D76" s="7"/>
      <c r="E76" s="7" t="s">
        <v>609</v>
      </c>
      <c r="F76" s="7" t="s">
        <v>17</v>
      </c>
      <c r="G76" s="7">
        <v>1</v>
      </c>
      <c r="H76" s="7" t="s">
        <v>2</v>
      </c>
      <c r="I76" s="7" t="s">
        <v>2</v>
      </c>
      <c r="J76" s="7" t="s">
        <v>610</v>
      </c>
    </row>
    <row r="77" spans="1:10" x14ac:dyDescent="0.25" outlineLevel="3" collapsed="1">
      <c r="A77" s="7" t="s">
        <v>17</v>
      </c>
      <c r="B77" s="7" t="s">
        <v>20</v>
      </c>
      <c r="C77" s="7" t="s">
        <v>2</v>
      </c>
      <c r="D77" s="7"/>
      <c r="E77" s="7" t="s">
        <v>519</v>
      </c>
      <c r="F77" s="7" t="s">
        <v>17</v>
      </c>
      <c r="G77" s="7" t="s">
        <v>22</v>
      </c>
      <c r="H77" s="7" t="s">
        <v>2</v>
      </c>
      <c r="I77" s="7" t="s">
        <v>2</v>
      </c>
      <c r="J77" s="7" t="s">
        <v>520</v>
      </c>
    </row>
    <row r="78" spans="1:10" x14ac:dyDescent="0.25" outlineLevel="3" collapsed="1">
      <c r="A78" s="7" t="s">
        <v>15</v>
      </c>
      <c r="B78" s="7" t="s">
        <v>125</v>
      </c>
      <c r="C78" s="7" t="s">
        <v>2</v>
      </c>
      <c r="D78" s="7"/>
      <c r="E78" s="7" t="s">
        <v>555</v>
      </c>
      <c r="F78" s="7" t="s">
        <v>17</v>
      </c>
      <c r="G78" s="7" t="s">
        <v>1505</v>
      </c>
      <c r="H78" s="7" t="s">
        <v>2</v>
      </c>
      <c r="I78" s="7" t="s">
        <v>2</v>
      </c>
      <c r="J78" s="7" t="s">
        <v>579</v>
      </c>
    </row>
    <row r="79" spans="1:10" x14ac:dyDescent="0.25" outlineLevel="3" collapsed="1">
      <c r="A79" s="7" t="s">
        <v>17</v>
      </c>
      <c r="B79" s="7" t="s">
        <v>53</v>
      </c>
      <c r="C79" s="7" t="s">
        <v>2</v>
      </c>
      <c r="D79" s="7" t="s">
        <v>506</v>
      </c>
      <c r="E79" s="7" t="s">
        <v>605</v>
      </c>
      <c r="F79" s="7" t="s">
        <v>17</v>
      </c>
      <c r="G79" s="7">
        <v>1</v>
      </c>
      <c r="H79" s="7" t="s">
        <v>2</v>
      </c>
      <c r="I79" s="7" t="s">
        <v>2</v>
      </c>
      <c r="J79" s="7" t="s">
        <v>606</v>
      </c>
    </row>
    <row r="80" spans="1:10" x14ac:dyDescent="0.25" outlineLevel="1" collapsed="1">
      <c r="A80" s="7" t="s">
        <v>17</v>
      </c>
      <c r="B80" s="7" t="s">
        <v>53</v>
      </c>
      <c r="C80" s="7" t="s">
        <v>2</v>
      </c>
      <c r="D80" s="7" t="s">
        <v>506</v>
      </c>
      <c r="E80" s="7" t="s">
        <v>612</v>
      </c>
      <c r="F80" s="7" t="s">
        <v>17</v>
      </c>
      <c r="G80" s="7">
        <v>1</v>
      </c>
      <c r="H80" s="7" t="s">
        <v>2</v>
      </c>
      <c r="I80" s="7" t="s">
        <v>2</v>
      </c>
      <c r="J80" s="7" t="s">
        <v>613</v>
      </c>
    </row>
    <row r="81" spans="1:10" x14ac:dyDescent="0.25" outlineLevel="1" collapsed="1">
      <c r="A81" s="8" t="s">
        <v>15</v>
      </c>
      <c r="B81" s="9" t="s">
        <v>614</v>
      </c>
      <c r="C81" s="8" t="s">
        <v>2</v>
      </c>
      <c r="D81" s="8"/>
      <c r="E81" s="8" t="s">
        <v>614</v>
      </c>
      <c r="F81" s="8" t="s">
        <v>17</v>
      </c>
      <c r="G81" s="8" t="s">
        <v>2</v>
      </c>
      <c r="H81" s="8" t="s">
        <v>2</v>
      </c>
      <c r="I81" s="8" t="s">
        <v>2</v>
      </c>
      <c r="J81" s="8" t="s">
        <v>615</v>
      </c>
    </row>
    <row r="82" spans="1:10" x14ac:dyDescent="0.25" outlineLevel="2" collapsed="1">
      <c r="A82" s="7" t="s">
        <v>15</v>
      </c>
      <c r="B82" s="7" t="s">
        <v>53</v>
      </c>
      <c r="C82" s="7" t="s">
        <v>2</v>
      </c>
      <c r="D82" s="7"/>
      <c r="E82" s="7" t="s">
        <v>616</v>
      </c>
      <c r="F82" s="7" t="s">
        <v>17</v>
      </c>
      <c r="G82" s="7">
        <v>1</v>
      </c>
      <c r="H82" s="7" t="s">
        <v>2</v>
      </c>
      <c r="I82" s="7" t="s">
        <v>2</v>
      </c>
      <c r="J82" s="7" t="s">
        <v>617</v>
      </c>
    </row>
    <row r="83" spans="1:10" x14ac:dyDescent="0.25" outlineLevel="2" collapsed="1">
      <c r="A83" s="7" t="s">
        <v>17</v>
      </c>
      <c r="B83" s="7" t="s">
        <v>53</v>
      </c>
      <c r="C83" s="7" t="s">
        <v>2</v>
      </c>
      <c r="D83" s="7" t="s">
        <v>506</v>
      </c>
      <c r="E83" s="7" t="s">
        <v>618</v>
      </c>
      <c r="F83" s="7" t="s">
        <v>17</v>
      </c>
      <c r="G83" s="7">
        <v>1</v>
      </c>
      <c r="H83" s="7" t="s">
        <v>2</v>
      </c>
      <c r="I83" s="7" t="s">
        <v>2</v>
      </c>
      <c r="J83" s="7" t="s">
        <v>619</v>
      </c>
    </row>
    <row r="84" spans="1:10" x14ac:dyDescent="0.25" outlineLevel="1" collapsed="1">
      <c r="A84" s="7" t="s">
        <v>17</v>
      </c>
      <c r="B84" s="7" t="s">
        <v>53</v>
      </c>
      <c r="C84" s="7" t="s">
        <v>2</v>
      </c>
      <c r="D84" s="7" t="s">
        <v>506</v>
      </c>
      <c r="E84" s="7" t="s">
        <v>620</v>
      </c>
      <c r="F84" s="7" t="s">
        <v>17</v>
      </c>
      <c r="G84" s="7">
        <v>1</v>
      </c>
      <c r="H84" s="7" t="s">
        <v>2</v>
      </c>
      <c r="I84" s="7" t="s">
        <v>2</v>
      </c>
      <c r="J84" s="7" t="s">
        <v>621</v>
      </c>
    </row>
    <row r="85" spans="1:10" x14ac:dyDescent="0.25" outlineLevel="1" collapsed="1">
      <c r="A85" s="7" t="s">
        <v>17</v>
      </c>
      <c r="B85" s="7" t="s">
        <v>53</v>
      </c>
      <c r="C85" s="7" t="s">
        <v>2</v>
      </c>
      <c r="D85" s="7" t="s">
        <v>506</v>
      </c>
      <c r="E85" s="7" t="s">
        <v>622</v>
      </c>
      <c r="F85" s="7" t="s">
        <v>17</v>
      </c>
      <c r="G85" s="7">
        <v>1</v>
      </c>
      <c r="H85" s="7" t="s">
        <v>2</v>
      </c>
      <c r="I85" s="7" t="s">
        <v>2</v>
      </c>
      <c r="J85" s="7" t="s">
        <v>623</v>
      </c>
    </row>
    <row r="86" spans="1:10" x14ac:dyDescent="0.25" outlineLevel="1" collapsed="1">
      <c r="A86" s="7" t="s">
        <v>17</v>
      </c>
      <c r="B86" s="7" t="s">
        <v>53</v>
      </c>
      <c r="C86" s="7" t="s">
        <v>2</v>
      </c>
      <c r="D86" s="7" t="s">
        <v>506</v>
      </c>
      <c r="E86" s="7" t="s">
        <v>624</v>
      </c>
      <c r="F86" s="7" t="s">
        <v>17</v>
      </c>
      <c r="G86" s="7">
        <v>1</v>
      </c>
      <c r="H86" s="7" t="s">
        <v>2</v>
      </c>
      <c r="I86" s="7" t="s">
        <v>2</v>
      </c>
      <c r="J86" s="7" t="s">
        <v>625</v>
      </c>
    </row>
    <row r="87" spans="1:10" x14ac:dyDescent="0.25" outlineLevel="1" collapsed="1">
      <c r="A87" s="8" t="s">
        <v>15</v>
      </c>
      <c r="B87" s="9" t="s">
        <v>626</v>
      </c>
      <c r="C87" s="8" t="s">
        <v>2</v>
      </c>
      <c r="D87" s="8"/>
      <c r="E87" s="8" t="s">
        <v>626</v>
      </c>
      <c r="F87" s="8" t="s">
        <v>17</v>
      </c>
      <c r="G87" s="8" t="s">
        <v>2</v>
      </c>
      <c r="H87" s="8" t="s">
        <v>2</v>
      </c>
      <c r="I87" s="8" t="s">
        <v>2</v>
      </c>
      <c r="J87" s="8" t="s">
        <v>627</v>
      </c>
    </row>
    <row r="88" spans="1:10" x14ac:dyDescent="0.25" outlineLevel="2" collapsed="1">
      <c r="A88" s="8" t="s">
        <v>15</v>
      </c>
      <c r="B88" s="9" t="s">
        <v>628</v>
      </c>
      <c r="C88" s="8" t="s">
        <v>2</v>
      </c>
      <c r="D88" s="8"/>
      <c r="E88" s="8" t="s">
        <v>628</v>
      </c>
      <c r="F88" s="8" t="s">
        <v>15</v>
      </c>
      <c r="G88" s="8" t="s">
        <v>2</v>
      </c>
      <c r="H88" s="8" t="s">
        <v>2</v>
      </c>
      <c r="I88" s="8" t="s">
        <v>2</v>
      </c>
      <c r="J88" s="8" t="s">
        <v>629</v>
      </c>
    </row>
    <row r="89" spans="1:10" x14ac:dyDescent="0.25" outlineLevel="3" collapsed="1">
      <c r="A89" s="7" t="s">
        <v>15</v>
      </c>
      <c r="B89" s="7" t="s">
        <v>20</v>
      </c>
      <c r="C89" s="7" t="s">
        <v>2</v>
      </c>
      <c r="D89" s="7"/>
      <c r="E89" s="7" t="s">
        <v>630</v>
      </c>
      <c r="F89" s="7" t="s">
        <v>17</v>
      </c>
      <c r="G89" s="7" t="s">
        <v>22</v>
      </c>
      <c r="H89" s="7" t="s">
        <v>2</v>
      </c>
      <c r="I89" s="7" t="s">
        <v>2</v>
      </c>
      <c r="J89" s="7" t="s">
        <v>631</v>
      </c>
    </row>
    <row r="90" spans="1:10" x14ac:dyDescent="0.25" outlineLevel="3" collapsed="1">
      <c r="A90" s="7" t="s">
        <v>15</v>
      </c>
      <c r="B90" s="7" t="s">
        <v>53</v>
      </c>
      <c r="C90" s="7" t="s">
        <v>2</v>
      </c>
      <c r="D90" s="7"/>
      <c r="E90" s="7" t="s">
        <v>632</v>
      </c>
      <c r="F90" s="7" t="s">
        <v>17</v>
      </c>
      <c r="G90" s="7">
        <v>1</v>
      </c>
      <c r="H90" s="7" t="s">
        <v>2</v>
      </c>
      <c r="I90" s="7" t="s">
        <v>2</v>
      </c>
      <c r="J90" s="7" t="s">
        <v>633</v>
      </c>
    </row>
    <row r="91" spans="1:10" x14ac:dyDescent="0.25" outlineLevel="3" collapsed="1">
      <c r="A91" s="7" t="s">
        <v>15</v>
      </c>
      <c r="B91" s="7" t="s">
        <v>53</v>
      </c>
      <c r="C91" s="7" t="s">
        <v>2</v>
      </c>
      <c r="D91" s="7"/>
      <c r="E91" s="7" t="s">
        <v>634</v>
      </c>
      <c r="F91" s="7" t="s">
        <v>17</v>
      </c>
      <c r="G91" s="7">
        <v>1</v>
      </c>
      <c r="H91" s="7" t="s">
        <v>2</v>
      </c>
      <c r="I91" s="7" t="s">
        <v>2</v>
      </c>
      <c r="J91" s="7" t="s">
        <v>635</v>
      </c>
    </row>
    <row r="92" spans="1:10" x14ac:dyDescent="0.25" outlineLevel="3" collapsed="1">
      <c r="A92" s="7" t="s">
        <v>15</v>
      </c>
      <c r="B92" s="7" t="s">
        <v>53</v>
      </c>
      <c r="C92" s="7" t="s">
        <v>2</v>
      </c>
      <c r="D92" s="7"/>
      <c r="E92" s="7" t="s">
        <v>636</v>
      </c>
      <c r="F92" s="7" t="s">
        <v>17</v>
      </c>
      <c r="G92" s="7">
        <v>1</v>
      </c>
      <c r="H92" s="7" t="s">
        <v>2</v>
      </c>
      <c r="I92" s="7" t="s">
        <v>2</v>
      </c>
      <c r="J92" s="7" t="s">
        <v>637</v>
      </c>
    </row>
    <row r="93" spans="1:10" x14ac:dyDescent="0.25" outlineLevel="2" collapsed="1">
      <c r="A93" s="7" t="s">
        <v>17</v>
      </c>
      <c r="B93" s="7" t="s">
        <v>53</v>
      </c>
      <c r="C93" s="7" t="s">
        <v>2</v>
      </c>
      <c r="D93" s="7" t="s">
        <v>506</v>
      </c>
      <c r="E93" s="7" t="s">
        <v>628</v>
      </c>
      <c r="F93" s="7" t="s">
        <v>17</v>
      </c>
      <c r="G93" s="7">
        <v>1</v>
      </c>
      <c r="H93" s="7" t="s">
        <v>2</v>
      </c>
      <c r="I93" s="7" t="s">
        <v>2</v>
      </c>
      <c r="J93" s="7" t="s">
        <v>638</v>
      </c>
    </row>
    <row r="94" spans="1:10" x14ac:dyDescent="0.25" outlineLevel="2" collapsed="1">
      <c r="A94" s="8" t="s">
        <v>15</v>
      </c>
      <c r="B94" s="9" t="s">
        <v>639</v>
      </c>
      <c r="C94" s="8" t="s">
        <v>2</v>
      </c>
      <c r="D94" s="8"/>
      <c r="E94" s="8" t="s">
        <v>639</v>
      </c>
      <c r="F94" s="8" t="s">
        <v>15</v>
      </c>
      <c r="G94" s="8" t="s">
        <v>2</v>
      </c>
      <c r="H94" s="8" t="s">
        <v>2</v>
      </c>
      <c r="I94" s="8" t="s">
        <v>2</v>
      </c>
      <c r="J94" s="8" t="s">
        <v>640</v>
      </c>
    </row>
    <row r="95" spans="1:10" x14ac:dyDescent="0.25" outlineLevel="3" collapsed="1">
      <c r="A95" s="7" t="s">
        <v>15</v>
      </c>
      <c r="B95" s="7" t="s">
        <v>20</v>
      </c>
      <c r="C95" s="7" t="s">
        <v>2</v>
      </c>
      <c r="D95" s="7"/>
      <c r="E95" s="7" t="s">
        <v>641</v>
      </c>
      <c r="F95" s="7" t="s">
        <v>17</v>
      </c>
      <c r="G95" s="7" t="s">
        <v>22</v>
      </c>
      <c r="H95" s="7" t="s">
        <v>2</v>
      </c>
      <c r="I95" s="7" t="s">
        <v>2</v>
      </c>
      <c r="J95" s="7" t="s">
        <v>642</v>
      </c>
    </row>
    <row r="96" spans="1:10" x14ac:dyDescent="0.25" outlineLevel="3" collapsed="1">
      <c r="A96" s="7" t="s">
        <v>15</v>
      </c>
      <c r="B96" s="7" t="s">
        <v>53</v>
      </c>
      <c r="C96" s="7" t="s">
        <v>2</v>
      </c>
      <c r="D96" s="7"/>
      <c r="E96" s="7" t="s">
        <v>643</v>
      </c>
      <c r="F96" s="7" t="s">
        <v>17</v>
      </c>
      <c r="G96" s="7">
        <v>1</v>
      </c>
      <c r="H96" s="7" t="s">
        <v>2</v>
      </c>
      <c r="I96" s="7" t="s">
        <v>2</v>
      </c>
      <c r="J96" s="7" t="s">
        <v>644</v>
      </c>
    </row>
    <row r="97" spans="1:10" x14ac:dyDescent="0.25" outlineLevel="3" collapsed="1">
      <c r="A97" s="7" t="s">
        <v>15</v>
      </c>
      <c r="B97" s="7" t="s">
        <v>53</v>
      </c>
      <c r="C97" s="7" t="s">
        <v>2</v>
      </c>
      <c r="D97" s="7"/>
      <c r="E97" s="7" t="s">
        <v>645</v>
      </c>
      <c r="F97" s="7" t="s">
        <v>17</v>
      </c>
      <c r="G97" s="7">
        <v>1</v>
      </c>
      <c r="H97" s="7" t="s">
        <v>2</v>
      </c>
      <c r="I97" s="7" t="s">
        <v>2</v>
      </c>
      <c r="J97" s="7" t="s">
        <v>646</v>
      </c>
    </row>
    <row r="98" spans="1:10" x14ac:dyDescent="0.25" outlineLevel="3" collapsed="1">
      <c r="A98" s="7" t="s">
        <v>15</v>
      </c>
      <c r="B98" s="7" t="s">
        <v>53</v>
      </c>
      <c r="C98" s="7" t="s">
        <v>2</v>
      </c>
      <c r="D98" s="7"/>
      <c r="E98" s="7" t="s">
        <v>647</v>
      </c>
      <c r="F98" s="7" t="s">
        <v>17</v>
      </c>
      <c r="G98" s="7">
        <v>1</v>
      </c>
      <c r="H98" s="7" t="s">
        <v>2</v>
      </c>
      <c r="I98" s="7" t="s">
        <v>2</v>
      </c>
      <c r="J98" s="7" t="s">
        <v>648</v>
      </c>
    </row>
    <row r="99" spans="1:10" x14ac:dyDescent="0.25" outlineLevel="2" collapsed="1">
      <c r="A99" s="7" t="s">
        <v>17</v>
      </c>
      <c r="B99" s="7" t="s">
        <v>53</v>
      </c>
      <c r="C99" s="7" t="s">
        <v>2</v>
      </c>
      <c r="D99" s="7" t="s">
        <v>506</v>
      </c>
      <c r="E99" s="7" t="s">
        <v>649</v>
      </c>
      <c r="F99" s="7" t="s">
        <v>17</v>
      </c>
      <c r="G99" s="7">
        <v>1</v>
      </c>
      <c r="H99" s="7" t="s">
        <v>2</v>
      </c>
      <c r="I99" s="7" t="s">
        <v>2</v>
      </c>
      <c r="J99" s="7" t="s">
        <v>650</v>
      </c>
    </row>
    <row r="100" spans="1:10" x14ac:dyDescent="0.25" outlineLevel="2" collapsed="1">
      <c r="A100" s="7" t="s">
        <v>17</v>
      </c>
      <c r="B100" s="7" t="s">
        <v>53</v>
      </c>
      <c r="C100" s="7" t="s">
        <v>2</v>
      </c>
      <c r="D100" s="7" t="s">
        <v>506</v>
      </c>
      <c r="E100" s="7" t="s">
        <v>651</v>
      </c>
      <c r="F100" s="7" t="s">
        <v>17</v>
      </c>
      <c r="G100" s="7">
        <v>1</v>
      </c>
      <c r="H100" s="7" t="s">
        <v>2</v>
      </c>
      <c r="I100" s="7" t="s">
        <v>2</v>
      </c>
      <c r="J100" s="7" t="s">
        <v>652</v>
      </c>
    </row>
    <row r="101" spans="1:10" x14ac:dyDescent="0.25" outlineLevel="2" collapsed="1">
      <c r="A101" s="7" t="s">
        <v>17</v>
      </c>
      <c r="B101" s="7" t="s">
        <v>20</v>
      </c>
      <c r="C101" s="7" t="s">
        <v>2</v>
      </c>
      <c r="D101" s="7"/>
      <c r="E101" s="7" t="s">
        <v>519</v>
      </c>
      <c r="F101" s="7" t="s">
        <v>17</v>
      </c>
      <c r="G101" s="7" t="s">
        <v>22</v>
      </c>
      <c r="H101" s="7" t="s">
        <v>2</v>
      </c>
      <c r="I101" s="7" t="s">
        <v>2</v>
      </c>
      <c r="J101" s="7" t="s">
        <v>520</v>
      </c>
    </row>
    <row r="102" spans="1:10" x14ac:dyDescent="0.25" outlineLevel="2" collapsed="1">
      <c r="A102" s="7" t="s">
        <v>15</v>
      </c>
      <c r="B102" s="7" t="s">
        <v>125</v>
      </c>
      <c r="C102" s="7" t="s">
        <v>2</v>
      </c>
      <c r="D102" s="7"/>
      <c r="E102" s="7" t="s">
        <v>555</v>
      </c>
      <c r="F102" s="7" t="s">
        <v>17</v>
      </c>
      <c r="G102" s="7" t="s">
        <v>1506</v>
      </c>
      <c r="H102" s="7" t="s">
        <v>2</v>
      </c>
      <c r="I102" s="7" t="s">
        <v>2</v>
      </c>
      <c r="J102" s="7" t="s">
        <v>579</v>
      </c>
    </row>
    <row r="103" spans="1:10" x14ac:dyDescent="0.25" outlineLevel="1" collapsed="1">
      <c r="A103" s="8" t="s">
        <v>15</v>
      </c>
      <c r="B103" s="9" t="s">
        <v>654</v>
      </c>
      <c r="C103" s="8" t="s">
        <v>2</v>
      </c>
      <c r="D103" s="8"/>
      <c r="E103" s="8" t="s">
        <v>655</v>
      </c>
      <c r="F103" s="8" t="s">
        <v>17</v>
      </c>
      <c r="G103" s="8" t="s">
        <v>2</v>
      </c>
      <c r="H103" s="8" t="s">
        <v>2</v>
      </c>
      <c r="I103" s="8" t="s">
        <v>2</v>
      </c>
      <c r="J103" s="8" t="s">
        <v>656</v>
      </c>
    </row>
    <row r="104" spans="1:10" x14ac:dyDescent="0.25" outlineLevel="2" collapsed="1">
      <c r="A104" s="8" t="s">
        <v>15</v>
      </c>
      <c r="B104" s="9" t="s">
        <v>657</v>
      </c>
      <c r="C104" s="8" t="s">
        <v>2</v>
      </c>
      <c r="D104" s="8"/>
      <c r="E104" s="8" t="s">
        <v>657</v>
      </c>
      <c r="F104" s="8" t="s">
        <v>17</v>
      </c>
      <c r="G104" s="8" t="s">
        <v>2</v>
      </c>
      <c r="H104" s="8" t="s">
        <v>2</v>
      </c>
      <c r="I104" s="8" t="s">
        <v>2</v>
      </c>
      <c r="J104" s="8" t="s">
        <v>658</v>
      </c>
    </row>
    <row r="105" spans="1:10" x14ac:dyDescent="0.25" outlineLevel="3" collapsed="1">
      <c r="A105" s="7" t="s">
        <v>15</v>
      </c>
      <c r="B105" s="7" t="s">
        <v>44</v>
      </c>
      <c r="C105" s="10" t="s">
        <v>659</v>
      </c>
      <c r="D105" s="7"/>
      <c r="E105" s="7" t="s">
        <v>660</v>
      </c>
      <c r="F105" s="7" t="s">
        <v>17</v>
      </c>
      <c r="G105" s="7" t="s">
        <v>251</v>
      </c>
      <c r="H105" s="7" t="s">
        <v>2</v>
      </c>
      <c r="I105" s="7" t="s">
        <v>2</v>
      </c>
      <c r="J105" s="7" t="s">
        <v>530</v>
      </c>
    </row>
    <row r="106" spans="1:10" x14ac:dyDescent="0.25" outlineLevel="3" collapsed="1">
      <c r="A106" s="8" t="s">
        <v>15</v>
      </c>
      <c r="B106" s="9" t="s">
        <v>661</v>
      </c>
      <c r="C106" s="8" t="s">
        <v>2</v>
      </c>
      <c r="D106" s="8"/>
      <c r="E106" s="8" t="s">
        <v>662</v>
      </c>
      <c r="F106" s="8" t="s">
        <v>15</v>
      </c>
      <c r="G106" s="8" t="s">
        <v>2</v>
      </c>
      <c r="H106" s="8" t="s">
        <v>2</v>
      </c>
      <c r="I106" s="8" t="s">
        <v>2</v>
      </c>
      <c r="J106" s="8" t="s">
        <v>663</v>
      </c>
    </row>
    <row r="107" spans="1:10" x14ac:dyDescent="0.25" outlineLevel="4" collapsed="1">
      <c r="A107" s="7" t="s">
        <v>15</v>
      </c>
      <c r="B107" s="7" t="s">
        <v>20</v>
      </c>
      <c r="C107" s="7" t="s">
        <v>2</v>
      </c>
      <c r="D107" s="7"/>
      <c r="E107" s="7" t="s">
        <v>664</v>
      </c>
      <c r="F107" s="7" t="s">
        <v>17</v>
      </c>
      <c r="G107" s="7" t="s">
        <v>22</v>
      </c>
      <c r="H107" s="7" t="s">
        <v>2</v>
      </c>
      <c r="I107" s="7" t="s">
        <v>2</v>
      </c>
      <c r="J107" s="7" t="s">
        <v>665</v>
      </c>
    </row>
    <row r="108" spans="1:10" x14ac:dyDescent="0.25" outlineLevel="4" collapsed="1">
      <c r="A108" s="7" t="s">
        <v>15</v>
      </c>
      <c r="B108" s="7" t="s">
        <v>53</v>
      </c>
      <c r="C108" s="7" t="s">
        <v>2</v>
      </c>
      <c r="D108" s="7"/>
      <c r="E108" s="7" t="s">
        <v>666</v>
      </c>
      <c r="F108" s="7" t="s">
        <v>17</v>
      </c>
      <c r="G108" s="7">
        <v>1</v>
      </c>
      <c r="H108" s="7" t="s">
        <v>2</v>
      </c>
      <c r="I108" s="7" t="s">
        <v>2</v>
      </c>
      <c r="J108" s="7" t="s">
        <v>667</v>
      </c>
    </row>
    <row r="109" spans="1:10" x14ac:dyDescent="0.25" outlineLevel="4" collapsed="1">
      <c r="A109" s="7" t="s">
        <v>15</v>
      </c>
      <c r="B109" s="7" t="s">
        <v>194</v>
      </c>
      <c r="C109" s="7" t="s">
        <v>2</v>
      </c>
      <c r="D109" s="7"/>
      <c r="E109" s="7" t="s">
        <v>668</v>
      </c>
      <c r="F109" s="7" t="s">
        <v>17</v>
      </c>
      <c r="G109" s="7">
        <v>1</v>
      </c>
      <c r="H109" s="7" t="s">
        <v>2</v>
      </c>
      <c r="I109" s="7" t="s">
        <v>2</v>
      </c>
      <c r="J109" s="7" t="s">
        <v>669</v>
      </c>
    </row>
    <row r="110" spans="1:10" x14ac:dyDescent="0.25" outlineLevel="3" collapsed="1">
      <c r="A110" s="7" t="s">
        <v>17</v>
      </c>
      <c r="B110" s="7" t="s">
        <v>20</v>
      </c>
      <c r="C110" s="7" t="s">
        <v>2</v>
      </c>
      <c r="D110" s="7"/>
      <c r="E110" s="7" t="s">
        <v>519</v>
      </c>
      <c r="F110" s="7" t="s">
        <v>17</v>
      </c>
      <c r="G110" s="7" t="s">
        <v>22</v>
      </c>
      <c r="H110" s="7" t="s">
        <v>2</v>
      </c>
      <c r="I110" s="7" t="s">
        <v>2</v>
      </c>
      <c r="J110" s="7" t="s">
        <v>520</v>
      </c>
    </row>
    <row r="111" spans="1:10" x14ac:dyDescent="0.25" outlineLevel="3" collapsed="1">
      <c r="A111" s="7" t="s">
        <v>15</v>
      </c>
      <c r="B111" s="7" t="s">
        <v>125</v>
      </c>
      <c r="C111" s="7" t="s">
        <v>2</v>
      </c>
      <c r="D111" s="7"/>
      <c r="E111" s="7" t="s">
        <v>555</v>
      </c>
      <c r="F111" s="7" t="s">
        <v>17</v>
      </c>
      <c r="G111" s="7" t="s">
        <v>1507</v>
      </c>
      <c r="H111" s="7" t="s">
        <v>2</v>
      </c>
      <c r="I111" s="7" t="s">
        <v>2</v>
      </c>
      <c r="J111" s="7" t="s">
        <v>579</v>
      </c>
    </row>
    <row r="112" spans="1:10" x14ac:dyDescent="0.25" outlineLevel="3" collapsed="1">
      <c r="A112" s="7" t="s">
        <v>17</v>
      </c>
      <c r="B112" s="7" t="s">
        <v>53</v>
      </c>
      <c r="C112" s="7" t="s">
        <v>2</v>
      </c>
      <c r="D112" s="7" t="s">
        <v>506</v>
      </c>
      <c r="E112" s="7" t="s">
        <v>671</v>
      </c>
      <c r="F112" s="7" t="s">
        <v>17</v>
      </c>
      <c r="G112" s="7">
        <v>1</v>
      </c>
      <c r="H112" s="7" t="s">
        <v>2</v>
      </c>
      <c r="I112" s="7" t="s">
        <v>2</v>
      </c>
      <c r="J112" s="7" t="s">
        <v>672</v>
      </c>
    </row>
    <row r="113" spans="1:10" x14ac:dyDescent="0.25" outlineLevel="2" collapsed="1">
      <c r="A113" s="8" t="s">
        <v>15</v>
      </c>
      <c r="B113" s="9" t="s">
        <v>673</v>
      </c>
      <c r="C113" s="8" t="s">
        <v>2</v>
      </c>
      <c r="D113" s="8"/>
      <c r="E113" s="8" t="s">
        <v>673</v>
      </c>
      <c r="F113" s="8" t="s">
        <v>17</v>
      </c>
      <c r="G113" s="8" t="s">
        <v>2</v>
      </c>
      <c r="H113" s="8" t="s">
        <v>2</v>
      </c>
      <c r="I113" s="8" t="s">
        <v>2</v>
      </c>
      <c r="J113" s="8" t="s">
        <v>674</v>
      </c>
    </row>
    <row r="114" spans="1:10" x14ac:dyDescent="0.25" outlineLevel="3" collapsed="1">
      <c r="A114" s="7" t="s">
        <v>15</v>
      </c>
      <c r="B114" s="7" t="s">
        <v>44</v>
      </c>
      <c r="C114" s="10" t="s">
        <v>675</v>
      </c>
      <c r="D114" s="7"/>
      <c r="E114" s="7" t="s">
        <v>676</v>
      </c>
      <c r="F114" s="7" t="s">
        <v>17</v>
      </c>
      <c r="G114" s="7" t="s">
        <v>677</v>
      </c>
      <c r="H114" s="7" t="s">
        <v>2</v>
      </c>
      <c r="I114" s="7" t="s">
        <v>2</v>
      </c>
      <c r="J114" s="7" t="s">
        <v>678</v>
      </c>
    </row>
    <row r="115" spans="1:10" x14ac:dyDescent="0.25" outlineLevel="3" collapsed="1">
      <c r="A115" s="8" t="s">
        <v>17</v>
      </c>
      <c r="B115" s="9" t="s">
        <v>679</v>
      </c>
      <c r="C115" s="8" t="s">
        <v>2</v>
      </c>
      <c r="D115" s="8">
        <f>EXACT(G114,"Option 1 - Default 2% deduction")</f>
      </c>
      <c r="E115" s="8" t="s">
        <v>680</v>
      </c>
      <c r="F115" s="8" t="s">
        <v>17</v>
      </c>
      <c r="G115" s="8" t="s">
        <v>2</v>
      </c>
      <c r="H115" s="8" t="s">
        <v>2</v>
      </c>
      <c r="I115" s="8" t="s">
        <v>2</v>
      </c>
      <c r="J115" s="8" t="s">
        <v>681</v>
      </c>
    </row>
    <row r="116" spans="1:10" x14ac:dyDescent="0.25" outlineLevel="4" collapsed="1">
      <c r="A116" s="7" t="s">
        <v>17</v>
      </c>
      <c r="B116" s="7" t="s">
        <v>53</v>
      </c>
      <c r="C116" s="7" t="s">
        <v>2</v>
      </c>
      <c r="D116" s="7" t="s">
        <v>506</v>
      </c>
      <c r="E116" s="7" t="s">
        <v>682</v>
      </c>
      <c r="F116" s="7" t="s">
        <v>17</v>
      </c>
      <c r="G116" s="7">
        <v>1</v>
      </c>
      <c r="H116" s="7" t="s">
        <v>2</v>
      </c>
      <c r="I116" s="7" t="s">
        <v>2</v>
      </c>
      <c r="J116" s="7" t="s">
        <v>683</v>
      </c>
    </row>
    <row r="117" spans="1:10" x14ac:dyDescent="0.25" outlineLevel="4" collapsed="1">
      <c r="A117" s="7" t="s">
        <v>17</v>
      </c>
      <c r="B117" s="7" t="s">
        <v>20</v>
      </c>
      <c r="C117" s="7" t="s">
        <v>2</v>
      </c>
      <c r="D117" s="7"/>
      <c r="E117" s="7" t="s">
        <v>519</v>
      </c>
      <c r="F117" s="7" t="s">
        <v>17</v>
      </c>
      <c r="G117" s="7" t="s">
        <v>22</v>
      </c>
      <c r="H117" s="7" t="s">
        <v>2</v>
      </c>
      <c r="I117" s="7" t="s">
        <v>2</v>
      </c>
      <c r="J117" s="7" t="s">
        <v>684</v>
      </c>
    </row>
    <row r="118" spans="1:10" x14ac:dyDescent="0.25" outlineLevel="3" collapsed="1">
      <c r="A118" s="8" t="s">
        <v>17</v>
      </c>
      <c r="B118" s="9" t="s">
        <v>685</v>
      </c>
      <c r="C118" s="8" t="s">
        <v>2</v>
      </c>
      <c r="D118" s="8">
        <f>EXACT(G114,"Option 3 - Detailed assessment")</f>
      </c>
      <c r="E118" s="8" t="s">
        <v>680</v>
      </c>
      <c r="F118" s="8" t="s">
        <v>17</v>
      </c>
      <c r="G118" s="8" t="s">
        <v>2</v>
      </c>
      <c r="H118" s="8" t="s">
        <v>2</v>
      </c>
      <c r="I118" s="8" t="s">
        <v>2</v>
      </c>
      <c r="J118" s="8" t="s">
        <v>686</v>
      </c>
    </row>
    <row r="119" spans="1:10" x14ac:dyDescent="0.25" outlineLevel="4" collapsed="1">
      <c r="A119" s="8" t="s">
        <v>15</v>
      </c>
      <c r="B119" s="9" t="s">
        <v>687</v>
      </c>
      <c r="C119" s="8" t="s">
        <v>2</v>
      </c>
      <c r="D119" s="8"/>
      <c r="E119" s="8" t="s">
        <v>688</v>
      </c>
      <c r="F119" s="8" t="s">
        <v>15</v>
      </c>
      <c r="G119" s="8" t="s">
        <v>2</v>
      </c>
      <c r="H119" s="8" t="s">
        <v>2</v>
      </c>
      <c r="I119" s="8" t="s">
        <v>2</v>
      </c>
      <c r="J119" s="8" t="s">
        <v>689</v>
      </c>
    </row>
    <row r="120" spans="1:10" x14ac:dyDescent="0.25" outlineLevel="5" collapsed="1">
      <c r="A120" s="7" t="s">
        <v>15</v>
      </c>
      <c r="B120" s="7" t="s">
        <v>20</v>
      </c>
      <c r="C120" s="7" t="s">
        <v>2</v>
      </c>
      <c r="D120" s="7"/>
      <c r="E120" s="7" t="s">
        <v>690</v>
      </c>
      <c r="F120" s="7" t="s">
        <v>17</v>
      </c>
      <c r="G120" s="7" t="s">
        <v>22</v>
      </c>
      <c r="H120" s="7" t="s">
        <v>2</v>
      </c>
      <c r="I120" s="7" t="s">
        <v>2</v>
      </c>
      <c r="J120" s="7" t="s">
        <v>691</v>
      </c>
    </row>
    <row r="121" spans="1:10" x14ac:dyDescent="0.25" outlineLevel="5" collapsed="1">
      <c r="A121" s="7" t="s">
        <v>15</v>
      </c>
      <c r="B121" s="7" t="s">
        <v>20</v>
      </c>
      <c r="C121" s="7" t="s">
        <v>2</v>
      </c>
      <c r="D121" s="7"/>
      <c r="E121" s="7" t="s">
        <v>692</v>
      </c>
      <c r="F121" s="7" t="s">
        <v>17</v>
      </c>
      <c r="G121" s="7" t="s">
        <v>22</v>
      </c>
      <c r="H121" s="7" t="s">
        <v>2</v>
      </c>
      <c r="I121" s="7" t="s">
        <v>2</v>
      </c>
      <c r="J121" s="7" t="s">
        <v>693</v>
      </c>
    </row>
    <row r="122" spans="1:10" x14ac:dyDescent="0.25" outlineLevel="5" collapsed="1">
      <c r="A122" s="7" t="s">
        <v>15</v>
      </c>
      <c r="B122" s="7" t="s">
        <v>125</v>
      </c>
      <c r="C122" s="7" t="s">
        <v>2</v>
      </c>
      <c r="D122" s="7"/>
      <c r="E122" s="7" t="s">
        <v>694</v>
      </c>
      <c r="F122" s="7" t="s">
        <v>17</v>
      </c>
      <c r="G122" s="7" t="s">
        <v>1508</v>
      </c>
      <c r="H122" s="7" t="s">
        <v>2</v>
      </c>
      <c r="I122" s="7" t="s">
        <v>2</v>
      </c>
      <c r="J122" s="7" t="s">
        <v>696</v>
      </c>
    </row>
    <row r="123" spans="1:10" x14ac:dyDescent="0.25" outlineLevel="5" collapsed="1">
      <c r="A123" s="7" t="s">
        <v>15</v>
      </c>
      <c r="B123" s="7" t="s">
        <v>47</v>
      </c>
      <c r="C123" s="7" t="s">
        <v>2</v>
      </c>
      <c r="D123" s="7"/>
      <c r="E123" s="7" t="s">
        <v>697</v>
      </c>
      <c r="F123" s="7" t="s">
        <v>17</v>
      </c>
      <c r="G123" s="7" t="b">
        <v>1</v>
      </c>
      <c r="H123" s="7" t="s">
        <v>2</v>
      </c>
      <c r="I123" s="7" t="s">
        <v>2</v>
      </c>
      <c r="J123" s="7" t="s">
        <v>698</v>
      </c>
    </row>
    <row r="124" spans="1:10" x14ac:dyDescent="0.25" outlineLevel="5" collapsed="1">
      <c r="A124" s="7" t="s">
        <v>17</v>
      </c>
      <c r="B124" s="7" t="s">
        <v>20</v>
      </c>
      <c r="C124" s="7" t="s">
        <v>2</v>
      </c>
      <c r="D124" s="7">
        <f>EXACT(G123,true)</f>
      </c>
      <c r="E124" s="7" t="s">
        <v>699</v>
      </c>
      <c r="F124" s="7" t="s">
        <v>17</v>
      </c>
      <c r="G124" s="7" t="s">
        <v>22</v>
      </c>
      <c r="H124" s="7" t="s">
        <v>2</v>
      </c>
      <c r="I124" s="7" t="s">
        <v>2</v>
      </c>
      <c r="J124" s="7" t="s">
        <v>700</v>
      </c>
    </row>
    <row r="125" spans="1:10" x14ac:dyDescent="0.25" outlineLevel="5" collapsed="1">
      <c r="A125" s="7" t="s">
        <v>17</v>
      </c>
      <c r="B125" s="7" t="s">
        <v>53</v>
      </c>
      <c r="C125" s="7" t="s">
        <v>2</v>
      </c>
      <c r="D125" s="7">
        <f>EXACT(G123,false)</f>
      </c>
      <c r="E125" s="7" t="s">
        <v>655</v>
      </c>
      <c r="F125" s="7" t="s">
        <v>17</v>
      </c>
      <c r="G125" s="7">
        <v>1</v>
      </c>
      <c r="H125" s="7" t="s">
        <v>2</v>
      </c>
      <c r="I125" s="7" t="s">
        <v>2</v>
      </c>
      <c r="J125" s="7" t="s">
        <v>656</v>
      </c>
    </row>
    <row r="126" spans="1:10" x14ac:dyDescent="0.25" outlineLevel="4" collapsed="1">
      <c r="A126" s="7" t="s">
        <v>17</v>
      </c>
      <c r="B126" s="7" t="s">
        <v>53</v>
      </c>
      <c r="C126" s="7" t="s">
        <v>2</v>
      </c>
      <c r="D126" s="7" t="s">
        <v>506</v>
      </c>
      <c r="E126" s="7" t="s">
        <v>701</v>
      </c>
      <c r="F126" s="7" t="s">
        <v>17</v>
      </c>
      <c r="G126" s="7">
        <v>1</v>
      </c>
      <c r="H126" s="7" t="s">
        <v>2</v>
      </c>
      <c r="I126" s="7" t="s">
        <v>2</v>
      </c>
      <c r="J126" s="7" t="s">
        <v>683</v>
      </c>
    </row>
    <row r="127" spans="1:10" x14ac:dyDescent="0.25" outlineLevel="2" collapsed="1">
      <c r="A127" s="7" t="s">
        <v>17</v>
      </c>
      <c r="B127" s="7" t="s">
        <v>53</v>
      </c>
      <c r="C127" s="7" t="s">
        <v>2</v>
      </c>
      <c r="D127" s="7" t="s">
        <v>506</v>
      </c>
      <c r="E127" s="7" t="s">
        <v>702</v>
      </c>
      <c r="F127" s="7" t="s">
        <v>17</v>
      </c>
      <c r="G127" s="7">
        <v>1</v>
      </c>
      <c r="H127" s="7" t="s">
        <v>2</v>
      </c>
      <c r="I127" s="7" t="s">
        <v>2</v>
      </c>
      <c r="J127" s="7" t="s">
        <v>656</v>
      </c>
    </row>
    <row r="128" spans="1:10" x14ac:dyDescent="0.25">
      <c r="A128" s="5" t="s">
        <v>17</v>
      </c>
      <c r="B128" s="5" t="s">
        <v>53</v>
      </c>
      <c r="C128" s="5" t="s">
        <v>2</v>
      </c>
      <c r="D128" s="5" t="s">
        <v>506</v>
      </c>
      <c r="E128" s="5" t="s">
        <v>703</v>
      </c>
      <c r="F128" s="5" t="s">
        <v>17</v>
      </c>
      <c r="G128" s="5">
        <v>1</v>
      </c>
      <c r="H128" s="5" t="s">
        <v>2</v>
      </c>
      <c r="I128" s="5" t="s">
        <v>2</v>
      </c>
      <c r="J128" s="5" t="s">
        <v>704</v>
      </c>
    </row>
    <row r="129" spans="1:10" x14ac:dyDescent="0.25">
      <c r="A129" s="5" t="s">
        <v>17</v>
      </c>
      <c r="B129" s="5" t="s">
        <v>53</v>
      </c>
      <c r="C129" s="5" t="s">
        <v>2</v>
      </c>
      <c r="D129" s="5" t="s">
        <v>506</v>
      </c>
      <c r="E129" s="5" t="s">
        <v>705</v>
      </c>
      <c r="F129" s="5" t="s">
        <v>17</v>
      </c>
      <c r="G129" s="5">
        <v>1</v>
      </c>
      <c r="H129" s="5" t="s">
        <v>2</v>
      </c>
      <c r="I129" s="5" t="s">
        <v>2</v>
      </c>
      <c r="J129" s="5" t="s">
        <v>706</v>
      </c>
    </row>
    <row r="130" spans="1:10" x14ac:dyDescent="0.25">
      <c r="A130" s="5" t="s">
        <v>17</v>
      </c>
      <c r="B130" s="5" t="s">
        <v>53</v>
      </c>
      <c r="C130" s="5" t="s">
        <v>2</v>
      </c>
      <c r="D130" s="5" t="s">
        <v>506</v>
      </c>
      <c r="E130" s="5" t="s">
        <v>707</v>
      </c>
      <c r="F130" s="5" t="s">
        <v>17</v>
      </c>
      <c r="G130" s="5">
        <v>1</v>
      </c>
      <c r="H130" s="5" t="s">
        <v>2</v>
      </c>
      <c r="I130" s="5" t="s">
        <v>2</v>
      </c>
      <c r="J130" s="5" t="s">
        <v>708</v>
      </c>
    </row>
    <row r="131" spans="1:10" x14ac:dyDescent="0.25">
      <c r="A131" s="5" t="s">
        <v>17</v>
      </c>
      <c r="B131" s="5" t="s">
        <v>53</v>
      </c>
      <c r="C131" s="5" t="s">
        <v>2</v>
      </c>
      <c r="D131" s="5" t="s">
        <v>506</v>
      </c>
      <c r="E131" s="5" t="s">
        <v>709</v>
      </c>
      <c r="F131" s="5" t="s">
        <v>17</v>
      </c>
      <c r="G131" s="5">
        <v>1</v>
      </c>
      <c r="H131" s="5" t="s">
        <v>2</v>
      </c>
      <c r="I131" s="5" t="s">
        <v>2</v>
      </c>
      <c r="J131" s="5" t="s">
        <v>710</v>
      </c>
    </row>
  </sheetData>
  <mergeCells count="3">
    <mergeCell ref="A1:J1"/>
    <mergeCell ref="B2:J2"/>
    <mergeCell ref="B3:J3"/>
  </mergeCells>
  <dataValidations count="4">
    <dataValidation type="list" allowBlank="1" sqref="G105:I105">
      <formula1>'Enums'!C2759:C2760</formula1>
    </dataValidation>
    <dataValidation type="list" allowBlank="1" sqref="G114:I114">
      <formula1>'Enums'!C2761:C2762</formula1>
    </dataValidation>
    <dataValidation type="list" allowBlank="1" sqref="G24:I24">
      <formula1>'Enums'!C2751:C2752</formula1>
    </dataValidation>
    <dataValidation type="list" allowBlank="1" sqref="G72:I72">
      <formula1>'Enums'!C2753:C2754</formula1>
    </dataValidation>
  </dataValidations>
  <hyperlinks>
    <hyperlink ref="B9" r:id="rId1" location="#'Location Based Details'!A1"/>
    <hyperlink ref="B11" r:id="rId2" location="#'Stove Details Unit Schema'!A1"/>
    <hyperlink ref="B23" r:id="rId3" location="#'Unadjusted Quantity of Safe Dr'!A1"/>
    <hyperlink ref="B26" r:id="rId4" location="#'Unadjusted Quantity of Safe 2'!A1"/>
    <hyperlink ref="B29" r:id="rId5" location="#'Project Water Supply Premis 2'!A1"/>
    <hyperlink ref="B32" r:id="rId6" location="#'Project Water Supply Premis 3'!A1"/>
    <hyperlink ref="B43" r:id="rId7" location="#'Unadjusted Quantity of Safe 3'!A1"/>
    <hyperlink ref="B44" r:id="rId8" location="#'Project Water Supply Premises'!A1"/>
    <hyperlink ref="B47" r:id="rId9" location="#'Project Water Supply Premis 4'!A1"/>
    <hyperlink ref="B60" r:id="rId10" location="#'Unadjusted Baseline Emission'!A1"/>
    <hyperlink ref="B65" r:id="rId11" location="#'Adjustment for behavior and Co'!A1"/>
    <hyperlink ref="B73" r:id="rId12" location="#'Adjusted quantity of safe drin'!A1"/>
    <hyperlink ref="B75" r:id="rId13" location="#'Adjusted quantity of safe d 2'!A1"/>
    <hyperlink ref="B81" r:id="rId14" location="#'Adjustment for ambition'!A1"/>
    <hyperlink ref="B87" r:id="rId15" location="#'Activity Emission'!A1"/>
    <hyperlink ref="B88" r:id="rId16" location="#'Emission by fuel'!A1"/>
    <hyperlink ref="B94" r:id="rId17" location="#'Emission by Electricity'!A1"/>
    <hyperlink ref="B103" r:id="rId18" location="#'Leakage Emission Calculation'!A1"/>
    <hyperlink ref="B104" r:id="rId19" location="#'Embodied Emissions'!A1"/>
    <hyperlink ref="B106" r:id="rId20" location="#'Deductions for Embodied Emissi'!A1"/>
    <hyperlink ref="B113" r:id="rId21" location="#'Market and Behavioral Leakage'!A1"/>
    <hyperlink ref="B115" r:id="rId22" location="#'Option 1 – Default 2% deductio'!A1"/>
    <hyperlink ref="B118" r:id="rId23" location="#'Option 3 - Detailed assessment'!A1"/>
    <hyperlink ref="B119" r:id="rId24" location="#'Leakage Emission Source Detail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876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876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879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880</v>
      </c>
    </row>
    <row r="6" spans="1:10" x14ac:dyDescent="0.25">
      <c r="A6" s="5" t="s">
        <v>15</v>
      </c>
      <c r="B6" s="5" t="s">
        <v>20</v>
      </c>
      <c r="C6" s="5" t="s">
        <v>2</v>
      </c>
      <c r="D6" s="5"/>
      <c r="E6" s="5" t="s">
        <v>655</v>
      </c>
      <c r="F6" s="5" t="s">
        <v>17</v>
      </c>
      <c r="G6" s="5" t="s">
        <v>22</v>
      </c>
      <c r="H6" s="5" t="s">
        <v>2</v>
      </c>
      <c r="I6" s="5" t="s">
        <v>2</v>
      </c>
      <c r="J6" s="5" t="s">
        <v>656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117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118</v>
      </c>
    </row>
    <row r="6" spans="1:10" x14ac:dyDescent="0.25">
      <c r="A6" s="5" t="s">
        <v>15</v>
      </c>
      <c r="B6" s="6" t="s">
        <v>34</v>
      </c>
      <c r="C6" s="5" t="s">
        <v>2</v>
      </c>
      <c r="D6" s="5"/>
      <c r="E6" s="5" t="s">
        <v>32</v>
      </c>
      <c r="F6" s="5" t="s">
        <v>17</v>
      </c>
      <c r="G6" s="5" t="s">
        <v>2</v>
      </c>
      <c r="H6" s="5" t="s">
        <v>2</v>
      </c>
      <c r="I6" s="5" t="s">
        <v>2</v>
      </c>
      <c r="J6" s="5" t="s">
        <v>33</v>
      </c>
    </row>
    <row r="7" spans="1:10" x14ac:dyDescent="0.25" outlineLevel="1" collapsed="1">
      <c r="A7" s="7" t="s">
        <v>15</v>
      </c>
      <c r="B7" s="7" t="s">
        <v>26</v>
      </c>
      <c r="C7" s="7" t="s">
        <v>2</v>
      </c>
      <c r="D7" s="7"/>
      <c r="E7" s="7" t="s">
        <v>36</v>
      </c>
      <c r="F7" s="7" t="s">
        <v>17</v>
      </c>
      <c r="G7" s="7" t="s">
        <v>37</v>
      </c>
      <c r="H7" s="7" t="s">
        <v>2</v>
      </c>
      <c r="I7" s="7" t="s">
        <v>2</v>
      </c>
      <c r="J7" s="7" t="s">
        <v>38</v>
      </c>
    </row>
    <row r="8" spans="1:10" x14ac:dyDescent="0.25" outlineLevel="1" collapsed="1">
      <c r="A8" s="7" t="s">
        <v>15</v>
      </c>
      <c r="B8" s="7" t="s">
        <v>26</v>
      </c>
      <c r="C8" s="7" t="s">
        <v>2</v>
      </c>
      <c r="D8" s="7"/>
      <c r="E8" s="7" t="s">
        <v>39</v>
      </c>
      <c r="F8" s="7" t="s">
        <v>17</v>
      </c>
      <c r="G8" s="7" t="s">
        <v>37</v>
      </c>
      <c r="H8" s="7" t="s">
        <v>2</v>
      </c>
      <c r="I8" s="7" t="s">
        <v>2</v>
      </c>
      <c r="J8" s="7" t="s">
        <v>40</v>
      </c>
    </row>
    <row r="9" spans="1:10" x14ac:dyDescent="0.25">
      <c r="A9" s="5" t="s">
        <v>15</v>
      </c>
      <c r="B9" s="5" t="s">
        <v>20</v>
      </c>
      <c r="C9" s="5" t="s">
        <v>2</v>
      </c>
      <c r="D9" s="5"/>
      <c r="E9" s="5" t="s">
        <v>119</v>
      </c>
      <c r="F9" s="5" t="s">
        <v>17</v>
      </c>
      <c r="G9" s="5" t="s">
        <v>22</v>
      </c>
      <c r="H9" s="5" t="s">
        <v>2</v>
      </c>
      <c r="I9" s="5" t="s">
        <v>2</v>
      </c>
      <c r="J9" s="5" t="s">
        <v>120</v>
      </c>
    </row>
    <row r="10" spans="1:10" x14ac:dyDescent="0.25">
      <c r="A10" s="5" t="s">
        <v>15</v>
      </c>
      <c r="B10" s="5" t="s">
        <v>20</v>
      </c>
      <c r="C10" s="5" t="s">
        <v>2</v>
      </c>
      <c r="D10" s="5"/>
      <c r="E10" s="5" t="s">
        <v>121</v>
      </c>
      <c r="F10" s="5" t="s">
        <v>17</v>
      </c>
      <c r="G10" s="5" t="s">
        <v>22</v>
      </c>
      <c r="H10" s="5" t="s">
        <v>2</v>
      </c>
      <c r="I10" s="5" t="s">
        <v>2</v>
      </c>
      <c r="J10" s="5" t="s">
        <v>122</v>
      </c>
    </row>
    <row r="11" spans="1:10" x14ac:dyDescent="0.25">
      <c r="A11" s="5" t="s">
        <v>15</v>
      </c>
      <c r="B11" s="5" t="s">
        <v>53</v>
      </c>
      <c r="C11" s="5" t="s">
        <v>2</v>
      </c>
      <c r="D11" s="5"/>
      <c r="E11" s="5" t="s">
        <v>123</v>
      </c>
      <c r="F11" s="5" t="s">
        <v>17</v>
      </c>
      <c r="G11" s="5">
        <v>1</v>
      </c>
      <c r="H11" s="5" t="s">
        <v>2</v>
      </c>
      <c r="I11" s="5" t="s">
        <v>2</v>
      </c>
      <c r="J11" s="5" t="s">
        <v>124</v>
      </c>
    </row>
    <row r="12" spans="1:10" x14ac:dyDescent="0.25">
      <c r="A12" s="5" t="s">
        <v>17</v>
      </c>
      <c r="B12" s="5" t="s">
        <v>125</v>
      </c>
      <c r="C12" s="5" t="s">
        <v>2</v>
      </c>
      <c r="D12" s="5"/>
      <c r="E12" s="5" t="s">
        <v>126</v>
      </c>
      <c r="F12" s="5" t="s">
        <v>17</v>
      </c>
      <c r="G12" s="5" t="s">
        <v>1509</v>
      </c>
      <c r="H12" s="5" t="s">
        <v>2</v>
      </c>
      <c r="I12" s="5" t="s">
        <v>2</v>
      </c>
      <c r="J12" s="5" t="s">
        <v>128</v>
      </c>
    </row>
  </sheetData>
  <mergeCells count="3">
    <mergeCell ref="A1:J1"/>
    <mergeCell ref="B2:J2"/>
    <mergeCell ref="B3:J3"/>
  </mergeCells>
  <hyperlinks>
    <hyperlink ref="B6" r:id="rId1" location="#'Duration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869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1510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125</v>
      </c>
      <c r="C5" s="5" t="s">
        <v>2</v>
      </c>
      <c r="D5" s="5"/>
      <c r="E5" s="5" t="s">
        <v>1044</v>
      </c>
      <c r="F5" s="5" t="s">
        <v>17</v>
      </c>
      <c r="G5" s="5" t="s">
        <v>1045</v>
      </c>
      <c r="H5" s="5" t="s">
        <v>2</v>
      </c>
      <c r="I5" s="5" t="s">
        <v>2</v>
      </c>
      <c r="J5" s="5" t="s">
        <v>1046</v>
      </c>
    </row>
    <row r="6" spans="1:10" x14ac:dyDescent="0.25">
      <c r="A6" s="5" t="s">
        <v>15</v>
      </c>
      <c r="B6" s="5" t="s">
        <v>125</v>
      </c>
      <c r="C6" s="5" t="s">
        <v>2</v>
      </c>
      <c r="D6" s="5"/>
      <c r="E6" s="5" t="s">
        <v>1047</v>
      </c>
      <c r="F6" s="5" t="s">
        <v>17</v>
      </c>
      <c r="G6" s="5" t="s">
        <v>1045</v>
      </c>
      <c r="H6" s="5" t="s">
        <v>2</v>
      </c>
      <c r="I6" s="5" t="s">
        <v>2</v>
      </c>
      <c r="J6" s="5" t="s">
        <v>1048</v>
      </c>
    </row>
    <row r="7" spans="1:10" x14ac:dyDescent="0.25">
      <c r="A7" s="5" t="s">
        <v>15</v>
      </c>
      <c r="B7" s="6" t="s">
        <v>1049</v>
      </c>
      <c r="C7" s="5" t="s">
        <v>2</v>
      </c>
      <c r="D7" s="5"/>
      <c r="E7" s="5" t="s">
        <v>1050</v>
      </c>
      <c r="F7" s="5" t="s">
        <v>17</v>
      </c>
      <c r="G7" s="5" t="s">
        <v>2</v>
      </c>
      <c r="H7" s="5" t="s">
        <v>2</v>
      </c>
      <c r="I7" s="5" t="s">
        <v>2</v>
      </c>
      <c r="J7" s="5" t="s">
        <v>1051</v>
      </c>
    </row>
    <row r="8" spans="1:10" x14ac:dyDescent="0.25" outlineLevel="1" collapsed="1">
      <c r="A8" s="8" t="s">
        <v>15</v>
      </c>
      <c r="B8" s="9" t="s">
        <v>1050</v>
      </c>
      <c r="C8" s="8" t="s">
        <v>2</v>
      </c>
      <c r="D8" s="8"/>
      <c r="E8" s="8" t="s">
        <v>1052</v>
      </c>
      <c r="F8" s="8" t="s">
        <v>15</v>
      </c>
      <c r="G8" s="8" t="s">
        <v>2</v>
      </c>
      <c r="H8" s="8" t="s">
        <v>2</v>
      </c>
      <c r="I8" s="8" t="s">
        <v>2</v>
      </c>
      <c r="J8" s="8" t="s">
        <v>1053</v>
      </c>
    </row>
    <row r="9" spans="1:10" x14ac:dyDescent="0.25" outlineLevel="2" collapsed="1">
      <c r="A9" s="7" t="s">
        <v>15</v>
      </c>
      <c r="B9" s="7" t="s">
        <v>356</v>
      </c>
      <c r="C9" s="7" t="s">
        <v>2</v>
      </c>
      <c r="D9" s="7"/>
      <c r="E9" s="7" t="s">
        <v>432</v>
      </c>
      <c r="F9" s="7" t="s">
        <v>17</v>
      </c>
      <c r="G9" s="7" t="s">
        <v>2</v>
      </c>
      <c r="H9" s="7" t="s">
        <v>2</v>
      </c>
      <c r="I9" s="7" t="s">
        <v>2</v>
      </c>
      <c r="J9" s="7" t="s">
        <v>433</v>
      </c>
    </row>
    <row r="10" spans="1:10" x14ac:dyDescent="0.25" outlineLevel="2" collapsed="1">
      <c r="A10" s="8" t="s">
        <v>15</v>
      </c>
      <c r="B10" s="9" t="s">
        <v>1054</v>
      </c>
      <c r="C10" s="8" t="s">
        <v>2</v>
      </c>
      <c r="D10" s="8"/>
      <c r="E10" s="8" t="s">
        <v>1055</v>
      </c>
      <c r="F10" s="8" t="s">
        <v>15</v>
      </c>
      <c r="G10" s="8" t="s">
        <v>2</v>
      </c>
      <c r="H10" s="8" t="s">
        <v>2</v>
      </c>
      <c r="I10" s="8" t="s">
        <v>2</v>
      </c>
      <c r="J10" s="8" t="s">
        <v>1056</v>
      </c>
    </row>
    <row r="11" spans="1:10" x14ac:dyDescent="0.25" outlineLevel="3" collapsed="1">
      <c r="A11" s="7" t="s">
        <v>15</v>
      </c>
      <c r="B11" s="7" t="s">
        <v>53</v>
      </c>
      <c r="C11" s="7" t="s">
        <v>2</v>
      </c>
      <c r="D11" s="7"/>
      <c r="E11" s="7" t="s">
        <v>1057</v>
      </c>
      <c r="F11" s="7" t="s">
        <v>17</v>
      </c>
      <c r="G11" s="7">
        <v>1</v>
      </c>
      <c r="H11" s="7" t="s">
        <v>2</v>
      </c>
      <c r="I11" s="7" t="s">
        <v>2</v>
      </c>
      <c r="J11" s="7" t="s">
        <v>1058</v>
      </c>
    </row>
    <row r="12" spans="1:10" x14ac:dyDescent="0.25" outlineLevel="3" collapsed="1">
      <c r="A12" s="7" t="s">
        <v>15</v>
      </c>
      <c r="B12" s="7" t="s">
        <v>53</v>
      </c>
      <c r="C12" s="7" t="s">
        <v>2</v>
      </c>
      <c r="D12" s="7"/>
      <c r="E12" s="7" t="s">
        <v>1059</v>
      </c>
      <c r="F12" s="7" t="s">
        <v>17</v>
      </c>
      <c r="G12" s="7">
        <v>1</v>
      </c>
      <c r="H12" s="7" t="s">
        <v>2</v>
      </c>
      <c r="I12" s="7" t="s">
        <v>2</v>
      </c>
      <c r="J12" s="7" t="s">
        <v>1060</v>
      </c>
    </row>
    <row r="13" spans="1:10" x14ac:dyDescent="0.25" outlineLevel="2" collapsed="1">
      <c r="A13" s="8" t="s">
        <v>15</v>
      </c>
      <c r="B13" s="9" t="s">
        <v>1061</v>
      </c>
      <c r="C13" s="8" t="s">
        <v>2</v>
      </c>
      <c r="D13" s="8"/>
      <c r="E13" s="8" t="s">
        <v>1061</v>
      </c>
      <c r="F13" s="8" t="s">
        <v>15</v>
      </c>
      <c r="G13" s="8" t="s">
        <v>2</v>
      </c>
      <c r="H13" s="8" t="s">
        <v>2</v>
      </c>
      <c r="I13" s="8" t="s">
        <v>2</v>
      </c>
      <c r="J13" s="8" t="s">
        <v>1062</v>
      </c>
    </row>
    <row r="14" spans="1:10" x14ac:dyDescent="0.25" outlineLevel="3" collapsed="1">
      <c r="A14" s="7" t="s">
        <v>15</v>
      </c>
      <c r="B14" s="7" t="s">
        <v>20</v>
      </c>
      <c r="C14" s="7" t="s">
        <v>2</v>
      </c>
      <c r="D14" s="7"/>
      <c r="E14" s="7" t="s">
        <v>1063</v>
      </c>
      <c r="F14" s="7" t="s">
        <v>17</v>
      </c>
      <c r="G14" s="7" t="s">
        <v>22</v>
      </c>
      <c r="H14" s="7" t="s">
        <v>2</v>
      </c>
      <c r="I14" s="7" t="s">
        <v>2</v>
      </c>
      <c r="J14" s="7" t="s">
        <v>1064</v>
      </c>
    </row>
    <row r="15" spans="1:10" x14ac:dyDescent="0.25" outlineLevel="3" collapsed="1">
      <c r="A15" s="7" t="s">
        <v>15</v>
      </c>
      <c r="B15" s="7" t="s">
        <v>133</v>
      </c>
      <c r="C15" s="7" t="s">
        <v>1065</v>
      </c>
      <c r="D15" s="7"/>
      <c r="E15" s="7" t="s">
        <v>1066</v>
      </c>
      <c r="F15" s="7" t="s">
        <v>17</v>
      </c>
      <c r="G15" s="7" t="s">
        <v>1511</v>
      </c>
      <c r="H15" s="7" t="s">
        <v>2</v>
      </c>
      <c r="I15" s="7" t="s">
        <v>2</v>
      </c>
      <c r="J15" s="7" t="s">
        <v>1068</v>
      </c>
    </row>
    <row r="16" spans="1:10" x14ac:dyDescent="0.25" outlineLevel="2" collapsed="1">
      <c r="A16" s="7" t="s">
        <v>15</v>
      </c>
      <c r="B16" s="7" t="s">
        <v>125</v>
      </c>
      <c r="C16" s="7" t="s">
        <v>2</v>
      </c>
      <c r="D16" s="7"/>
      <c r="E16" s="7" t="s">
        <v>1069</v>
      </c>
      <c r="F16" s="7" t="s">
        <v>17</v>
      </c>
      <c r="G16" s="7" t="s">
        <v>1512</v>
      </c>
      <c r="H16" s="7" t="s">
        <v>2</v>
      </c>
      <c r="I16" s="7" t="s">
        <v>2</v>
      </c>
      <c r="J16" s="7" t="s">
        <v>1071</v>
      </c>
    </row>
    <row r="17" spans="1:10" x14ac:dyDescent="0.25">
      <c r="A17" s="5" t="s">
        <v>15</v>
      </c>
      <c r="B17" s="6" t="s">
        <v>1072</v>
      </c>
      <c r="C17" s="5" t="s">
        <v>2</v>
      </c>
      <c r="D17" s="5"/>
      <c r="E17" s="5" t="s">
        <v>1073</v>
      </c>
      <c r="F17" s="5" t="s">
        <v>17</v>
      </c>
      <c r="G17" s="5" t="s">
        <v>2</v>
      </c>
      <c r="H17" s="5" t="s">
        <v>2</v>
      </c>
      <c r="I17" s="5" t="s">
        <v>2</v>
      </c>
      <c r="J17" s="5" t="s">
        <v>1074</v>
      </c>
    </row>
    <row r="18" spans="1:10" x14ac:dyDescent="0.25" outlineLevel="1" collapsed="1">
      <c r="A18" s="8" t="s">
        <v>15</v>
      </c>
      <c r="B18" s="9" t="s">
        <v>1075</v>
      </c>
      <c r="C18" s="8" t="s">
        <v>2</v>
      </c>
      <c r="D18" s="8"/>
      <c r="E18" s="8" t="s">
        <v>1073</v>
      </c>
      <c r="F18" s="8" t="s">
        <v>15</v>
      </c>
      <c r="G18" s="8" t="s">
        <v>2</v>
      </c>
      <c r="H18" s="8" t="s">
        <v>2</v>
      </c>
      <c r="I18" s="8" t="s">
        <v>2</v>
      </c>
      <c r="J18" s="8" t="s">
        <v>1074</v>
      </c>
    </row>
    <row r="19" spans="1:10" x14ac:dyDescent="0.25" outlineLevel="2" collapsed="1">
      <c r="A19" s="7" t="s">
        <v>15</v>
      </c>
      <c r="B19" s="7" t="s">
        <v>356</v>
      </c>
      <c r="C19" s="7" t="s">
        <v>2</v>
      </c>
      <c r="D19" s="7"/>
      <c r="E19" s="7" t="s">
        <v>432</v>
      </c>
      <c r="F19" s="7" t="s">
        <v>17</v>
      </c>
      <c r="G19" s="7" t="s">
        <v>2</v>
      </c>
      <c r="H19" s="7" t="s">
        <v>2</v>
      </c>
      <c r="I19" s="7" t="s">
        <v>2</v>
      </c>
      <c r="J19" s="7" t="s">
        <v>433</v>
      </c>
    </row>
    <row r="20" spans="1:10" x14ac:dyDescent="0.25" outlineLevel="2" collapsed="1">
      <c r="A20" s="8" t="s">
        <v>15</v>
      </c>
      <c r="B20" s="9" t="s">
        <v>1076</v>
      </c>
      <c r="C20" s="8" t="s">
        <v>2</v>
      </c>
      <c r="D20" s="8"/>
      <c r="E20" s="8" t="s">
        <v>1073</v>
      </c>
      <c r="F20" s="8" t="s">
        <v>15</v>
      </c>
      <c r="G20" s="8" t="s">
        <v>2</v>
      </c>
      <c r="H20" s="8" t="s">
        <v>2</v>
      </c>
      <c r="I20" s="8" t="s">
        <v>2</v>
      </c>
      <c r="J20" s="8" t="s">
        <v>1077</v>
      </c>
    </row>
    <row r="21" spans="1:10" x14ac:dyDescent="0.25" outlineLevel="3" collapsed="1">
      <c r="A21" s="7" t="s">
        <v>15</v>
      </c>
      <c r="B21" s="7" t="s">
        <v>20</v>
      </c>
      <c r="C21" s="7" t="s">
        <v>2</v>
      </c>
      <c r="D21" s="7"/>
      <c r="E21" s="7" t="s">
        <v>1078</v>
      </c>
      <c r="F21" s="7" t="s">
        <v>17</v>
      </c>
      <c r="G21" s="7" t="s">
        <v>22</v>
      </c>
      <c r="H21" s="7" t="s">
        <v>2</v>
      </c>
      <c r="I21" s="7" t="s">
        <v>2</v>
      </c>
      <c r="J21" s="7" t="s">
        <v>1079</v>
      </c>
    </row>
    <row r="22" spans="1:10" x14ac:dyDescent="0.25" outlineLevel="3" collapsed="1">
      <c r="A22" s="7" t="s">
        <v>15</v>
      </c>
      <c r="B22" s="7" t="s">
        <v>133</v>
      </c>
      <c r="C22" s="7" t="s">
        <v>1065</v>
      </c>
      <c r="D22" s="7"/>
      <c r="E22" s="7" t="s">
        <v>1080</v>
      </c>
      <c r="F22" s="7" t="s">
        <v>17</v>
      </c>
      <c r="G22" s="7" t="s">
        <v>1513</v>
      </c>
      <c r="H22" s="7" t="s">
        <v>2</v>
      </c>
      <c r="I22" s="7" t="s">
        <v>2</v>
      </c>
      <c r="J22" s="7" t="s">
        <v>1082</v>
      </c>
    </row>
    <row r="23" spans="1:10" x14ac:dyDescent="0.25" outlineLevel="3" collapsed="1">
      <c r="A23" s="7" t="s">
        <v>15</v>
      </c>
      <c r="B23" s="7" t="s">
        <v>20</v>
      </c>
      <c r="C23" s="7" t="s">
        <v>2</v>
      </c>
      <c r="D23" s="7"/>
      <c r="E23" s="7" t="s">
        <v>1083</v>
      </c>
      <c r="F23" s="7" t="s">
        <v>17</v>
      </c>
      <c r="G23" s="7" t="s">
        <v>22</v>
      </c>
      <c r="H23" s="7" t="s">
        <v>2</v>
      </c>
      <c r="I23" s="7" t="s">
        <v>2</v>
      </c>
      <c r="J23" s="7" t="s">
        <v>1084</v>
      </c>
    </row>
    <row r="24" spans="1:10" x14ac:dyDescent="0.25">
      <c r="A24" s="5" t="s">
        <v>15</v>
      </c>
      <c r="B24" s="6" t="s">
        <v>1085</v>
      </c>
      <c r="C24" s="5" t="s">
        <v>2</v>
      </c>
      <c r="D24" s="5"/>
      <c r="E24" s="5" t="s">
        <v>1086</v>
      </c>
      <c r="F24" s="5" t="s">
        <v>17</v>
      </c>
      <c r="G24" s="5" t="s">
        <v>2</v>
      </c>
      <c r="H24" s="5" t="s">
        <v>2</v>
      </c>
      <c r="I24" s="5" t="s">
        <v>2</v>
      </c>
      <c r="J24" s="5" t="s">
        <v>501</v>
      </c>
    </row>
    <row r="25" spans="1:10" x14ac:dyDescent="0.25" outlineLevel="1" collapsed="1">
      <c r="A25" s="8" t="s">
        <v>15</v>
      </c>
      <c r="B25" s="9" t="s">
        <v>1087</v>
      </c>
      <c r="C25" s="8" t="s">
        <v>2</v>
      </c>
      <c r="D25" s="8"/>
      <c r="E25" s="8" t="s">
        <v>1086</v>
      </c>
      <c r="F25" s="8" t="s">
        <v>15</v>
      </c>
      <c r="G25" s="8" t="s">
        <v>2</v>
      </c>
      <c r="H25" s="8" t="s">
        <v>2</v>
      </c>
      <c r="I25" s="8" t="s">
        <v>2</v>
      </c>
      <c r="J25" s="8" t="s">
        <v>501</v>
      </c>
    </row>
    <row r="26" spans="1:10" x14ac:dyDescent="0.25" outlineLevel="2" collapsed="1">
      <c r="A26" s="7" t="s">
        <v>15</v>
      </c>
      <c r="B26" s="7" t="s">
        <v>356</v>
      </c>
      <c r="C26" s="7" t="s">
        <v>2</v>
      </c>
      <c r="D26" s="7"/>
      <c r="E26" s="7" t="s">
        <v>432</v>
      </c>
      <c r="F26" s="7" t="s">
        <v>17</v>
      </c>
      <c r="G26" s="7" t="s">
        <v>2</v>
      </c>
      <c r="H26" s="7" t="s">
        <v>2</v>
      </c>
      <c r="I26" s="7" t="s">
        <v>2</v>
      </c>
      <c r="J26" s="7" t="s">
        <v>433</v>
      </c>
    </row>
    <row r="27" spans="1:10" x14ac:dyDescent="0.25" outlineLevel="2" collapsed="1">
      <c r="A27" s="8" t="s">
        <v>15</v>
      </c>
      <c r="B27" s="9" t="s">
        <v>1088</v>
      </c>
      <c r="C27" s="8" t="s">
        <v>2</v>
      </c>
      <c r="D27" s="8"/>
      <c r="E27" s="8" t="s">
        <v>1089</v>
      </c>
      <c r="F27" s="8" t="s">
        <v>15</v>
      </c>
      <c r="G27" s="8" t="s">
        <v>2</v>
      </c>
      <c r="H27" s="8" t="s">
        <v>2</v>
      </c>
      <c r="I27" s="8" t="s">
        <v>2</v>
      </c>
      <c r="J27" s="8" t="s">
        <v>1090</v>
      </c>
    </row>
    <row r="28" spans="1:10" x14ac:dyDescent="0.25" outlineLevel="3" collapsed="1">
      <c r="A28" s="7" t="s">
        <v>15</v>
      </c>
      <c r="B28" s="7" t="s">
        <v>133</v>
      </c>
      <c r="C28" s="7" t="s">
        <v>1091</v>
      </c>
      <c r="D28" s="7"/>
      <c r="E28" s="7" t="s">
        <v>502</v>
      </c>
      <c r="F28" s="7" t="s">
        <v>17</v>
      </c>
      <c r="G28" s="7" t="s">
        <v>1514</v>
      </c>
      <c r="H28" s="7" t="s">
        <v>2</v>
      </c>
      <c r="I28" s="7" t="s">
        <v>2</v>
      </c>
      <c r="J28" s="7" t="s">
        <v>503</v>
      </c>
    </row>
    <row r="29" spans="1:10" x14ac:dyDescent="0.25" outlineLevel="3" collapsed="1">
      <c r="A29" s="7" t="s">
        <v>15</v>
      </c>
      <c r="B29" s="7" t="s">
        <v>133</v>
      </c>
      <c r="C29" s="7" t="s">
        <v>1091</v>
      </c>
      <c r="D29" s="7"/>
      <c r="E29" s="7" t="s">
        <v>1093</v>
      </c>
      <c r="F29" s="7" t="s">
        <v>17</v>
      </c>
      <c r="G29" s="7" t="s">
        <v>1515</v>
      </c>
      <c r="H29" s="7" t="s">
        <v>2</v>
      </c>
      <c r="I29" s="7" t="s">
        <v>2</v>
      </c>
      <c r="J29" s="7" t="s">
        <v>1095</v>
      </c>
    </row>
    <row r="30" spans="1:10" x14ac:dyDescent="0.25" outlineLevel="3" collapsed="1">
      <c r="A30" s="7" t="s">
        <v>15</v>
      </c>
      <c r="B30" s="7" t="s">
        <v>133</v>
      </c>
      <c r="C30" s="7" t="s">
        <v>1065</v>
      </c>
      <c r="D30" s="7"/>
      <c r="E30" s="7" t="s">
        <v>1096</v>
      </c>
      <c r="F30" s="7" t="s">
        <v>17</v>
      </c>
      <c r="G30" s="7" t="s">
        <v>1516</v>
      </c>
      <c r="H30" s="7" t="s">
        <v>2</v>
      </c>
      <c r="I30" s="7" t="s">
        <v>2</v>
      </c>
      <c r="J30" s="7" t="s">
        <v>1098</v>
      </c>
    </row>
    <row r="31" spans="1:10" x14ac:dyDescent="0.25" outlineLevel="3" collapsed="1">
      <c r="A31" s="7" t="s">
        <v>15</v>
      </c>
      <c r="B31" s="7" t="s">
        <v>133</v>
      </c>
      <c r="C31" s="7" t="s">
        <v>1065</v>
      </c>
      <c r="D31" s="7"/>
      <c r="E31" s="7" t="s">
        <v>1099</v>
      </c>
      <c r="F31" s="7" t="s">
        <v>17</v>
      </c>
      <c r="G31" s="7" t="s">
        <v>1517</v>
      </c>
      <c r="H31" s="7" t="s">
        <v>2</v>
      </c>
      <c r="I31" s="7" t="s">
        <v>2</v>
      </c>
      <c r="J31" s="7" t="s">
        <v>1101</v>
      </c>
    </row>
    <row r="32" spans="1:10" x14ac:dyDescent="0.25">
      <c r="A32" s="5" t="s">
        <v>15</v>
      </c>
      <c r="B32" s="6" t="s">
        <v>1102</v>
      </c>
      <c r="C32" s="5" t="s">
        <v>2</v>
      </c>
      <c r="D32" s="5"/>
      <c r="E32" s="5" t="s">
        <v>1103</v>
      </c>
      <c r="F32" s="5" t="s">
        <v>17</v>
      </c>
      <c r="G32" s="5" t="s">
        <v>2</v>
      </c>
      <c r="H32" s="5" t="s">
        <v>2</v>
      </c>
      <c r="I32" s="5" t="s">
        <v>2</v>
      </c>
      <c r="J32" s="5" t="s">
        <v>1104</v>
      </c>
    </row>
    <row r="33" spans="1:10" x14ac:dyDescent="0.25" outlineLevel="1" collapsed="1">
      <c r="A33" s="7" t="s">
        <v>15</v>
      </c>
      <c r="B33" s="7" t="s">
        <v>356</v>
      </c>
      <c r="C33" s="7" t="s">
        <v>2</v>
      </c>
      <c r="D33" s="7"/>
      <c r="E33" s="7" t="s">
        <v>432</v>
      </c>
      <c r="F33" s="7" t="s">
        <v>17</v>
      </c>
      <c r="G33" s="7" t="s">
        <v>2</v>
      </c>
      <c r="H33" s="7" t="s">
        <v>2</v>
      </c>
      <c r="I33" s="7" t="s">
        <v>2</v>
      </c>
      <c r="J33" s="7" t="s">
        <v>433</v>
      </c>
    </row>
    <row r="34" spans="1:10" x14ac:dyDescent="0.25" outlineLevel="1" collapsed="1">
      <c r="A34" s="7" t="s">
        <v>15</v>
      </c>
      <c r="B34" s="7" t="s">
        <v>53</v>
      </c>
      <c r="C34" s="7" t="s">
        <v>2</v>
      </c>
      <c r="D34" s="7"/>
      <c r="E34" s="7" t="s">
        <v>1105</v>
      </c>
      <c r="F34" s="7" t="s">
        <v>17</v>
      </c>
      <c r="G34" s="7">
        <v>1</v>
      </c>
      <c r="H34" s="7" t="s">
        <v>2</v>
      </c>
      <c r="I34" s="7" t="s">
        <v>2</v>
      </c>
      <c r="J34" s="7" t="s">
        <v>1106</v>
      </c>
    </row>
    <row r="35" spans="1:10" x14ac:dyDescent="0.25" outlineLevel="1" collapsed="1">
      <c r="A35" s="8" t="s">
        <v>15</v>
      </c>
      <c r="B35" s="9" t="s">
        <v>1107</v>
      </c>
      <c r="C35" s="8" t="s">
        <v>2</v>
      </c>
      <c r="D35" s="8"/>
      <c r="E35" s="8" t="s">
        <v>1107</v>
      </c>
      <c r="F35" s="8" t="s">
        <v>17</v>
      </c>
      <c r="G35" s="8" t="s">
        <v>2</v>
      </c>
      <c r="H35" s="8" t="s">
        <v>2</v>
      </c>
      <c r="I35" s="8" t="s">
        <v>2</v>
      </c>
      <c r="J35" s="8" t="s">
        <v>1108</v>
      </c>
    </row>
    <row r="36" spans="1:10" x14ac:dyDescent="0.25" outlineLevel="2" collapsed="1">
      <c r="A36" s="7" t="s">
        <v>15</v>
      </c>
      <c r="B36" s="7" t="s">
        <v>47</v>
      </c>
      <c r="C36" s="7" t="s">
        <v>2</v>
      </c>
      <c r="D36" s="7"/>
      <c r="E36" s="7" t="s">
        <v>1109</v>
      </c>
      <c r="F36" s="7" t="s">
        <v>17</v>
      </c>
      <c r="G36" s="7" t="b">
        <v>1</v>
      </c>
      <c r="H36" s="7" t="s">
        <v>2</v>
      </c>
      <c r="I36" s="7" t="s">
        <v>2</v>
      </c>
      <c r="J36" s="7" t="s">
        <v>1110</v>
      </c>
    </row>
    <row r="37" spans="1:10" x14ac:dyDescent="0.25" outlineLevel="2" collapsed="1">
      <c r="A37" s="7" t="s">
        <v>15</v>
      </c>
      <c r="B37" s="7" t="s">
        <v>125</v>
      </c>
      <c r="C37" s="7" t="s">
        <v>2</v>
      </c>
      <c r="D37" s="7"/>
      <c r="E37" s="7" t="s">
        <v>1111</v>
      </c>
      <c r="F37" s="7" t="s">
        <v>17</v>
      </c>
      <c r="G37" s="7" t="s">
        <v>1518</v>
      </c>
      <c r="H37" s="7" t="s">
        <v>2</v>
      </c>
      <c r="I37" s="7" t="s">
        <v>2</v>
      </c>
      <c r="J37" s="7" t="s">
        <v>1113</v>
      </c>
    </row>
    <row r="38" spans="1:10" x14ac:dyDescent="0.25" outlineLevel="2" collapsed="1">
      <c r="A38" s="7" t="s">
        <v>17</v>
      </c>
      <c r="B38" s="7" t="s">
        <v>133</v>
      </c>
      <c r="C38" s="7" t="s">
        <v>1114</v>
      </c>
      <c r="D38" s="7">
        <f>EXACT(G36,true)</f>
      </c>
      <c r="E38" s="7" t="s">
        <v>1115</v>
      </c>
      <c r="F38" s="7" t="s">
        <v>17</v>
      </c>
      <c r="G38" s="7" t="s">
        <v>1519</v>
      </c>
      <c r="H38" s="7" t="s">
        <v>2</v>
      </c>
      <c r="I38" s="7" t="s">
        <v>2</v>
      </c>
      <c r="J38" s="7" t="s">
        <v>1117</v>
      </c>
    </row>
    <row r="39" spans="1:10" x14ac:dyDescent="0.25" outlineLevel="2" collapsed="1">
      <c r="A39" s="7" t="s">
        <v>17</v>
      </c>
      <c r="B39" s="7" t="s">
        <v>133</v>
      </c>
      <c r="C39" s="7" t="s">
        <v>1114</v>
      </c>
      <c r="D39" s="7">
        <f>EXACT(G36,true)</f>
      </c>
      <c r="E39" s="7" t="s">
        <v>1118</v>
      </c>
      <c r="F39" s="7" t="s">
        <v>17</v>
      </c>
      <c r="G39" s="7" t="s">
        <v>1520</v>
      </c>
      <c r="H39" s="7" t="s">
        <v>2</v>
      </c>
      <c r="I39" s="7" t="s">
        <v>2</v>
      </c>
      <c r="J39" s="7" t="s">
        <v>1120</v>
      </c>
    </row>
    <row r="40" spans="1:10" x14ac:dyDescent="0.25" outlineLevel="2" collapsed="1">
      <c r="A40" s="7" t="s">
        <v>17</v>
      </c>
      <c r="B40" s="7" t="s">
        <v>125</v>
      </c>
      <c r="C40" s="7" t="s">
        <v>2</v>
      </c>
      <c r="D40" s="7">
        <f>EXACT(G36,true)</f>
      </c>
      <c r="E40" s="7" t="s">
        <v>1121</v>
      </c>
      <c r="F40" s="7" t="s">
        <v>17</v>
      </c>
      <c r="G40" s="7" t="s">
        <v>1521</v>
      </c>
      <c r="H40" s="7" t="s">
        <v>2</v>
      </c>
      <c r="I40" s="7" t="s">
        <v>2</v>
      </c>
      <c r="J40" s="7" t="s">
        <v>1123</v>
      </c>
    </row>
    <row r="41" spans="1:10" x14ac:dyDescent="0.25" outlineLevel="1" collapsed="1">
      <c r="A41" s="7" t="s">
        <v>17</v>
      </c>
      <c r="B41" s="7" t="s">
        <v>125</v>
      </c>
      <c r="C41" s="7" t="s">
        <v>2</v>
      </c>
      <c r="D41" s="7"/>
      <c r="E41" s="7" t="s">
        <v>1124</v>
      </c>
      <c r="F41" s="7" t="s">
        <v>15</v>
      </c>
      <c r="G41" s="7" t="s">
        <v>1522</v>
      </c>
      <c r="H41" s="7" t="s">
        <v>2</v>
      </c>
      <c r="I41" s="7" t="s">
        <v>2</v>
      </c>
      <c r="J41" s="7" t="s">
        <v>1126</v>
      </c>
    </row>
  </sheetData>
  <mergeCells count="3">
    <mergeCell ref="A1:J1"/>
    <mergeCell ref="B2:J2"/>
    <mergeCell ref="B3:J3"/>
  </mergeCells>
  <hyperlinks>
    <hyperlink ref="B7" r:id="rId1" location="#'Baseline Water Sources - Wrapp'!A1"/>
    <hyperlink ref="B8" r:id="rId2" location="#'Baseline Water Sources'!A1"/>
    <hyperlink ref="B10" r:id="rId3" location="#'Water Source Details Percentag'!A1"/>
    <hyperlink ref="B13" r:id="rId4" location="#'Water Source Type Details'!A1"/>
    <hyperlink ref="B17" r:id="rId5" location="#'Baseline Treatment Method - Wr'!A1"/>
    <hyperlink ref="B18" r:id="rId6" location="#'Baseline Treatment Method - 2'!A1"/>
    <hyperlink ref="B20" r:id="rId7" location="#'Baseline Treatment Method - It'!A1"/>
    <hyperlink ref="B24" r:id="rId8" location="#'Stove Details - Wrapper'!A1"/>
    <hyperlink ref="B25" r:id="rId9" location="#'Stove Details - Item with Loca'!A1"/>
    <hyperlink ref="B27" r:id="rId10" location="#'Stove Details - Item'!A1"/>
    <hyperlink ref="B32" r:id="rId11" location="#'Fraction of non-renewable biom'!A1"/>
    <hyperlink ref="B35" r:id="rId12" location="#'Suppressed Demand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897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26</v>
      </c>
      <c r="C5" s="5" t="s">
        <v>2</v>
      </c>
      <c r="D5" s="5"/>
      <c r="E5" s="5" t="s">
        <v>36</v>
      </c>
      <c r="F5" s="5" t="s">
        <v>17</v>
      </c>
      <c r="G5" s="5" t="s">
        <v>37</v>
      </c>
      <c r="H5" s="5" t="s">
        <v>2</v>
      </c>
      <c r="I5" s="5" t="s">
        <v>2</v>
      </c>
      <c r="J5" s="5" t="s">
        <v>1206</v>
      </c>
    </row>
    <row r="6" spans="1:10" x14ac:dyDescent="0.25">
      <c r="A6" s="5" t="s">
        <v>15</v>
      </c>
      <c r="B6" s="5" t="s">
        <v>26</v>
      </c>
      <c r="C6" s="5" t="s">
        <v>2</v>
      </c>
      <c r="D6" s="5"/>
      <c r="E6" s="5" t="s">
        <v>39</v>
      </c>
      <c r="F6" s="5" t="s">
        <v>17</v>
      </c>
      <c r="G6" s="5" t="s">
        <v>37</v>
      </c>
      <c r="H6" s="5" t="s">
        <v>2</v>
      </c>
      <c r="I6" s="5" t="s">
        <v>2</v>
      </c>
      <c r="J6" s="5" t="s">
        <v>1207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4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390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393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104</v>
      </c>
    </row>
    <row r="6" spans="1:10" x14ac:dyDescent="0.25">
      <c r="A6" s="5" t="s">
        <v>17</v>
      </c>
      <c r="B6" s="5" t="s">
        <v>394</v>
      </c>
      <c r="C6" s="12" t="s">
        <v>395</v>
      </c>
      <c r="D6" s="5"/>
      <c r="E6" s="13" t="s">
        <v>396</v>
      </c>
      <c r="F6" s="5" t="s">
        <v>17</v>
      </c>
      <c r="G6" s="5" t="s">
        <v>2</v>
      </c>
      <c r="H6" s="5" t="s">
        <v>2</v>
      </c>
      <c r="I6" s="5" t="s">
        <v>2</v>
      </c>
      <c r="J6" s="5" t="s">
        <v>397</v>
      </c>
    </row>
    <row r="7" spans="1:10" x14ac:dyDescent="0.25">
      <c r="A7" s="5" t="s">
        <v>15</v>
      </c>
      <c r="B7" s="6" t="s">
        <v>398</v>
      </c>
      <c r="C7" s="5" t="s">
        <v>2</v>
      </c>
      <c r="D7" s="5"/>
      <c r="E7" s="5" t="s">
        <v>399</v>
      </c>
      <c r="F7" s="5" t="s">
        <v>15</v>
      </c>
      <c r="G7" s="5" t="s">
        <v>2</v>
      </c>
      <c r="H7" s="5" t="s">
        <v>2</v>
      </c>
      <c r="I7" s="5" t="s">
        <v>2</v>
      </c>
      <c r="J7" s="5" t="s">
        <v>400</v>
      </c>
    </row>
    <row r="8" spans="1:10" x14ac:dyDescent="0.25" outlineLevel="1" collapsed="1">
      <c r="A8" s="7" t="s">
        <v>15</v>
      </c>
      <c r="B8" s="7" t="s">
        <v>26</v>
      </c>
      <c r="C8" s="7" t="s">
        <v>2</v>
      </c>
      <c r="D8" s="7"/>
      <c r="E8" s="7" t="s">
        <v>401</v>
      </c>
      <c r="F8" s="7" t="s">
        <v>17</v>
      </c>
      <c r="G8" s="7" t="s">
        <v>37</v>
      </c>
      <c r="H8" s="7" t="s">
        <v>2</v>
      </c>
      <c r="I8" s="7" t="s">
        <v>2</v>
      </c>
      <c r="J8" s="7" t="s">
        <v>402</v>
      </c>
    </row>
    <row r="9" spans="1:10" x14ac:dyDescent="0.25" outlineLevel="1" collapsed="1">
      <c r="A9" s="7" t="s">
        <v>15</v>
      </c>
      <c r="B9" s="7" t="s">
        <v>20</v>
      </c>
      <c r="C9" s="7" t="s">
        <v>2</v>
      </c>
      <c r="D9" s="7"/>
      <c r="E9" s="7" t="s">
        <v>403</v>
      </c>
      <c r="F9" s="7" t="s">
        <v>17</v>
      </c>
      <c r="G9" s="7" t="s">
        <v>22</v>
      </c>
      <c r="H9" s="7" t="s">
        <v>2</v>
      </c>
      <c r="I9" s="7" t="s">
        <v>2</v>
      </c>
      <c r="J9" s="7" t="s">
        <v>404</v>
      </c>
    </row>
    <row r="10" spans="1:10" x14ac:dyDescent="0.25" outlineLevel="1" collapsed="1">
      <c r="A10" s="7" t="s">
        <v>15</v>
      </c>
      <c r="B10" s="7" t="s">
        <v>20</v>
      </c>
      <c r="C10" s="7" t="s">
        <v>2</v>
      </c>
      <c r="D10" s="7"/>
      <c r="E10" s="7" t="s">
        <v>405</v>
      </c>
      <c r="F10" s="7" t="s">
        <v>17</v>
      </c>
      <c r="G10" s="7" t="s">
        <v>22</v>
      </c>
      <c r="H10" s="7" t="s">
        <v>2</v>
      </c>
      <c r="I10" s="7" t="s">
        <v>2</v>
      </c>
      <c r="J10" s="7" t="s">
        <v>406</v>
      </c>
    </row>
    <row r="11" spans="1:10" x14ac:dyDescent="0.25" outlineLevel="1" collapsed="1">
      <c r="A11" s="7" t="s">
        <v>15</v>
      </c>
      <c r="B11" s="7" t="s">
        <v>20</v>
      </c>
      <c r="C11" s="7" t="s">
        <v>2</v>
      </c>
      <c r="D11" s="7"/>
      <c r="E11" s="7" t="s">
        <v>407</v>
      </c>
      <c r="F11" s="7" t="s">
        <v>17</v>
      </c>
      <c r="G11" s="7" t="s">
        <v>22</v>
      </c>
      <c r="H11" s="7" t="s">
        <v>2</v>
      </c>
      <c r="I11" s="7" t="s">
        <v>2</v>
      </c>
      <c r="J11" s="7" t="s">
        <v>408</v>
      </c>
    </row>
    <row r="12" spans="1:10" x14ac:dyDescent="0.25" outlineLevel="1" collapsed="1">
      <c r="A12" s="7" t="s">
        <v>15</v>
      </c>
      <c r="B12" s="7" t="s">
        <v>20</v>
      </c>
      <c r="C12" s="7" t="s">
        <v>2</v>
      </c>
      <c r="D12" s="7"/>
      <c r="E12" s="7" t="s">
        <v>409</v>
      </c>
      <c r="F12" s="7" t="s">
        <v>17</v>
      </c>
      <c r="G12" s="7" t="s">
        <v>22</v>
      </c>
      <c r="H12" s="7" t="s">
        <v>2</v>
      </c>
      <c r="I12" s="7" t="s">
        <v>2</v>
      </c>
      <c r="J12" s="7" t="s">
        <v>410</v>
      </c>
    </row>
    <row r="13" spans="1:10" x14ac:dyDescent="0.25" outlineLevel="1" collapsed="1">
      <c r="A13" s="7" t="s">
        <v>15</v>
      </c>
      <c r="B13" s="7" t="s">
        <v>20</v>
      </c>
      <c r="C13" s="7" t="s">
        <v>2</v>
      </c>
      <c r="D13" s="7"/>
      <c r="E13" s="7" t="s">
        <v>411</v>
      </c>
      <c r="F13" s="7" t="s">
        <v>17</v>
      </c>
      <c r="G13" s="7" t="s">
        <v>22</v>
      </c>
      <c r="H13" s="7" t="s">
        <v>2</v>
      </c>
      <c r="I13" s="7" t="s">
        <v>2</v>
      </c>
      <c r="J13" s="7" t="s">
        <v>412</v>
      </c>
    </row>
    <row r="14" spans="1:10" x14ac:dyDescent="0.25" outlineLevel="1" collapsed="1">
      <c r="A14" s="7" t="s">
        <v>15</v>
      </c>
      <c r="B14" s="7" t="s">
        <v>133</v>
      </c>
      <c r="C14" s="7" t="s">
        <v>413</v>
      </c>
      <c r="D14" s="7"/>
      <c r="E14" s="7" t="s">
        <v>414</v>
      </c>
      <c r="F14" s="7" t="s">
        <v>17</v>
      </c>
      <c r="G14" s="7" t="s">
        <v>1523</v>
      </c>
      <c r="H14" s="7" t="s">
        <v>2</v>
      </c>
      <c r="I14" s="7" t="s">
        <v>2</v>
      </c>
      <c r="J14" s="7" t="s">
        <v>416</v>
      </c>
    </row>
    <row r="15" spans="1:10" x14ac:dyDescent="0.25" outlineLevel="1" collapsed="1">
      <c r="A15" s="7" t="s">
        <v>15</v>
      </c>
      <c r="B15" s="7" t="s">
        <v>194</v>
      </c>
      <c r="C15" s="7" t="s">
        <v>2</v>
      </c>
      <c r="D15" s="7"/>
      <c r="E15" s="7" t="s">
        <v>417</v>
      </c>
      <c r="F15" s="7" t="s">
        <v>17</v>
      </c>
      <c r="G15" s="7">
        <v>1</v>
      </c>
      <c r="H15" s="7" t="s">
        <v>2</v>
      </c>
      <c r="I15" s="7" t="s">
        <v>2</v>
      </c>
      <c r="J15" s="7" t="s">
        <v>418</v>
      </c>
    </row>
    <row r="16" spans="1:10" x14ac:dyDescent="0.25" outlineLevel="1" collapsed="1">
      <c r="A16" s="7" t="s">
        <v>15</v>
      </c>
      <c r="B16" s="7" t="s">
        <v>20</v>
      </c>
      <c r="C16" s="7" t="s">
        <v>2</v>
      </c>
      <c r="D16" s="7"/>
      <c r="E16" s="7" t="s">
        <v>419</v>
      </c>
      <c r="F16" s="7" t="s">
        <v>17</v>
      </c>
      <c r="G16" s="7" t="s">
        <v>22</v>
      </c>
      <c r="H16" s="7" t="s">
        <v>2</v>
      </c>
      <c r="I16" s="7" t="s">
        <v>2</v>
      </c>
      <c r="J16" s="7" t="s">
        <v>420</v>
      </c>
    </row>
    <row r="17" spans="1:10" x14ac:dyDescent="0.25" outlineLevel="1" collapsed="1">
      <c r="A17" s="7" t="s">
        <v>15</v>
      </c>
      <c r="B17" s="7" t="s">
        <v>125</v>
      </c>
      <c r="C17" s="7" t="s">
        <v>2</v>
      </c>
      <c r="D17" s="7"/>
      <c r="E17" s="7" t="s">
        <v>421</v>
      </c>
      <c r="F17" s="7" t="s">
        <v>17</v>
      </c>
      <c r="G17" s="7" t="s">
        <v>1524</v>
      </c>
      <c r="H17" s="7" t="s">
        <v>2</v>
      </c>
      <c r="I17" s="7" t="s">
        <v>2</v>
      </c>
      <c r="J17" s="7" t="s">
        <v>423</v>
      </c>
    </row>
    <row r="18" spans="1:10" x14ac:dyDescent="0.25">
      <c r="A18" s="5" t="s">
        <v>15</v>
      </c>
      <c r="B18" s="5" t="s">
        <v>44</v>
      </c>
      <c r="C18" s="12" t="s">
        <v>424</v>
      </c>
      <c r="D18" s="5"/>
      <c r="E18" s="5" t="s">
        <v>231</v>
      </c>
      <c r="F18" s="5" t="s">
        <v>17</v>
      </c>
      <c r="G18" s="5" t="s">
        <v>251</v>
      </c>
      <c r="H18" s="5" t="s">
        <v>2</v>
      </c>
      <c r="I18" s="5" t="s">
        <v>2</v>
      </c>
      <c r="J18" s="5" t="s">
        <v>232</v>
      </c>
    </row>
    <row r="19" spans="1:10" x14ac:dyDescent="0.25">
      <c r="A19" s="5" t="s">
        <v>15</v>
      </c>
      <c r="B19" s="6" t="s">
        <v>425</v>
      </c>
      <c r="C19" s="5" t="s">
        <v>2</v>
      </c>
      <c r="D19" s="5"/>
      <c r="E19" s="5" t="s">
        <v>426</v>
      </c>
      <c r="F19" s="5" t="s">
        <v>15</v>
      </c>
      <c r="G19" s="5" t="s">
        <v>2</v>
      </c>
      <c r="H19" s="5" t="s">
        <v>2</v>
      </c>
      <c r="I19" s="5" t="s">
        <v>2</v>
      </c>
      <c r="J19" s="5" t="s">
        <v>427</v>
      </c>
    </row>
    <row r="20" spans="1:10" x14ac:dyDescent="0.25" outlineLevel="1" collapsed="1">
      <c r="A20" s="7" t="s">
        <v>15</v>
      </c>
      <c r="B20" s="7" t="s">
        <v>26</v>
      </c>
      <c r="C20" s="7" t="s">
        <v>2</v>
      </c>
      <c r="D20" s="7"/>
      <c r="E20" s="7" t="s">
        <v>428</v>
      </c>
      <c r="F20" s="7" t="s">
        <v>17</v>
      </c>
      <c r="G20" s="7" t="s">
        <v>37</v>
      </c>
      <c r="H20" s="7" t="s">
        <v>2</v>
      </c>
      <c r="I20" s="7" t="s">
        <v>2</v>
      </c>
      <c r="J20" s="7" t="s">
        <v>429</v>
      </c>
    </row>
    <row r="21" spans="1:10" x14ac:dyDescent="0.25" outlineLevel="1" collapsed="1">
      <c r="A21" s="7" t="s">
        <v>15</v>
      </c>
      <c r="B21" s="7" t="s">
        <v>20</v>
      </c>
      <c r="C21" s="7" t="s">
        <v>2</v>
      </c>
      <c r="D21" s="7"/>
      <c r="E21" s="7" t="s">
        <v>430</v>
      </c>
      <c r="F21" s="7" t="s">
        <v>17</v>
      </c>
      <c r="G21" s="7" t="s">
        <v>22</v>
      </c>
      <c r="H21" s="7" t="s">
        <v>2</v>
      </c>
      <c r="I21" s="7" t="s">
        <v>2</v>
      </c>
      <c r="J21" s="7" t="s">
        <v>431</v>
      </c>
    </row>
    <row r="22" spans="1:10" x14ac:dyDescent="0.25" outlineLevel="1" collapsed="1">
      <c r="A22" s="7" t="s">
        <v>15</v>
      </c>
      <c r="B22" s="7" t="s">
        <v>20</v>
      </c>
      <c r="C22" s="7" t="s">
        <v>2</v>
      </c>
      <c r="D22" s="7"/>
      <c r="E22" s="7" t="s">
        <v>432</v>
      </c>
      <c r="F22" s="7" t="s">
        <v>17</v>
      </c>
      <c r="G22" s="7" t="s">
        <v>22</v>
      </c>
      <c r="H22" s="7" t="s">
        <v>2</v>
      </c>
      <c r="I22" s="7" t="s">
        <v>2</v>
      </c>
      <c r="J22" s="7" t="s">
        <v>433</v>
      </c>
    </row>
    <row r="23" spans="1:10" x14ac:dyDescent="0.25" outlineLevel="1" collapsed="1">
      <c r="A23" s="7" t="s">
        <v>15</v>
      </c>
      <c r="B23" s="7" t="s">
        <v>125</v>
      </c>
      <c r="C23" s="7" t="s">
        <v>2</v>
      </c>
      <c r="D23" s="7"/>
      <c r="E23" s="7" t="s">
        <v>434</v>
      </c>
      <c r="F23" s="7" t="s">
        <v>17</v>
      </c>
      <c r="G23" s="7" t="s">
        <v>1525</v>
      </c>
      <c r="H23" s="7" t="s">
        <v>2</v>
      </c>
      <c r="I23" s="7" t="s">
        <v>2</v>
      </c>
      <c r="J23" s="7" t="s">
        <v>436</v>
      </c>
    </row>
    <row r="24" spans="1:10" x14ac:dyDescent="0.25">
      <c r="A24" s="5" t="s">
        <v>17</v>
      </c>
      <c r="B24" s="6" t="s">
        <v>437</v>
      </c>
      <c r="C24" s="5" t="s">
        <v>2</v>
      </c>
      <c r="D24" s="5">
        <f>EXACT(G18,"HWT, IWT")</f>
      </c>
      <c r="E24" s="5" t="s">
        <v>438</v>
      </c>
      <c r="F24" s="5" t="s">
        <v>17</v>
      </c>
      <c r="G24" s="5" t="s">
        <v>2</v>
      </c>
      <c r="H24" s="5" t="s">
        <v>2</v>
      </c>
      <c r="I24" s="5" t="s">
        <v>2</v>
      </c>
      <c r="J24" s="5" t="s">
        <v>439</v>
      </c>
    </row>
    <row r="25" spans="1:10" x14ac:dyDescent="0.25" outlineLevel="1" collapsed="1">
      <c r="A25" s="7" t="s">
        <v>15</v>
      </c>
      <c r="B25" s="7" t="s">
        <v>47</v>
      </c>
      <c r="C25" s="7" t="s">
        <v>2</v>
      </c>
      <c r="D25" s="7"/>
      <c r="E25" s="7" t="s">
        <v>440</v>
      </c>
      <c r="F25" s="7" t="s">
        <v>17</v>
      </c>
      <c r="G25" s="7" t="b">
        <v>1</v>
      </c>
      <c r="H25" s="7" t="s">
        <v>2</v>
      </c>
      <c r="I25" s="7" t="s">
        <v>2</v>
      </c>
      <c r="J25" s="7" t="s">
        <v>441</v>
      </c>
    </row>
    <row r="26" spans="1:10" x14ac:dyDescent="0.25" outlineLevel="1" collapsed="1">
      <c r="A26" s="7" t="s">
        <v>15</v>
      </c>
      <c r="B26" s="7" t="s">
        <v>194</v>
      </c>
      <c r="C26" s="7" t="s">
        <v>2</v>
      </c>
      <c r="D26" s="7"/>
      <c r="E26" s="7" t="s">
        <v>442</v>
      </c>
      <c r="F26" s="7" t="s">
        <v>17</v>
      </c>
      <c r="G26" s="7">
        <v>1</v>
      </c>
      <c r="H26" s="7" t="s">
        <v>2</v>
      </c>
      <c r="I26" s="7" t="s">
        <v>2</v>
      </c>
      <c r="J26" s="7" t="s">
        <v>443</v>
      </c>
    </row>
    <row r="27" spans="1:10" x14ac:dyDescent="0.25" outlineLevel="1" collapsed="1">
      <c r="A27" s="7" t="s">
        <v>15</v>
      </c>
      <c r="B27" s="7" t="s">
        <v>133</v>
      </c>
      <c r="C27" s="7" t="s">
        <v>413</v>
      </c>
      <c r="D27" s="7"/>
      <c r="E27" s="7" t="s">
        <v>444</v>
      </c>
      <c r="F27" s="7" t="s">
        <v>17</v>
      </c>
      <c r="G27" s="7" t="s">
        <v>1526</v>
      </c>
      <c r="H27" s="7" t="s">
        <v>2</v>
      </c>
      <c r="I27" s="7" t="s">
        <v>2</v>
      </c>
      <c r="J27" s="7" t="s">
        <v>446</v>
      </c>
    </row>
    <row r="28" spans="1:10" x14ac:dyDescent="0.25" outlineLevel="1" collapsed="1">
      <c r="A28" s="7" t="s">
        <v>15</v>
      </c>
      <c r="B28" s="7" t="s">
        <v>20</v>
      </c>
      <c r="C28" s="7" t="s">
        <v>2</v>
      </c>
      <c r="D28" s="7"/>
      <c r="E28" s="7" t="s">
        <v>447</v>
      </c>
      <c r="F28" s="7" t="s">
        <v>17</v>
      </c>
      <c r="G28" s="7" t="s">
        <v>22</v>
      </c>
      <c r="H28" s="7" t="s">
        <v>2</v>
      </c>
      <c r="I28" s="7" t="s">
        <v>2</v>
      </c>
      <c r="J28" s="7" t="s">
        <v>448</v>
      </c>
    </row>
    <row r="29" spans="1:10" x14ac:dyDescent="0.25" outlineLevel="1" collapsed="1">
      <c r="A29" s="7" t="s">
        <v>15</v>
      </c>
      <c r="B29" s="7" t="s">
        <v>20</v>
      </c>
      <c r="C29" s="7" t="s">
        <v>2</v>
      </c>
      <c r="D29" s="7"/>
      <c r="E29" s="7" t="s">
        <v>449</v>
      </c>
      <c r="F29" s="7" t="s">
        <v>17</v>
      </c>
      <c r="G29" s="7" t="s">
        <v>22</v>
      </c>
      <c r="H29" s="7" t="s">
        <v>2</v>
      </c>
      <c r="I29" s="7" t="s">
        <v>2</v>
      </c>
      <c r="J29" s="7" t="s">
        <v>450</v>
      </c>
    </row>
    <row r="30" spans="1:10" x14ac:dyDescent="0.25">
      <c r="A30" s="5" t="s">
        <v>17</v>
      </c>
      <c r="B30" s="6" t="s">
        <v>451</v>
      </c>
      <c r="C30" s="5" t="s">
        <v>2</v>
      </c>
      <c r="D30" s="5">
        <f>EXACT(G18,"CWT, CWS")</f>
      </c>
      <c r="E30" s="5" t="s">
        <v>452</v>
      </c>
      <c r="F30" s="5" t="s">
        <v>17</v>
      </c>
      <c r="G30" s="5" t="s">
        <v>2</v>
      </c>
      <c r="H30" s="5" t="s">
        <v>2</v>
      </c>
      <c r="I30" s="5" t="s">
        <v>2</v>
      </c>
      <c r="J30" s="5" t="s">
        <v>453</v>
      </c>
    </row>
    <row r="31" spans="1:10" x14ac:dyDescent="0.25" outlineLevel="1" collapsed="1">
      <c r="A31" s="7" t="s">
        <v>15</v>
      </c>
      <c r="B31" s="7" t="s">
        <v>20</v>
      </c>
      <c r="C31" s="7" t="s">
        <v>2</v>
      </c>
      <c r="D31" s="7"/>
      <c r="E31" s="7" t="s">
        <v>454</v>
      </c>
      <c r="F31" s="7" t="s">
        <v>17</v>
      </c>
      <c r="G31" s="7" t="s">
        <v>22</v>
      </c>
      <c r="H31" s="7" t="s">
        <v>2</v>
      </c>
      <c r="I31" s="7" t="s">
        <v>2</v>
      </c>
      <c r="J31" s="7" t="s">
        <v>455</v>
      </c>
    </row>
    <row r="32" spans="1:10" x14ac:dyDescent="0.25" outlineLevel="1" collapsed="1">
      <c r="A32" s="7" t="s">
        <v>15</v>
      </c>
      <c r="B32" s="7" t="s">
        <v>20</v>
      </c>
      <c r="C32" s="7" t="s">
        <v>2</v>
      </c>
      <c r="D32" s="7"/>
      <c r="E32" s="7" t="s">
        <v>456</v>
      </c>
      <c r="F32" s="7" t="s">
        <v>17</v>
      </c>
      <c r="G32" s="7" t="s">
        <v>22</v>
      </c>
      <c r="H32" s="7" t="s">
        <v>2</v>
      </c>
      <c r="I32" s="7" t="s">
        <v>2</v>
      </c>
      <c r="J32" s="7" t="s">
        <v>457</v>
      </c>
    </row>
    <row r="33" spans="1:10" x14ac:dyDescent="0.25" outlineLevel="1" collapsed="1">
      <c r="A33" s="7" t="s">
        <v>15</v>
      </c>
      <c r="B33" s="7" t="s">
        <v>194</v>
      </c>
      <c r="C33" s="7" t="s">
        <v>2</v>
      </c>
      <c r="D33" s="7"/>
      <c r="E33" s="7" t="s">
        <v>458</v>
      </c>
      <c r="F33" s="7" t="s">
        <v>17</v>
      </c>
      <c r="G33" s="7">
        <v>1</v>
      </c>
      <c r="H33" s="7" t="s">
        <v>2</v>
      </c>
      <c r="I33" s="7" t="s">
        <v>2</v>
      </c>
      <c r="J33" s="7" t="s">
        <v>459</v>
      </c>
    </row>
    <row r="34" spans="1:10" x14ac:dyDescent="0.25" outlineLevel="1" collapsed="1">
      <c r="A34" s="7" t="s">
        <v>15</v>
      </c>
      <c r="B34" s="7" t="s">
        <v>20</v>
      </c>
      <c r="C34" s="7" t="s">
        <v>2</v>
      </c>
      <c r="D34" s="7"/>
      <c r="E34" s="7" t="s">
        <v>460</v>
      </c>
      <c r="F34" s="7" t="s">
        <v>17</v>
      </c>
      <c r="G34" s="7" t="s">
        <v>22</v>
      </c>
      <c r="H34" s="7" t="s">
        <v>2</v>
      </c>
      <c r="I34" s="7" t="s">
        <v>2</v>
      </c>
      <c r="J34" s="7" t="s">
        <v>461</v>
      </c>
    </row>
    <row r="35" spans="1:10" x14ac:dyDescent="0.25" outlineLevel="1" collapsed="1">
      <c r="A35" s="7" t="s">
        <v>15</v>
      </c>
      <c r="B35" s="7" t="s">
        <v>20</v>
      </c>
      <c r="C35" s="7" t="s">
        <v>2</v>
      </c>
      <c r="D35" s="7"/>
      <c r="E35" s="7" t="s">
        <v>462</v>
      </c>
      <c r="F35" s="7" t="s">
        <v>17</v>
      </c>
      <c r="G35" s="7" t="s">
        <v>22</v>
      </c>
      <c r="H35" s="7" t="s">
        <v>2</v>
      </c>
      <c r="I35" s="7" t="s">
        <v>2</v>
      </c>
      <c r="J35" s="7" t="s">
        <v>463</v>
      </c>
    </row>
    <row r="36" spans="1:10" x14ac:dyDescent="0.25" outlineLevel="1" collapsed="1">
      <c r="A36" s="7" t="s">
        <v>15</v>
      </c>
      <c r="B36" s="7" t="s">
        <v>47</v>
      </c>
      <c r="C36" s="7" t="s">
        <v>2</v>
      </c>
      <c r="D36" s="7"/>
      <c r="E36" s="7" t="s">
        <v>464</v>
      </c>
      <c r="F36" s="7" t="s">
        <v>17</v>
      </c>
      <c r="G36" s="7" t="b">
        <v>1</v>
      </c>
      <c r="H36" s="7" t="s">
        <v>2</v>
      </c>
      <c r="I36" s="7" t="s">
        <v>2</v>
      </c>
      <c r="J36" s="7" t="s">
        <v>465</v>
      </c>
    </row>
    <row r="37" spans="1:10" x14ac:dyDescent="0.25" outlineLevel="1" collapsed="1">
      <c r="A37" s="7" t="s">
        <v>15</v>
      </c>
      <c r="B37" s="7" t="s">
        <v>20</v>
      </c>
      <c r="C37" s="7" t="s">
        <v>2</v>
      </c>
      <c r="D37" s="7"/>
      <c r="E37" s="7" t="s">
        <v>466</v>
      </c>
      <c r="F37" s="7" t="s">
        <v>17</v>
      </c>
      <c r="G37" s="7" t="s">
        <v>22</v>
      </c>
      <c r="H37" s="7" t="s">
        <v>2</v>
      </c>
      <c r="I37" s="7" t="s">
        <v>2</v>
      </c>
      <c r="J37" s="7" t="s">
        <v>467</v>
      </c>
    </row>
    <row r="38" spans="1:10" x14ac:dyDescent="0.25" outlineLevel="1" collapsed="1">
      <c r="A38" s="7" t="s">
        <v>15</v>
      </c>
      <c r="B38" s="7" t="s">
        <v>125</v>
      </c>
      <c r="C38" s="7" t="s">
        <v>2</v>
      </c>
      <c r="D38" s="7"/>
      <c r="E38" s="7" t="s">
        <v>468</v>
      </c>
      <c r="F38" s="7" t="s">
        <v>17</v>
      </c>
      <c r="G38" s="7" t="s">
        <v>1527</v>
      </c>
      <c r="H38" s="7" t="s">
        <v>2</v>
      </c>
      <c r="I38" s="7" t="s">
        <v>2</v>
      </c>
      <c r="J38" s="7" t="s">
        <v>470</v>
      </c>
    </row>
    <row r="39" spans="1:10" x14ac:dyDescent="0.25">
      <c r="A39" s="5" t="s">
        <v>17</v>
      </c>
      <c r="B39" s="6" t="s">
        <v>471</v>
      </c>
      <c r="C39" s="5" t="s">
        <v>2</v>
      </c>
      <c r="D39" s="5">
        <f>EXACT(G18,"CWT, CWS")</f>
      </c>
      <c r="E39" s="5" t="s">
        <v>472</v>
      </c>
      <c r="F39" s="5" t="s">
        <v>17</v>
      </c>
      <c r="G39" s="5" t="s">
        <v>2</v>
      </c>
      <c r="H39" s="5" t="s">
        <v>2</v>
      </c>
      <c r="I39" s="5" t="s">
        <v>2</v>
      </c>
      <c r="J39" s="5" t="s">
        <v>473</v>
      </c>
    </row>
    <row r="40" spans="1:10" x14ac:dyDescent="0.25" outlineLevel="1" collapsed="1">
      <c r="A40" s="7" t="s">
        <v>15</v>
      </c>
      <c r="B40" s="7" t="s">
        <v>194</v>
      </c>
      <c r="C40" s="7" t="s">
        <v>2</v>
      </c>
      <c r="D40" s="7"/>
      <c r="E40" s="7" t="s">
        <v>474</v>
      </c>
      <c r="F40" s="7" t="s">
        <v>17</v>
      </c>
      <c r="G40" s="7">
        <v>1</v>
      </c>
      <c r="H40" s="7" t="s">
        <v>2</v>
      </c>
      <c r="I40" s="7" t="s">
        <v>2</v>
      </c>
      <c r="J40" s="7" t="s">
        <v>475</v>
      </c>
    </row>
    <row r="41" spans="1:10" x14ac:dyDescent="0.25" outlineLevel="1" collapsed="1">
      <c r="A41" s="7" t="s">
        <v>15</v>
      </c>
      <c r="B41" s="7" t="s">
        <v>194</v>
      </c>
      <c r="C41" s="7" t="s">
        <v>2</v>
      </c>
      <c r="D41" s="7"/>
      <c r="E41" s="7" t="s">
        <v>476</v>
      </c>
      <c r="F41" s="7" t="s">
        <v>17</v>
      </c>
      <c r="G41" s="7">
        <v>1</v>
      </c>
      <c r="H41" s="7" t="s">
        <v>2</v>
      </c>
      <c r="I41" s="7" t="s">
        <v>2</v>
      </c>
      <c r="J41" s="7" t="s">
        <v>477</v>
      </c>
    </row>
    <row r="42" spans="1:10" x14ac:dyDescent="0.25" outlineLevel="1" collapsed="1">
      <c r="A42" s="7" t="s">
        <v>15</v>
      </c>
      <c r="B42" s="7" t="s">
        <v>194</v>
      </c>
      <c r="C42" s="7" t="s">
        <v>2</v>
      </c>
      <c r="D42" s="7"/>
      <c r="E42" s="7" t="s">
        <v>478</v>
      </c>
      <c r="F42" s="7" t="s">
        <v>17</v>
      </c>
      <c r="G42" s="7">
        <v>1</v>
      </c>
      <c r="H42" s="7" t="s">
        <v>2</v>
      </c>
      <c r="I42" s="7" t="s">
        <v>2</v>
      </c>
      <c r="J42" s="7" t="s">
        <v>479</v>
      </c>
    </row>
    <row r="43" spans="1:10" x14ac:dyDescent="0.25" outlineLevel="1" collapsed="1">
      <c r="A43" s="7" t="s">
        <v>15</v>
      </c>
      <c r="B43" s="7" t="s">
        <v>53</v>
      </c>
      <c r="C43" s="7" t="s">
        <v>2</v>
      </c>
      <c r="D43" s="7"/>
      <c r="E43" s="7" t="s">
        <v>480</v>
      </c>
      <c r="F43" s="7" t="s">
        <v>17</v>
      </c>
      <c r="G43" s="7">
        <v>1</v>
      </c>
      <c r="H43" s="7" t="s">
        <v>2</v>
      </c>
      <c r="I43" s="7" t="s">
        <v>2</v>
      </c>
      <c r="J43" s="7" t="s">
        <v>481</v>
      </c>
    </row>
    <row r="44" spans="1:10" x14ac:dyDescent="0.25" outlineLevel="1" collapsed="1">
      <c r="A44" s="7" t="s">
        <v>15</v>
      </c>
      <c r="B44" s="7" t="s">
        <v>194</v>
      </c>
      <c r="C44" s="7" t="s">
        <v>2</v>
      </c>
      <c r="D44" s="7"/>
      <c r="E44" s="7" t="s">
        <v>482</v>
      </c>
      <c r="F44" s="7" t="s">
        <v>17</v>
      </c>
      <c r="G44" s="7">
        <v>1</v>
      </c>
      <c r="H44" s="7" t="s">
        <v>2</v>
      </c>
      <c r="I44" s="7" t="s">
        <v>2</v>
      </c>
      <c r="J44" s="7" t="s">
        <v>483</v>
      </c>
    </row>
  </sheetData>
  <mergeCells count="3">
    <mergeCell ref="A1:J1"/>
    <mergeCell ref="B2:J2"/>
    <mergeCell ref="B3:J3"/>
  </mergeCells>
  <dataValidations count="1">
    <dataValidation type="list" allowBlank="1" sqref="G18:I18">
      <formula1>'Enums'!C1840:C1841</formula1>
    </dataValidation>
  </dataValidations>
  <hyperlinks>
    <hyperlink ref="B7" r:id="rId1" location="#'Description of Monitoring S 6'!A1"/>
    <hyperlink ref="B19" r:id="rId2" location="#'Description of Monitoring Syst'!A1"/>
    <hyperlink ref="B24" r:id="rId3" location="#'Description of Monitoring S 5'!A1"/>
    <hyperlink ref="B30" r:id="rId4" location="#'Description of Monitoring S 3'!A1"/>
    <hyperlink ref="B39" r:id="rId5" location="#'Description of Monitoring S 4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1528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1529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454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455</v>
      </c>
    </row>
    <row r="6" spans="1:10" x14ac:dyDescent="0.25">
      <c r="A6" s="5" t="s">
        <v>15</v>
      </c>
      <c r="B6" s="5" t="s">
        <v>20</v>
      </c>
      <c r="C6" s="5" t="s">
        <v>2</v>
      </c>
      <c r="D6" s="5"/>
      <c r="E6" s="5" t="s">
        <v>456</v>
      </c>
      <c r="F6" s="5" t="s">
        <v>17</v>
      </c>
      <c r="G6" s="5" t="s">
        <v>22</v>
      </c>
      <c r="H6" s="5" t="s">
        <v>2</v>
      </c>
      <c r="I6" s="5" t="s">
        <v>2</v>
      </c>
      <c r="J6" s="5" t="s">
        <v>457</v>
      </c>
    </row>
    <row r="7" spans="1:10" x14ac:dyDescent="0.25">
      <c r="A7" s="5" t="s">
        <v>15</v>
      </c>
      <c r="B7" s="5" t="s">
        <v>194</v>
      </c>
      <c r="C7" s="5" t="s">
        <v>2</v>
      </c>
      <c r="D7" s="5"/>
      <c r="E7" s="5" t="s">
        <v>458</v>
      </c>
      <c r="F7" s="5" t="s">
        <v>17</v>
      </c>
      <c r="G7" s="5">
        <v>1</v>
      </c>
      <c r="H7" s="5" t="s">
        <v>2</v>
      </c>
      <c r="I7" s="5" t="s">
        <v>2</v>
      </c>
      <c r="J7" s="5" t="s">
        <v>459</v>
      </c>
    </row>
    <row r="8" spans="1:10" x14ac:dyDescent="0.25">
      <c r="A8" s="5" t="s">
        <v>15</v>
      </c>
      <c r="B8" s="5" t="s">
        <v>20</v>
      </c>
      <c r="C8" s="5" t="s">
        <v>2</v>
      </c>
      <c r="D8" s="5"/>
      <c r="E8" s="5" t="s">
        <v>460</v>
      </c>
      <c r="F8" s="5" t="s">
        <v>17</v>
      </c>
      <c r="G8" s="5" t="s">
        <v>22</v>
      </c>
      <c r="H8" s="5" t="s">
        <v>2</v>
      </c>
      <c r="I8" s="5" t="s">
        <v>2</v>
      </c>
      <c r="J8" s="5" t="s">
        <v>461</v>
      </c>
    </row>
    <row r="9" spans="1:10" x14ac:dyDescent="0.25">
      <c r="A9" s="5" t="s">
        <v>15</v>
      </c>
      <c r="B9" s="5" t="s">
        <v>20</v>
      </c>
      <c r="C9" s="5" t="s">
        <v>2</v>
      </c>
      <c r="D9" s="5"/>
      <c r="E9" s="5" t="s">
        <v>462</v>
      </c>
      <c r="F9" s="5" t="s">
        <v>17</v>
      </c>
      <c r="G9" s="5" t="s">
        <v>22</v>
      </c>
      <c r="H9" s="5" t="s">
        <v>2</v>
      </c>
      <c r="I9" s="5" t="s">
        <v>2</v>
      </c>
      <c r="J9" s="5" t="s">
        <v>463</v>
      </c>
    </row>
    <row r="10" spans="1:10" x14ac:dyDescent="0.25">
      <c r="A10" s="5" t="s">
        <v>15</v>
      </c>
      <c r="B10" s="5" t="s">
        <v>47</v>
      </c>
      <c r="C10" s="5" t="s">
        <v>2</v>
      </c>
      <c r="D10" s="5"/>
      <c r="E10" s="5" t="s">
        <v>464</v>
      </c>
      <c r="F10" s="5" t="s">
        <v>17</v>
      </c>
      <c r="G10" s="5" t="b">
        <v>1</v>
      </c>
      <c r="H10" s="5" t="s">
        <v>2</v>
      </c>
      <c r="I10" s="5" t="s">
        <v>2</v>
      </c>
      <c r="J10" s="5" t="s">
        <v>465</v>
      </c>
    </row>
    <row r="11" spans="1:10" x14ac:dyDescent="0.25">
      <c r="A11" s="5" t="s">
        <v>15</v>
      </c>
      <c r="B11" s="5" t="s">
        <v>20</v>
      </c>
      <c r="C11" s="5" t="s">
        <v>2</v>
      </c>
      <c r="D11" s="5"/>
      <c r="E11" s="5" t="s">
        <v>466</v>
      </c>
      <c r="F11" s="5" t="s">
        <v>17</v>
      </c>
      <c r="G11" s="5" t="s">
        <v>22</v>
      </c>
      <c r="H11" s="5" t="s">
        <v>2</v>
      </c>
      <c r="I11" s="5" t="s">
        <v>2</v>
      </c>
      <c r="J11" s="5" t="s">
        <v>467</v>
      </c>
    </row>
    <row r="12" spans="1:10" x14ac:dyDescent="0.25">
      <c r="A12" s="5" t="s">
        <v>15</v>
      </c>
      <c r="B12" s="5" t="s">
        <v>125</v>
      </c>
      <c r="C12" s="5" t="s">
        <v>2</v>
      </c>
      <c r="D12" s="5"/>
      <c r="E12" s="5" t="s">
        <v>468</v>
      </c>
      <c r="F12" s="5" t="s">
        <v>17</v>
      </c>
      <c r="G12" s="5" t="s">
        <v>1530</v>
      </c>
      <c r="H12" s="5" t="s">
        <v>2</v>
      </c>
      <c r="I12" s="5" t="s">
        <v>2</v>
      </c>
      <c r="J12" s="5" t="s">
        <v>470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41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44</v>
      </c>
      <c r="C5" s="12" t="s">
        <v>45</v>
      </c>
      <c r="D5" s="5"/>
      <c r="E5" s="5" t="s">
        <v>41</v>
      </c>
      <c r="F5" s="5" t="s">
        <v>15</v>
      </c>
      <c r="G5" s="5" t="s">
        <v>46</v>
      </c>
      <c r="H5" s="5" t="s">
        <v>2</v>
      </c>
      <c r="I5" s="5" t="s">
        <v>2</v>
      </c>
      <c r="J5" s="5" t="s">
        <v>43</v>
      </c>
    </row>
    <row r="6" spans="1:10" x14ac:dyDescent="0.25">
      <c r="A6" s="5" t="s">
        <v>15</v>
      </c>
      <c r="B6" s="5" t="s">
        <v>47</v>
      </c>
      <c r="C6" s="5" t="s">
        <v>2</v>
      </c>
      <c r="D6" s="5"/>
      <c r="E6" s="5" t="s">
        <v>48</v>
      </c>
      <c r="F6" s="5" t="s">
        <v>17</v>
      </c>
      <c r="G6" s="5" t="s">
        <v>15</v>
      </c>
      <c r="H6" s="5" t="s">
        <v>2</v>
      </c>
      <c r="I6" s="5" t="s">
        <v>2</v>
      </c>
      <c r="J6" s="5" t="s">
        <v>49</v>
      </c>
    </row>
    <row r="7" spans="1:10" x14ac:dyDescent="0.25">
      <c r="A7" s="5" t="s">
        <v>15</v>
      </c>
      <c r="B7" s="5" t="s">
        <v>26</v>
      </c>
      <c r="C7" s="5" t="s">
        <v>2</v>
      </c>
      <c r="D7" s="5"/>
      <c r="E7" s="5" t="s">
        <v>50</v>
      </c>
      <c r="F7" s="5" t="s">
        <v>17</v>
      </c>
      <c r="G7" s="5" t="s">
        <v>51</v>
      </c>
      <c r="H7" s="5" t="s">
        <v>2</v>
      </c>
      <c r="I7" s="5" t="s">
        <v>2</v>
      </c>
      <c r="J7" s="5" t="s">
        <v>52</v>
      </c>
    </row>
    <row r="8" spans="1:10" x14ac:dyDescent="0.25">
      <c r="A8" s="5" t="s">
        <v>15</v>
      </c>
      <c r="B8" s="5" t="s">
        <v>53</v>
      </c>
      <c r="C8" s="5" t="s">
        <v>2</v>
      </c>
      <c r="D8" s="5"/>
      <c r="E8" s="5" t="s">
        <v>54</v>
      </c>
      <c r="F8" s="5" t="s">
        <v>17</v>
      </c>
      <c r="G8" s="5">
        <v>320</v>
      </c>
      <c r="H8" s="5" t="s">
        <v>2</v>
      </c>
      <c r="I8" s="5" t="s">
        <v>2</v>
      </c>
      <c r="J8" s="5" t="s">
        <v>55</v>
      </c>
    </row>
    <row r="9" spans="1:10" x14ac:dyDescent="0.25">
      <c r="A9" s="5" t="s">
        <v>15</v>
      </c>
      <c r="B9" s="5" t="s">
        <v>53</v>
      </c>
      <c r="C9" s="5" t="s">
        <v>2</v>
      </c>
      <c r="D9" s="5"/>
      <c r="E9" s="5" t="s">
        <v>56</v>
      </c>
      <c r="F9" s="5" t="s">
        <v>17</v>
      </c>
      <c r="G9" s="5">
        <v>30</v>
      </c>
      <c r="H9" s="5" t="s">
        <v>2</v>
      </c>
      <c r="I9" s="5" t="s">
        <v>2</v>
      </c>
      <c r="J9" s="5" t="s">
        <v>57</v>
      </c>
    </row>
    <row r="10" spans="1:10" x14ac:dyDescent="0.25">
      <c r="A10" s="5" t="s">
        <v>15</v>
      </c>
      <c r="B10" s="5" t="s">
        <v>20</v>
      </c>
      <c r="C10" s="5" t="s">
        <v>2</v>
      </c>
      <c r="D10" s="5"/>
      <c r="E10" s="5" t="s">
        <v>58</v>
      </c>
      <c r="F10" s="5" t="s">
        <v>17</v>
      </c>
      <c r="G10" s="5" t="s">
        <v>59</v>
      </c>
      <c r="H10" s="5" t="s">
        <v>2</v>
      </c>
      <c r="I10" s="5" t="s">
        <v>2</v>
      </c>
      <c r="J10" s="5" t="s">
        <v>60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1531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47</v>
      </c>
      <c r="C5" s="5" t="s">
        <v>2</v>
      </c>
      <c r="D5" s="5"/>
      <c r="E5" s="5" t="s">
        <v>294</v>
      </c>
      <c r="F5" s="5" t="s">
        <v>17</v>
      </c>
      <c r="G5" s="5" t="b">
        <v>1</v>
      </c>
      <c r="H5" s="5" t="s">
        <v>2</v>
      </c>
      <c r="I5" s="5" t="s">
        <v>2</v>
      </c>
      <c r="J5" s="5" t="s">
        <v>295</v>
      </c>
    </row>
    <row r="6" spans="1:10" x14ac:dyDescent="0.25">
      <c r="A6" s="5" t="s">
        <v>17</v>
      </c>
      <c r="B6" s="5" t="s">
        <v>26</v>
      </c>
      <c r="C6" s="5" t="s">
        <v>2</v>
      </c>
      <c r="D6" s="5">
        <f>EXACT(G5,true)</f>
      </c>
      <c r="E6" s="5" t="s">
        <v>296</v>
      </c>
      <c r="F6" s="5" t="s">
        <v>17</v>
      </c>
      <c r="G6" s="5" t="s">
        <v>37</v>
      </c>
      <c r="H6" s="5" t="s">
        <v>2</v>
      </c>
      <c r="I6" s="5" t="s">
        <v>2</v>
      </c>
      <c r="J6" s="5" t="s">
        <v>297</v>
      </c>
    </row>
    <row r="7" spans="1:10" x14ac:dyDescent="0.25">
      <c r="A7" s="5" t="s">
        <v>17</v>
      </c>
      <c r="B7" s="5" t="s">
        <v>133</v>
      </c>
      <c r="C7" s="5" t="s">
        <v>298</v>
      </c>
      <c r="D7" s="5">
        <f>EXACT(G5,true)</f>
      </c>
      <c r="E7" s="5" t="s">
        <v>299</v>
      </c>
      <c r="F7" s="5" t="s">
        <v>17</v>
      </c>
      <c r="G7" s="5" t="s">
        <v>1532</v>
      </c>
      <c r="H7" s="5" t="s">
        <v>2</v>
      </c>
      <c r="I7" s="5" t="s">
        <v>2</v>
      </c>
      <c r="J7" s="5" t="s">
        <v>301</v>
      </c>
    </row>
    <row r="8" spans="1:10" x14ac:dyDescent="0.25">
      <c r="A8" s="5" t="s">
        <v>17</v>
      </c>
      <c r="B8" s="5" t="s">
        <v>26</v>
      </c>
      <c r="C8" s="5" t="s">
        <v>2</v>
      </c>
      <c r="D8" s="5">
        <f>EXACT(G5,true)</f>
      </c>
      <c r="E8" s="5" t="s">
        <v>302</v>
      </c>
      <c r="F8" s="5" t="s">
        <v>17</v>
      </c>
      <c r="G8" s="5" t="s">
        <v>37</v>
      </c>
      <c r="H8" s="5" t="s">
        <v>2</v>
      </c>
      <c r="I8" s="5" t="s">
        <v>2</v>
      </c>
      <c r="J8" s="5" t="s">
        <v>303</v>
      </c>
    </row>
    <row r="9" spans="1:10" x14ac:dyDescent="0.25">
      <c r="A9" s="5" t="s">
        <v>17</v>
      </c>
      <c r="B9" s="5" t="s">
        <v>125</v>
      </c>
      <c r="C9" s="5" t="s">
        <v>2</v>
      </c>
      <c r="D9" s="5">
        <f>EXACT(G5,true)</f>
      </c>
      <c r="E9" s="5" t="s">
        <v>304</v>
      </c>
      <c r="F9" s="5" t="s">
        <v>17</v>
      </c>
      <c r="G9" s="5" t="s">
        <v>1533</v>
      </c>
      <c r="H9" s="5" t="s">
        <v>2</v>
      </c>
      <c r="I9" s="5" t="s">
        <v>2</v>
      </c>
      <c r="J9" s="5" t="s">
        <v>306</v>
      </c>
    </row>
    <row r="10" spans="1:10" x14ac:dyDescent="0.25">
      <c r="A10" s="5" t="s">
        <v>17</v>
      </c>
      <c r="B10" s="5" t="s">
        <v>125</v>
      </c>
      <c r="C10" s="5" t="s">
        <v>2</v>
      </c>
      <c r="D10" s="5">
        <f>EXACT(G5,true)</f>
      </c>
      <c r="E10" s="5" t="s">
        <v>307</v>
      </c>
      <c r="F10" s="5" t="s">
        <v>17</v>
      </c>
      <c r="G10" s="5" t="s">
        <v>1534</v>
      </c>
      <c r="H10" s="5" t="s">
        <v>2</v>
      </c>
      <c r="I10" s="5" t="s">
        <v>2</v>
      </c>
      <c r="J10" s="5" t="s">
        <v>309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103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103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105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106</v>
      </c>
    </row>
    <row r="6" spans="1:10" x14ac:dyDescent="0.25">
      <c r="A6" s="5" t="s">
        <v>15</v>
      </c>
      <c r="B6" s="5" t="s">
        <v>20</v>
      </c>
      <c r="C6" s="5" t="s">
        <v>2</v>
      </c>
      <c r="D6" s="5"/>
      <c r="E6" s="5" t="s">
        <v>107</v>
      </c>
      <c r="F6" s="5" t="s">
        <v>17</v>
      </c>
      <c r="G6" s="5" t="s">
        <v>22</v>
      </c>
      <c r="H6" s="5" t="s">
        <v>2</v>
      </c>
      <c r="I6" s="5" t="s">
        <v>2</v>
      </c>
      <c r="J6" s="5" t="s">
        <v>108</v>
      </c>
    </row>
    <row r="7" spans="1:10" x14ac:dyDescent="0.25">
      <c r="A7" s="5" t="s">
        <v>15</v>
      </c>
      <c r="B7" s="5" t="s">
        <v>26</v>
      </c>
      <c r="C7" s="5" t="s">
        <v>2</v>
      </c>
      <c r="D7" s="5"/>
      <c r="E7" s="5" t="s">
        <v>109</v>
      </c>
      <c r="F7" s="5" t="s">
        <v>17</v>
      </c>
      <c r="G7" s="5" t="s">
        <v>37</v>
      </c>
      <c r="H7" s="5" t="s">
        <v>2</v>
      </c>
      <c r="I7" s="5" t="s">
        <v>2</v>
      </c>
      <c r="J7" s="5" t="s">
        <v>110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168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168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133</v>
      </c>
      <c r="C5" s="5" t="s">
        <v>142</v>
      </c>
      <c r="D5" s="5"/>
      <c r="E5" s="5" t="s">
        <v>21</v>
      </c>
      <c r="F5" s="5" t="s">
        <v>17</v>
      </c>
      <c r="G5" s="5" t="s">
        <v>1535</v>
      </c>
      <c r="H5" s="5" t="s">
        <v>2</v>
      </c>
      <c r="I5" s="5" t="s">
        <v>2</v>
      </c>
      <c r="J5" s="5" t="s">
        <v>23</v>
      </c>
    </row>
    <row r="6" spans="1:10" x14ac:dyDescent="0.25">
      <c r="A6" s="5" t="s">
        <v>15</v>
      </c>
      <c r="B6" s="5" t="s">
        <v>133</v>
      </c>
      <c r="C6" s="5" t="s">
        <v>142</v>
      </c>
      <c r="D6" s="5"/>
      <c r="E6" s="5" t="s">
        <v>172</v>
      </c>
      <c r="F6" s="5" t="s">
        <v>17</v>
      </c>
      <c r="G6" s="5" t="s">
        <v>1536</v>
      </c>
      <c r="H6" s="5" t="s">
        <v>2</v>
      </c>
      <c r="I6" s="5" t="s">
        <v>2</v>
      </c>
      <c r="J6" s="5" t="s">
        <v>174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1200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1537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26</v>
      </c>
      <c r="C5" s="5" t="s">
        <v>2</v>
      </c>
      <c r="D5" s="5"/>
      <c r="E5" s="5" t="s">
        <v>1203</v>
      </c>
      <c r="F5" s="5" t="s">
        <v>17</v>
      </c>
      <c r="G5" s="5" t="s">
        <v>37</v>
      </c>
      <c r="H5" s="5" t="s">
        <v>2</v>
      </c>
      <c r="I5" s="5" t="s">
        <v>2</v>
      </c>
      <c r="J5" s="5" t="s">
        <v>739</v>
      </c>
    </row>
    <row r="6" spans="1:10" x14ac:dyDescent="0.25">
      <c r="A6" s="5" t="s">
        <v>15</v>
      </c>
      <c r="B6" s="6" t="s">
        <v>1204</v>
      </c>
      <c r="C6" s="5" t="s">
        <v>2</v>
      </c>
      <c r="D6" s="5"/>
      <c r="E6" s="5" t="s">
        <v>1205</v>
      </c>
      <c r="F6" s="5" t="s">
        <v>17</v>
      </c>
      <c r="G6" s="5" t="s">
        <v>2</v>
      </c>
      <c r="H6" s="5" t="s">
        <v>2</v>
      </c>
      <c r="I6" s="5" t="s">
        <v>2</v>
      </c>
      <c r="J6" s="5" t="s">
        <v>903</v>
      </c>
    </row>
    <row r="7" spans="1:10" x14ac:dyDescent="0.25" outlineLevel="1" collapsed="1">
      <c r="A7" s="7" t="s">
        <v>15</v>
      </c>
      <c r="B7" s="7" t="s">
        <v>26</v>
      </c>
      <c r="C7" s="7" t="s">
        <v>2</v>
      </c>
      <c r="D7" s="7"/>
      <c r="E7" s="7" t="s">
        <v>36</v>
      </c>
      <c r="F7" s="7" t="s">
        <v>17</v>
      </c>
      <c r="G7" s="7" t="s">
        <v>37</v>
      </c>
      <c r="H7" s="7" t="s">
        <v>2</v>
      </c>
      <c r="I7" s="7" t="s">
        <v>2</v>
      </c>
      <c r="J7" s="7" t="s">
        <v>1206</v>
      </c>
    </row>
    <row r="8" spans="1:10" x14ac:dyDescent="0.25" outlineLevel="1" collapsed="1">
      <c r="A8" s="7" t="s">
        <v>15</v>
      </c>
      <c r="B8" s="7" t="s">
        <v>26</v>
      </c>
      <c r="C8" s="7" t="s">
        <v>2</v>
      </c>
      <c r="D8" s="7"/>
      <c r="E8" s="7" t="s">
        <v>39</v>
      </c>
      <c r="F8" s="7" t="s">
        <v>17</v>
      </c>
      <c r="G8" s="7" t="s">
        <v>37</v>
      </c>
      <c r="H8" s="7" t="s">
        <v>2</v>
      </c>
      <c r="I8" s="7" t="s">
        <v>2</v>
      </c>
      <c r="J8" s="7" t="s">
        <v>1207</v>
      </c>
    </row>
    <row r="9" spans="1:10" x14ac:dyDescent="0.25">
      <c r="A9" s="5" t="s">
        <v>17</v>
      </c>
      <c r="B9" s="5" t="s">
        <v>20</v>
      </c>
      <c r="C9" s="5" t="s">
        <v>2</v>
      </c>
      <c r="D9" s="5" t="s">
        <v>506</v>
      </c>
      <c r="E9" s="5" t="s">
        <v>1208</v>
      </c>
      <c r="F9" s="5" t="s">
        <v>17</v>
      </c>
      <c r="G9" s="5" t="s">
        <v>22</v>
      </c>
      <c r="H9" s="5" t="s">
        <v>2</v>
      </c>
      <c r="I9" s="5" t="s">
        <v>2</v>
      </c>
      <c r="J9" s="5" t="s">
        <v>909</v>
      </c>
    </row>
    <row r="10" spans="1:10" x14ac:dyDescent="0.25">
      <c r="A10" s="5" t="s">
        <v>15</v>
      </c>
      <c r="B10" s="5" t="s">
        <v>44</v>
      </c>
      <c r="C10" s="12" t="s">
        <v>1209</v>
      </c>
      <c r="D10" s="5"/>
      <c r="E10" s="5" t="s">
        <v>1210</v>
      </c>
      <c r="F10" s="5" t="s">
        <v>17</v>
      </c>
      <c r="G10" s="5" t="s">
        <v>906</v>
      </c>
      <c r="H10" s="5" t="s">
        <v>2</v>
      </c>
      <c r="I10" s="5" t="s">
        <v>2</v>
      </c>
      <c r="J10" s="5" t="s">
        <v>907</v>
      </c>
    </row>
  </sheetData>
  <mergeCells count="3">
    <mergeCell ref="A1:J1"/>
    <mergeCell ref="B2:J2"/>
    <mergeCell ref="B3:J3"/>
  </mergeCells>
  <dataValidations count="1">
    <dataValidation type="list" allowBlank="1" sqref="G10:I10">
      <formula1>'Enums'!C1845:C1846</formula1>
    </dataValidation>
  </dataValidations>
  <hyperlinks>
    <hyperlink ref="B6" r:id="rId1" location="#'Project Crediting Period 2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337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337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44</v>
      </c>
      <c r="C5" s="12" t="s">
        <v>339</v>
      </c>
      <c r="D5" s="5"/>
      <c r="E5" s="5" t="s">
        <v>337</v>
      </c>
      <c r="F5" s="5" t="s">
        <v>17</v>
      </c>
      <c r="G5" s="5" t="s">
        <v>340</v>
      </c>
      <c r="H5" s="5" t="s">
        <v>2</v>
      </c>
      <c r="I5" s="5" t="s">
        <v>2</v>
      </c>
      <c r="J5" s="5" t="s">
        <v>338</v>
      </c>
    </row>
  </sheetData>
  <mergeCells count="3">
    <mergeCell ref="A1:J1"/>
    <mergeCell ref="B2:J2"/>
    <mergeCell ref="B3:J3"/>
  </mergeCells>
  <dataValidations count="1">
    <dataValidation type="list" allowBlank="1" sqref="G5:I5">
      <formula1>'Enums'!C2422:C2674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626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628</v>
      </c>
      <c r="C5" s="5" t="s">
        <v>2</v>
      </c>
      <c r="D5" s="5"/>
      <c r="E5" s="5" t="s">
        <v>628</v>
      </c>
      <c r="F5" s="5" t="s">
        <v>15</v>
      </c>
      <c r="G5" s="5" t="s">
        <v>2</v>
      </c>
      <c r="H5" s="5" t="s">
        <v>2</v>
      </c>
      <c r="I5" s="5" t="s">
        <v>2</v>
      </c>
      <c r="J5" s="5" t="s">
        <v>629</v>
      </c>
    </row>
    <row r="6" spans="1:10" x14ac:dyDescent="0.25" outlineLevel="1" collapsed="1">
      <c r="A6" s="7" t="s">
        <v>15</v>
      </c>
      <c r="B6" s="7" t="s">
        <v>20</v>
      </c>
      <c r="C6" s="7" t="s">
        <v>2</v>
      </c>
      <c r="D6" s="7"/>
      <c r="E6" s="7" t="s">
        <v>630</v>
      </c>
      <c r="F6" s="7" t="s">
        <v>17</v>
      </c>
      <c r="G6" s="7" t="s">
        <v>22</v>
      </c>
      <c r="H6" s="7" t="s">
        <v>2</v>
      </c>
      <c r="I6" s="7" t="s">
        <v>2</v>
      </c>
      <c r="J6" s="7" t="s">
        <v>631</v>
      </c>
    </row>
    <row r="7" spans="1:10" x14ac:dyDescent="0.25" outlineLevel="1" collapsed="1">
      <c r="A7" s="7" t="s">
        <v>15</v>
      </c>
      <c r="B7" s="7" t="s">
        <v>53</v>
      </c>
      <c r="C7" s="7" t="s">
        <v>2</v>
      </c>
      <c r="D7" s="7"/>
      <c r="E7" s="7" t="s">
        <v>632</v>
      </c>
      <c r="F7" s="7" t="s">
        <v>17</v>
      </c>
      <c r="G7" s="7">
        <v>1</v>
      </c>
      <c r="H7" s="7" t="s">
        <v>2</v>
      </c>
      <c r="I7" s="7" t="s">
        <v>2</v>
      </c>
      <c r="J7" s="7" t="s">
        <v>633</v>
      </c>
    </row>
    <row r="8" spans="1:10" x14ac:dyDescent="0.25" outlineLevel="1" collapsed="1">
      <c r="A8" s="7" t="s">
        <v>15</v>
      </c>
      <c r="B8" s="7" t="s">
        <v>53</v>
      </c>
      <c r="C8" s="7" t="s">
        <v>2</v>
      </c>
      <c r="D8" s="7"/>
      <c r="E8" s="7" t="s">
        <v>634</v>
      </c>
      <c r="F8" s="7" t="s">
        <v>17</v>
      </c>
      <c r="G8" s="7">
        <v>1</v>
      </c>
      <c r="H8" s="7" t="s">
        <v>2</v>
      </c>
      <c r="I8" s="7" t="s">
        <v>2</v>
      </c>
      <c r="J8" s="7" t="s">
        <v>635</v>
      </c>
    </row>
    <row r="9" spans="1:10" x14ac:dyDescent="0.25" outlineLevel="1" collapsed="1">
      <c r="A9" s="7" t="s">
        <v>15</v>
      </c>
      <c r="B9" s="7" t="s">
        <v>53</v>
      </c>
      <c r="C9" s="7" t="s">
        <v>2</v>
      </c>
      <c r="D9" s="7"/>
      <c r="E9" s="7" t="s">
        <v>636</v>
      </c>
      <c r="F9" s="7" t="s">
        <v>17</v>
      </c>
      <c r="G9" s="7">
        <v>1</v>
      </c>
      <c r="H9" s="7" t="s">
        <v>2</v>
      </c>
      <c r="I9" s="7" t="s">
        <v>2</v>
      </c>
      <c r="J9" s="7" t="s">
        <v>637</v>
      </c>
    </row>
    <row r="10" spans="1:10" x14ac:dyDescent="0.25">
      <c r="A10" s="5" t="s">
        <v>17</v>
      </c>
      <c r="B10" s="5" t="s">
        <v>53</v>
      </c>
      <c r="C10" s="5" t="s">
        <v>2</v>
      </c>
      <c r="D10" s="5" t="s">
        <v>506</v>
      </c>
      <c r="E10" s="5" t="s">
        <v>628</v>
      </c>
      <c r="F10" s="5" t="s">
        <v>17</v>
      </c>
      <c r="G10" s="5">
        <v>1</v>
      </c>
      <c r="H10" s="5" t="s">
        <v>2</v>
      </c>
      <c r="I10" s="5" t="s">
        <v>2</v>
      </c>
      <c r="J10" s="5" t="s">
        <v>638</v>
      </c>
    </row>
    <row r="11" spans="1:10" x14ac:dyDescent="0.25">
      <c r="A11" s="5" t="s">
        <v>15</v>
      </c>
      <c r="B11" s="6" t="s">
        <v>639</v>
      </c>
      <c r="C11" s="5" t="s">
        <v>2</v>
      </c>
      <c r="D11" s="5"/>
      <c r="E11" s="5" t="s">
        <v>639</v>
      </c>
      <c r="F11" s="5" t="s">
        <v>15</v>
      </c>
      <c r="G11" s="5" t="s">
        <v>2</v>
      </c>
      <c r="H11" s="5" t="s">
        <v>2</v>
      </c>
      <c r="I11" s="5" t="s">
        <v>2</v>
      </c>
      <c r="J11" s="5" t="s">
        <v>640</v>
      </c>
    </row>
    <row r="12" spans="1:10" x14ac:dyDescent="0.25" outlineLevel="1" collapsed="1">
      <c r="A12" s="7" t="s">
        <v>15</v>
      </c>
      <c r="B12" s="7" t="s">
        <v>20</v>
      </c>
      <c r="C12" s="7" t="s">
        <v>2</v>
      </c>
      <c r="D12" s="7"/>
      <c r="E12" s="7" t="s">
        <v>641</v>
      </c>
      <c r="F12" s="7" t="s">
        <v>17</v>
      </c>
      <c r="G12" s="7" t="s">
        <v>22</v>
      </c>
      <c r="H12" s="7" t="s">
        <v>2</v>
      </c>
      <c r="I12" s="7" t="s">
        <v>2</v>
      </c>
      <c r="J12" s="7" t="s">
        <v>642</v>
      </c>
    </row>
    <row r="13" spans="1:10" x14ac:dyDescent="0.25" outlineLevel="1" collapsed="1">
      <c r="A13" s="7" t="s">
        <v>15</v>
      </c>
      <c r="B13" s="7" t="s">
        <v>53</v>
      </c>
      <c r="C13" s="7" t="s">
        <v>2</v>
      </c>
      <c r="D13" s="7"/>
      <c r="E13" s="7" t="s">
        <v>643</v>
      </c>
      <c r="F13" s="7" t="s">
        <v>17</v>
      </c>
      <c r="G13" s="7">
        <v>1</v>
      </c>
      <c r="H13" s="7" t="s">
        <v>2</v>
      </c>
      <c r="I13" s="7" t="s">
        <v>2</v>
      </c>
      <c r="J13" s="7" t="s">
        <v>644</v>
      </c>
    </row>
    <row r="14" spans="1:10" x14ac:dyDescent="0.25" outlineLevel="1" collapsed="1">
      <c r="A14" s="7" t="s">
        <v>15</v>
      </c>
      <c r="B14" s="7" t="s">
        <v>53</v>
      </c>
      <c r="C14" s="7" t="s">
        <v>2</v>
      </c>
      <c r="D14" s="7"/>
      <c r="E14" s="7" t="s">
        <v>645</v>
      </c>
      <c r="F14" s="7" t="s">
        <v>17</v>
      </c>
      <c r="G14" s="7">
        <v>1</v>
      </c>
      <c r="H14" s="7" t="s">
        <v>2</v>
      </c>
      <c r="I14" s="7" t="s">
        <v>2</v>
      </c>
      <c r="J14" s="7" t="s">
        <v>646</v>
      </c>
    </row>
    <row r="15" spans="1:10" x14ac:dyDescent="0.25" outlineLevel="1" collapsed="1">
      <c r="A15" s="7" t="s">
        <v>15</v>
      </c>
      <c r="B15" s="7" t="s">
        <v>53</v>
      </c>
      <c r="C15" s="7" t="s">
        <v>2</v>
      </c>
      <c r="D15" s="7"/>
      <c r="E15" s="7" t="s">
        <v>647</v>
      </c>
      <c r="F15" s="7" t="s">
        <v>17</v>
      </c>
      <c r="G15" s="7">
        <v>1</v>
      </c>
      <c r="H15" s="7" t="s">
        <v>2</v>
      </c>
      <c r="I15" s="7" t="s">
        <v>2</v>
      </c>
      <c r="J15" s="7" t="s">
        <v>648</v>
      </c>
    </row>
    <row r="16" spans="1:10" x14ac:dyDescent="0.25">
      <c r="A16" s="5" t="s">
        <v>17</v>
      </c>
      <c r="B16" s="5" t="s">
        <v>53</v>
      </c>
      <c r="C16" s="5" t="s">
        <v>2</v>
      </c>
      <c r="D16" s="5" t="s">
        <v>506</v>
      </c>
      <c r="E16" s="5" t="s">
        <v>649</v>
      </c>
      <c r="F16" s="5" t="s">
        <v>17</v>
      </c>
      <c r="G16" s="5">
        <v>1</v>
      </c>
      <c r="H16" s="5" t="s">
        <v>2</v>
      </c>
      <c r="I16" s="5" t="s">
        <v>2</v>
      </c>
      <c r="J16" s="5" t="s">
        <v>650</v>
      </c>
    </row>
    <row r="17" spans="1:10" x14ac:dyDescent="0.25">
      <c r="A17" s="5" t="s">
        <v>17</v>
      </c>
      <c r="B17" s="5" t="s">
        <v>53</v>
      </c>
      <c r="C17" s="5" t="s">
        <v>2</v>
      </c>
      <c r="D17" s="5" t="s">
        <v>506</v>
      </c>
      <c r="E17" s="5" t="s">
        <v>651</v>
      </c>
      <c r="F17" s="5" t="s">
        <v>17</v>
      </c>
      <c r="G17" s="5">
        <v>1</v>
      </c>
      <c r="H17" s="5" t="s">
        <v>2</v>
      </c>
      <c r="I17" s="5" t="s">
        <v>2</v>
      </c>
      <c r="J17" s="5" t="s">
        <v>652</v>
      </c>
    </row>
    <row r="18" spans="1:10" x14ac:dyDescent="0.25">
      <c r="A18" s="5" t="s">
        <v>17</v>
      </c>
      <c r="B18" s="5" t="s">
        <v>20</v>
      </c>
      <c r="C18" s="5" t="s">
        <v>2</v>
      </c>
      <c r="D18" s="5"/>
      <c r="E18" s="5" t="s">
        <v>519</v>
      </c>
      <c r="F18" s="5" t="s">
        <v>17</v>
      </c>
      <c r="G18" s="5" t="s">
        <v>22</v>
      </c>
      <c r="H18" s="5" t="s">
        <v>2</v>
      </c>
      <c r="I18" s="5" t="s">
        <v>2</v>
      </c>
      <c r="J18" s="5" t="s">
        <v>520</v>
      </c>
    </row>
    <row r="19" spans="1:10" x14ac:dyDescent="0.25">
      <c r="A19" s="5" t="s">
        <v>15</v>
      </c>
      <c r="B19" s="5" t="s">
        <v>125</v>
      </c>
      <c r="C19" s="5" t="s">
        <v>2</v>
      </c>
      <c r="D19" s="5"/>
      <c r="E19" s="5" t="s">
        <v>555</v>
      </c>
      <c r="F19" s="5" t="s">
        <v>17</v>
      </c>
      <c r="G19" s="5" t="s">
        <v>1538</v>
      </c>
      <c r="H19" s="5" t="s">
        <v>2</v>
      </c>
      <c r="I19" s="5" t="s">
        <v>2</v>
      </c>
      <c r="J19" s="5" t="s">
        <v>579</v>
      </c>
    </row>
  </sheetData>
  <mergeCells count="3">
    <mergeCell ref="A1:J1"/>
    <mergeCell ref="B2:J2"/>
    <mergeCell ref="B3:J3"/>
  </mergeCells>
  <hyperlinks>
    <hyperlink ref="B5" r:id="rId1" location="#'Emission by fuel'!A1"/>
    <hyperlink ref="B11" r:id="rId2" location="#'Emission by Electricity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1539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541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406</v>
      </c>
    </row>
    <row r="6" spans="1:10" x14ac:dyDescent="0.25">
      <c r="A6" s="5" t="s">
        <v>15</v>
      </c>
      <c r="B6" s="5" t="s">
        <v>194</v>
      </c>
      <c r="C6" s="5" t="s">
        <v>2</v>
      </c>
      <c r="D6" s="5"/>
      <c r="E6" s="5" t="s">
        <v>565</v>
      </c>
      <c r="F6" s="5" t="s">
        <v>17</v>
      </c>
      <c r="G6" s="5">
        <v>1</v>
      </c>
      <c r="H6" s="5" t="s">
        <v>2</v>
      </c>
      <c r="I6" s="5" t="s">
        <v>2</v>
      </c>
      <c r="J6" s="5" t="s">
        <v>543</v>
      </c>
    </row>
    <row r="7" spans="1:10" x14ac:dyDescent="0.25">
      <c r="A7" s="5" t="s">
        <v>15</v>
      </c>
      <c r="B7" s="6" t="s">
        <v>566</v>
      </c>
      <c r="C7" s="5" t="s">
        <v>2</v>
      </c>
      <c r="D7" s="5"/>
      <c r="E7" s="5" t="s">
        <v>539</v>
      </c>
      <c r="F7" s="5" t="s">
        <v>15</v>
      </c>
      <c r="G7" s="5" t="s">
        <v>2</v>
      </c>
      <c r="H7" s="5" t="s">
        <v>2</v>
      </c>
      <c r="I7" s="5" t="s">
        <v>2</v>
      </c>
      <c r="J7" s="5" t="s">
        <v>567</v>
      </c>
    </row>
    <row r="8" spans="1:10" x14ac:dyDescent="0.25" outlineLevel="1" collapsed="1">
      <c r="A8" s="7" t="s">
        <v>15</v>
      </c>
      <c r="B8" s="7" t="s">
        <v>20</v>
      </c>
      <c r="C8" s="7" t="s">
        <v>2</v>
      </c>
      <c r="D8" s="7"/>
      <c r="E8" s="7" t="s">
        <v>545</v>
      </c>
      <c r="F8" s="7" t="s">
        <v>17</v>
      </c>
      <c r="G8" s="7" t="s">
        <v>22</v>
      </c>
      <c r="H8" s="7" t="s">
        <v>2</v>
      </c>
      <c r="I8" s="7" t="s">
        <v>2</v>
      </c>
      <c r="J8" s="7" t="s">
        <v>546</v>
      </c>
    </row>
    <row r="9" spans="1:10" x14ac:dyDescent="0.25" outlineLevel="1" collapsed="1">
      <c r="A9" s="7" t="s">
        <v>15</v>
      </c>
      <c r="B9" s="7" t="s">
        <v>194</v>
      </c>
      <c r="C9" s="7" t="s">
        <v>2</v>
      </c>
      <c r="D9" s="7"/>
      <c r="E9" s="7" t="s">
        <v>547</v>
      </c>
      <c r="F9" s="7" t="s">
        <v>17</v>
      </c>
      <c r="G9" s="7">
        <v>1</v>
      </c>
      <c r="H9" s="7" t="s">
        <v>2</v>
      </c>
      <c r="I9" s="7" t="s">
        <v>2</v>
      </c>
      <c r="J9" s="7" t="s">
        <v>548</v>
      </c>
    </row>
    <row r="10" spans="1:10" x14ac:dyDescent="0.25" outlineLevel="1" collapsed="1">
      <c r="A10" s="7" t="s">
        <v>15</v>
      </c>
      <c r="B10" s="7" t="s">
        <v>53</v>
      </c>
      <c r="C10" s="7" t="s">
        <v>2</v>
      </c>
      <c r="D10" s="7"/>
      <c r="E10" s="7" t="s">
        <v>549</v>
      </c>
      <c r="F10" s="7" t="s">
        <v>17</v>
      </c>
      <c r="G10" s="7">
        <v>1</v>
      </c>
      <c r="H10" s="7" t="s">
        <v>2</v>
      </c>
      <c r="I10" s="7" t="s">
        <v>2</v>
      </c>
      <c r="J10" s="7" t="s">
        <v>550</v>
      </c>
    </row>
    <row r="11" spans="1:10" x14ac:dyDescent="0.25">
      <c r="A11" s="5" t="s">
        <v>17</v>
      </c>
      <c r="B11" s="5" t="s">
        <v>53</v>
      </c>
      <c r="C11" s="5" t="s">
        <v>2</v>
      </c>
      <c r="D11" s="5" t="s">
        <v>506</v>
      </c>
      <c r="E11" s="5" t="s">
        <v>568</v>
      </c>
      <c r="F11" s="5" t="s">
        <v>17</v>
      </c>
      <c r="G11" s="5">
        <v>1</v>
      </c>
      <c r="H11" s="5" t="s">
        <v>2</v>
      </c>
      <c r="I11" s="5" t="s">
        <v>2</v>
      </c>
      <c r="J11" s="5" t="s">
        <v>552</v>
      </c>
    </row>
    <row r="12" spans="1:10" x14ac:dyDescent="0.25">
      <c r="A12" s="5" t="s">
        <v>15</v>
      </c>
      <c r="B12" s="5" t="s">
        <v>53</v>
      </c>
      <c r="C12" s="5" t="s">
        <v>2</v>
      </c>
      <c r="D12" s="5"/>
      <c r="E12" s="5" t="s">
        <v>569</v>
      </c>
      <c r="F12" s="5" t="s">
        <v>17</v>
      </c>
      <c r="G12" s="5">
        <v>1</v>
      </c>
      <c r="H12" s="5" t="s">
        <v>2</v>
      </c>
      <c r="I12" s="5" t="s">
        <v>2</v>
      </c>
      <c r="J12" s="5" t="s">
        <v>570</v>
      </c>
    </row>
    <row r="13" spans="1:10" x14ac:dyDescent="0.25">
      <c r="A13" s="5" t="s">
        <v>15</v>
      </c>
      <c r="B13" s="5" t="s">
        <v>53</v>
      </c>
      <c r="C13" s="5" t="s">
        <v>2</v>
      </c>
      <c r="D13" s="5"/>
      <c r="E13" s="5" t="s">
        <v>571</v>
      </c>
      <c r="F13" s="5" t="s">
        <v>17</v>
      </c>
      <c r="G13" s="5">
        <v>1</v>
      </c>
      <c r="H13" s="5" t="s">
        <v>2</v>
      </c>
      <c r="I13" s="5" t="s">
        <v>2</v>
      </c>
      <c r="J13" s="5" t="s">
        <v>572</v>
      </c>
    </row>
    <row r="14" spans="1:10" x14ac:dyDescent="0.25">
      <c r="A14" s="5" t="s">
        <v>15</v>
      </c>
      <c r="B14" s="5" t="s">
        <v>53</v>
      </c>
      <c r="C14" s="5" t="s">
        <v>2</v>
      </c>
      <c r="D14" s="5"/>
      <c r="E14" s="5" t="s">
        <v>573</v>
      </c>
      <c r="F14" s="5" t="s">
        <v>17</v>
      </c>
      <c r="G14" s="5">
        <v>1</v>
      </c>
      <c r="H14" s="5" t="s">
        <v>2</v>
      </c>
      <c r="I14" s="5" t="s">
        <v>2</v>
      </c>
      <c r="J14" s="5" t="s">
        <v>574</v>
      </c>
    </row>
    <row r="15" spans="1:10" x14ac:dyDescent="0.25">
      <c r="A15" s="5" t="s">
        <v>17</v>
      </c>
      <c r="B15" s="5" t="s">
        <v>53</v>
      </c>
      <c r="C15" s="5" t="s">
        <v>2</v>
      </c>
      <c r="D15" s="5" t="s">
        <v>506</v>
      </c>
      <c r="E15" s="5" t="s">
        <v>575</v>
      </c>
      <c r="F15" s="5" t="s">
        <v>17</v>
      </c>
      <c r="G15" s="5">
        <v>1</v>
      </c>
      <c r="H15" s="5" t="s">
        <v>2</v>
      </c>
      <c r="I15" s="5" t="s">
        <v>2</v>
      </c>
      <c r="J15" s="5" t="s">
        <v>576</v>
      </c>
    </row>
    <row r="16" spans="1:10" x14ac:dyDescent="0.25">
      <c r="A16" s="5" t="s">
        <v>15</v>
      </c>
      <c r="B16" s="5" t="s">
        <v>194</v>
      </c>
      <c r="C16" s="5" t="s">
        <v>2</v>
      </c>
      <c r="D16" s="5"/>
      <c r="E16" s="5" t="s">
        <v>553</v>
      </c>
      <c r="F16" s="5" t="s">
        <v>17</v>
      </c>
      <c r="G16" s="5">
        <v>1</v>
      </c>
      <c r="H16" s="5" t="s">
        <v>2</v>
      </c>
      <c r="I16" s="5" t="s">
        <v>2</v>
      </c>
      <c r="J16" s="5" t="s">
        <v>554</v>
      </c>
    </row>
    <row r="17" spans="1:10" x14ac:dyDescent="0.25">
      <c r="A17" s="5" t="s">
        <v>17</v>
      </c>
      <c r="B17" s="5" t="s">
        <v>20</v>
      </c>
      <c r="C17" s="5" t="s">
        <v>2</v>
      </c>
      <c r="D17" s="5"/>
      <c r="E17" s="5" t="s">
        <v>577</v>
      </c>
      <c r="F17" s="5" t="s">
        <v>17</v>
      </c>
      <c r="G17" s="5" t="s">
        <v>22</v>
      </c>
      <c r="H17" s="5" t="s">
        <v>2</v>
      </c>
      <c r="I17" s="5" t="s">
        <v>2</v>
      </c>
      <c r="J17" s="5" t="s">
        <v>520</v>
      </c>
    </row>
    <row r="18" spans="1:10" x14ac:dyDescent="0.25">
      <c r="A18" s="5" t="s">
        <v>15</v>
      </c>
      <c r="B18" s="5" t="s">
        <v>125</v>
      </c>
      <c r="C18" s="5" t="s">
        <v>2</v>
      </c>
      <c r="D18" s="5"/>
      <c r="E18" s="5" t="s">
        <v>555</v>
      </c>
      <c r="F18" s="5" t="s">
        <v>17</v>
      </c>
      <c r="G18" s="5" t="s">
        <v>1540</v>
      </c>
      <c r="H18" s="5" t="s">
        <v>2</v>
      </c>
      <c r="I18" s="5" t="s">
        <v>2</v>
      </c>
      <c r="J18" s="5" t="s">
        <v>579</v>
      </c>
    </row>
  </sheetData>
  <mergeCells count="3">
    <mergeCell ref="A1:J1"/>
    <mergeCell ref="B2:J2"/>
    <mergeCell ref="B3:J3"/>
  </mergeCells>
  <hyperlinks>
    <hyperlink ref="B7" r:id="rId1" location="#'Project Water Supply Premis 4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1231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1234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1235</v>
      </c>
    </row>
    <row r="6" spans="1:10" x14ac:dyDescent="0.25">
      <c r="A6" s="5" t="s">
        <v>15</v>
      </c>
      <c r="B6" s="5" t="s">
        <v>47</v>
      </c>
      <c r="C6" s="5" t="s">
        <v>2</v>
      </c>
      <c r="D6" s="5"/>
      <c r="E6" s="5" t="s">
        <v>1236</v>
      </c>
      <c r="F6" s="5" t="s">
        <v>17</v>
      </c>
      <c r="G6" s="5" t="b">
        <v>1</v>
      </c>
      <c r="H6" s="5" t="s">
        <v>2</v>
      </c>
      <c r="I6" s="5" t="s">
        <v>2</v>
      </c>
      <c r="J6" s="5" t="s">
        <v>1237</v>
      </c>
    </row>
    <row r="7" spans="1:10" x14ac:dyDescent="0.25">
      <c r="A7" s="5" t="s">
        <v>15</v>
      </c>
      <c r="B7" s="5" t="s">
        <v>20</v>
      </c>
      <c r="C7" s="5" t="s">
        <v>2</v>
      </c>
      <c r="D7" s="5"/>
      <c r="E7" s="5" t="s">
        <v>1238</v>
      </c>
      <c r="F7" s="5" t="s">
        <v>17</v>
      </c>
      <c r="G7" s="5" t="s">
        <v>22</v>
      </c>
      <c r="H7" s="5" t="s">
        <v>2</v>
      </c>
      <c r="I7" s="5" t="s">
        <v>2</v>
      </c>
      <c r="J7" s="5" t="s">
        <v>1239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1541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1131</v>
      </c>
      <c r="C5" s="5" t="s">
        <v>2</v>
      </c>
      <c r="D5" s="5"/>
      <c r="E5" s="5" t="s">
        <v>1132</v>
      </c>
      <c r="F5" s="5" t="s">
        <v>17</v>
      </c>
      <c r="G5" s="5" t="s">
        <v>2</v>
      </c>
      <c r="H5" s="5" t="s">
        <v>2</v>
      </c>
      <c r="I5" s="5" t="s">
        <v>2</v>
      </c>
      <c r="J5" s="5" t="s">
        <v>1133</v>
      </c>
    </row>
    <row r="6" spans="1:10" x14ac:dyDescent="0.25" outlineLevel="1" collapsed="1">
      <c r="A6" s="7" t="s">
        <v>15</v>
      </c>
      <c r="B6" s="7" t="s">
        <v>20</v>
      </c>
      <c r="C6" s="7" t="s">
        <v>2</v>
      </c>
      <c r="D6" s="7"/>
      <c r="E6" s="7" t="s">
        <v>1134</v>
      </c>
      <c r="F6" s="7" t="s">
        <v>17</v>
      </c>
      <c r="G6" s="7" t="s">
        <v>22</v>
      </c>
      <c r="H6" s="7" t="s">
        <v>2</v>
      </c>
      <c r="I6" s="7" t="s">
        <v>2</v>
      </c>
      <c r="J6" s="7" t="s">
        <v>1135</v>
      </c>
    </row>
    <row r="7" spans="1:10" x14ac:dyDescent="0.25" outlineLevel="1" collapsed="1">
      <c r="A7" s="8" t="s">
        <v>15</v>
      </c>
      <c r="B7" s="9" t="s">
        <v>1136</v>
      </c>
      <c r="C7" s="8" t="s">
        <v>2</v>
      </c>
      <c r="D7" s="8"/>
      <c r="E7" s="8" t="s">
        <v>1137</v>
      </c>
      <c r="F7" s="8" t="s">
        <v>15</v>
      </c>
      <c r="G7" s="8" t="s">
        <v>2</v>
      </c>
      <c r="H7" s="8" t="s">
        <v>2</v>
      </c>
      <c r="I7" s="8" t="s">
        <v>2</v>
      </c>
      <c r="J7" s="8" t="s">
        <v>1138</v>
      </c>
    </row>
    <row r="8" spans="1:10" x14ac:dyDescent="0.25" outlineLevel="2" collapsed="1">
      <c r="A8" s="7" t="s">
        <v>15</v>
      </c>
      <c r="B8" s="7" t="s">
        <v>20</v>
      </c>
      <c r="C8" s="7" t="s">
        <v>2</v>
      </c>
      <c r="D8" s="7"/>
      <c r="E8" s="7" t="s">
        <v>1139</v>
      </c>
      <c r="F8" s="7" t="s">
        <v>17</v>
      </c>
      <c r="G8" s="7" t="s">
        <v>22</v>
      </c>
      <c r="H8" s="7" t="s">
        <v>2</v>
      </c>
      <c r="I8" s="7" t="s">
        <v>2</v>
      </c>
      <c r="J8" s="7" t="s">
        <v>1140</v>
      </c>
    </row>
    <row r="9" spans="1:10" x14ac:dyDescent="0.25" outlineLevel="2" collapsed="1">
      <c r="A9" s="7" t="s">
        <v>15</v>
      </c>
      <c r="B9" s="7" t="s">
        <v>20</v>
      </c>
      <c r="C9" s="7" t="s">
        <v>2</v>
      </c>
      <c r="D9" s="7"/>
      <c r="E9" s="7" t="s">
        <v>1141</v>
      </c>
      <c r="F9" s="7" t="s">
        <v>17</v>
      </c>
      <c r="G9" s="7" t="s">
        <v>22</v>
      </c>
      <c r="H9" s="7" t="s">
        <v>2</v>
      </c>
      <c r="I9" s="7" t="s">
        <v>2</v>
      </c>
      <c r="J9" s="7" t="s">
        <v>1142</v>
      </c>
    </row>
    <row r="10" spans="1:10" x14ac:dyDescent="0.25" outlineLevel="2" collapsed="1">
      <c r="A10" s="7" t="s">
        <v>15</v>
      </c>
      <c r="B10" s="7" t="s">
        <v>20</v>
      </c>
      <c r="C10" s="7" t="s">
        <v>2</v>
      </c>
      <c r="D10" s="7"/>
      <c r="E10" s="7" t="s">
        <v>9</v>
      </c>
      <c r="F10" s="7" t="s">
        <v>17</v>
      </c>
      <c r="G10" s="7" t="s">
        <v>22</v>
      </c>
      <c r="H10" s="7" t="s">
        <v>2</v>
      </c>
      <c r="I10" s="7" t="s">
        <v>2</v>
      </c>
      <c r="J10" s="7" t="s">
        <v>1143</v>
      </c>
    </row>
    <row r="11" spans="1:10" x14ac:dyDescent="0.25" outlineLevel="2" collapsed="1">
      <c r="A11" s="7" t="s">
        <v>15</v>
      </c>
      <c r="B11" s="7" t="s">
        <v>20</v>
      </c>
      <c r="C11" s="7" t="s">
        <v>2</v>
      </c>
      <c r="D11" s="7"/>
      <c r="E11" s="7" t="s">
        <v>1144</v>
      </c>
      <c r="F11" s="7" t="s">
        <v>17</v>
      </c>
      <c r="G11" s="7" t="s">
        <v>22</v>
      </c>
      <c r="H11" s="7" t="s">
        <v>2</v>
      </c>
      <c r="I11" s="7" t="s">
        <v>2</v>
      </c>
      <c r="J11" s="7" t="s">
        <v>1145</v>
      </c>
    </row>
    <row r="12" spans="1:10" x14ac:dyDescent="0.25" outlineLevel="2" collapsed="1">
      <c r="A12" s="7" t="s">
        <v>15</v>
      </c>
      <c r="B12" s="7" t="s">
        <v>20</v>
      </c>
      <c r="C12" s="7" t="s">
        <v>2</v>
      </c>
      <c r="D12" s="7"/>
      <c r="E12" s="7" t="s">
        <v>1146</v>
      </c>
      <c r="F12" s="7" t="s">
        <v>17</v>
      </c>
      <c r="G12" s="7" t="s">
        <v>22</v>
      </c>
      <c r="H12" s="7" t="s">
        <v>2</v>
      </c>
      <c r="I12" s="7" t="s">
        <v>2</v>
      </c>
      <c r="J12" s="7" t="s">
        <v>1147</v>
      </c>
    </row>
    <row r="13" spans="1:10" x14ac:dyDescent="0.25" outlineLevel="2" collapsed="1">
      <c r="A13" s="7" t="s">
        <v>15</v>
      </c>
      <c r="B13" s="7" t="s">
        <v>20</v>
      </c>
      <c r="C13" s="7" t="s">
        <v>2</v>
      </c>
      <c r="D13" s="7"/>
      <c r="E13" s="7" t="s">
        <v>1148</v>
      </c>
      <c r="F13" s="7" t="s">
        <v>17</v>
      </c>
      <c r="G13" s="7" t="s">
        <v>22</v>
      </c>
      <c r="H13" s="7" t="s">
        <v>2</v>
      </c>
      <c r="I13" s="7" t="s">
        <v>2</v>
      </c>
      <c r="J13" s="7" t="s">
        <v>1149</v>
      </c>
    </row>
    <row r="14" spans="1:10" x14ac:dyDescent="0.25" outlineLevel="2" collapsed="1">
      <c r="A14" s="7" t="s">
        <v>15</v>
      </c>
      <c r="B14" s="7" t="s">
        <v>20</v>
      </c>
      <c r="C14" s="7" t="s">
        <v>2</v>
      </c>
      <c r="D14" s="7"/>
      <c r="E14" s="7" t="s">
        <v>1150</v>
      </c>
      <c r="F14" s="7" t="s">
        <v>17</v>
      </c>
      <c r="G14" s="7" t="s">
        <v>22</v>
      </c>
      <c r="H14" s="7" t="s">
        <v>2</v>
      </c>
      <c r="I14" s="7" t="s">
        <v>2</v>
      </c>
      <c r="J14" s="7" t="s">
        <v>1151</v>
      </c>
    </row>
    <row r="15" spans="1:10" x14ac:dyDescent="0.25" outlineLevel="2" collapsed="1">
      <c r="A15" s="7" t="s">
        <v>15</v>
      </c>
      <c r="B15" s="7" t="s">
        <v>20</v>
      </c>
      <c r="C15" s="7" t="s">
        <v>2</v>
      </c>
      <c r="D15" s="7"/>
      <c r="E15" s="7" t="s">
        <v>1152</v>
      </c>
      <c r="F15" s="7" t="s">
        <v>17</v>
      </c>
      <c r="G15" s="7" t="s">
        <v>22</v>
      </c>
      <c r="H15" s="7" t="s">
        <v>2</v>
      </c>
      <c r="I15" s="7" t="s">
        <v>2</v>
      </c>
      <c r="J15" s="7" t="s">
        <v>1153</v>
      </c>
    </row>
    <row r="16" spans="1:10" x14ac:dyDescent="0.25" outlineLevel="1" collapsed="1">
      <c r="A16" s="8" t="s">
        <v>15</v>
      </c>
      <c r="B16" s="9" t="s">
        <v>1154</v>
      </c>
      <c r="C16" s="8" t="s">
        <v>2</v>
      </c>
      <c r="D16" s="8"/>
      <c r="E16" s="8" t="s">
        <v>1155</v>
      </c>
      <c r="F16" s="8" t="s">
        <v>17</v>
      </c>
      <c r="G16" s="8" t="s">
        <v>2</v>
      </c>
      <c r="H16" s="8" t="s">
        <v>2</v>
      </c>
      <c r="I16" s="8" t="s">
        <v>2</v>
      </c>
      <c r="J16" s="8" t="s">
        <v>1156</v>
      </c>
    </row>
    <row r="17" spans="1:10" x14ac:dyDescent="0.25" outlineLevel="2" collapsed="1">
      <c r="A17" s="7" t="s">
        <v>15</v>
      </c>
      <c r="B17" s="7" t="s">
        <v>133</v>
      </c>
      <c r="C17" s="7" t="s">
        <v>885</v>
      </c>
      <c r="D17" s="7"/>
      <c r="E17" s="7" t="s">
        <v>1157</v>
      </c>
      <c r="F17" s="7" t="s">
        <v>17</v>
      </c>
      <c r="G17" s="7" t="s">
        <v>1542</v>
      </c>
      <c r="H17" s="7" t="s">
        <v>2</v>
      </c>
      <c r="I17" s="7" t="s">
        <v>2</v>
      </c>
      <c r="J17" s="7" t="s">
        <v>888</v>
      </c>
    </row>
    <row r="18" spans="1:10" x14ac:dyDescent="0.25" outlineLevel="2" collapsed="1">
      <c r="A18" s="7" t="s">
        <v>15</v>
      </c>
      <c r="B18" s="7" t="s">
        <v>53</v>
      </c>
      <c r="C18" s="7" t="s">
        <v>2</v>
      </c>
      <c r="D18" s="7"/>
      <c r="E18" s="7" t="s">
        <v>1159</v>
      </c>
      <c r="F18" s="7" t="s">
        <v>17</v>
      </c>
      <c r="G18" s="7">
        <v>1</v>
      </c>
      <c r="H18" s="7" t="s">
        <v>2</v>
      </c>
      <c r="I18" s="7" t="s">
        <v>2</v>
      </c>
      <c r="J18" s="7" t="s">
        <v>1160</v>
      </c>
    </row>
    <row r="19" spans="1:10" x14ac:dyDescent="0.25" outlineLevel="2" collapsed="1">
      <c r="A19" s="7" t="s">
        <v>15</v>
      </c>
      <c r="B19" s="7" t="s">
        <v>53</v>
      </c>
      <c r="C19" s="7" t="s">
        <v>2</v>
      </c>
      <c r="D19" s="7"/>
      <c r="E19" s="7" t="s">
        <v>1161</v>
      </c>
      <c r="F19" s="7" t="s">
        <v>17</v>
      </c>
      <c r="G19" s="7">
        <v>1</v>
      </c>
      <c r="H19" s="7" t="s">
        <v>2</v>
      </c>
      <c r="I19" s="7" t="s">
        <v>2</v>
      </c>
      <c r="J19" s="7" t="s">
        <v>1162</v>
      </c>
    </row>
    <row r="20" spans="1:10" x14ac:dyDescent="0.25" outlineLevel="2" collapsed="1">
      <c r="A20" s="7" t="s">
        <v>15</v>
      </c>
      <c r="B20" s="7" t="s">
        <v>53</v>
      </c>
      <c r="C20" s="7" t="s">
        <v>2</v>
      </c>
      <c r="D20" s="7"/>
      <c r="E20" s="7" t="s">
        <v>1163</v>
      </c>
      <c r="F20" s="7" t="s">
        <v>17</v>
      </c>
      <c r="G20" s="7">
        <v>1</v>
      </c>
      <c r="H20" s="7" t="s">
        <v>2</v>
      </c>
      <c r="I20" s="7" t="s">
        <v>2</v>
      </c>
      <c r="J20" s="7" t="s">
        <v>1164</v>
      </c>
    </row>
    <row r="21" spans="1:10" x14ac:dyDescent="0.25" outlineLevel="2" collapsed="1">
      <c r="A21" s="7" t="s">
        <v>15</v>
      </c>
      <c r="B21" s="7" t="s">
        <v>20</v>
      </c>
      <c r="C21" s="7" t="s">
        <v>2</v>
      </c>
      <c r="D21" s="7"/>
      <c r="E21" s="7" t="s">
        <v>1165</v>
      </c>
      <c r="F21" s="7" t="s">
        <v>17</v>
      </c>
      <c r="G21" s="7" t="s">
        <v>22</v>
      </c>
      <c r="H21" s="7" t="s">
        <v>2</v>
      </c>
      <c r="I21" s="7" t="s">
        <v>2</v>
      </c>
      <c r="J21" s="7" t="s">
        <v>1166</v>
      </c>
    </row>
    <row r="22" spans="1:10" x14ac:dyDescent="0.25" outlineLevel="2" collapsed="1">
      <c r="A22" s="7" t="s">
        <v>15</v>
      </c>
      <c r="B22" s="7" t="s">
        <v>194</v>
      </c>
      <c r="C22" s="7" t="s">
        <v>2</v>
      </c>
      <c r="D22" s="7"/>
      <c r="E22" s="7" t="s">
        <v>1167</v>
      </c>
      <c r="F22" s="7" t="s">
        <v>17</v>
      </c>
      <c r="G22" s="7">
        <v>1</v>
      </c>
      <c r="H22" s="7" t="s">
        <v>2</v>
      </c>
      <c r="I22" s="7" t="s">
        <v>2</v>
      </c>
      <c r="J22" s="7" t="s">
        <v>1168</v>
      </c>
    </row>
    <row r="23" spans="1:10" x14ac:dyDescent="0.25">
      <c r="A23" s="5" t="s">
        <v>17</v>
      </c>
      <c r="B23" s="6" t="s">
        <v>1169</v>
      </c>
      <c r="C23" s="5" t="s">
        <v>2</v>
      </c>
      <c r="D23" s="5"/>
      <c r="E23" s="5" t="s">
        <v>1170</v>
      </c>
      <c r="F23" s="5" t="s">
        <v>15</v>
      </c>
      <c r="G23" s="5" t="s">
        <v>2</v>
      </c>
      <c r="H23" s="5" t="s">
        <v>2</v>
      </c>
      <c r="I23" s="5" t="s">
        <v>2</v>
      </c>
      <c r="J23" s="5" t="s">
        <v>1171</v>
      </c>
    </row>
    <row r="24" spans="1:10" x14ac:dyDescent="0.25" outlineLevel="1" collapsed="1">
      <c r="A24" s="7" t="s">
        <v>15</v>
      </c>
      <c r="B24" s="7" t="s">
        <v>44</v>
      </c>
      <c r="C24" s="10" t="s">
        <v>1172</v>
      </c>
      <c r="D24" s="7"/>
      <c r="E24" s="7" t="s">
        <v>1173</v>
      </c>
      <c r="F24" s="7" t="s">
        <v>17</v>
      </c>
      <c r="G24" s="7" t="s">
        <v>762</v>
      </c>
      <c r="H24" s="7" t="s">
        <v>2</v>
      </c>
      <c r="I24" s="7" t="s">
        <v>2</v>
      </c>
      <c r="J24" s="7" t="s">
        <v>763</v>
      </c>
    </row>
    <row r="25" spans="1:10" x14ac:dyDescent="0.25" outlineLevel="1" collapsed="1">
      <c r="A25" s="7" t="s">
        <v>15</v>
      </c>
      <c r="B25" s="7" t="s">
        <v>20</v>
      </c>
      <c r="C25" s="7" t="s">
        <v>2</v>
      </c>
      <c r="D25" s="7"/>
      <c r="E25" s="7" t="s">
        <v>1174</v>
      </c>
      <c r="F25" s="7" t="s">
        <v>17</v>
      </c>
      <c r="G25" s="7" t="s">
        <v>22</v>
      </c>
      <c r="H25" s="7" t="s">
        <v>2</v>
      </c>
      <c r="I25" s="7" t="s">
        <v>2</v>
      </c>
      <c r="J25" s="7" t="s">
        <v>1135</v>
      </c>
    </row>
    <row r="26" spans="1:10" x14ac:dyDescent="0.25" outlineLevel="1" collapsed="1">
      <c r="A26" s="8" t="s">
        <v>15</v>
      </c>
      <c r="B26" s="9" t="s">
        <v>1136</v>
      </c>
      <c r="C26" s="8" t="s">
        <v>2</v>
      </c>
      <c r="D26" s="8"/>
      <c r="E26" s="8" t="s">
        <v>1175</v>
      </c>
      <c r="F26" s="8" t="s">
        <v>15</v>
      </c>
      <c r="G26" s="8" t="s">
        <v>2</v>
      </c>
      <c r="H26" s="8" t="s">
        <v>2</v>
      </c>
      <c r="I26" s="8" t="s">
        <v>2</v>
      </c>
      <c r="J26" s="8" t="s">
        <v>1138</v>
      </c>
    </row>
    <row r="27" spans="1:10" x14ac:dyDescent="0.25" outlineLevel="2" collapsed="1">
      <c r="A27" s="7" t="s">
        <v>15</v>
      </c>
      <c r="B27" s="7" t="s">
        <v>20</v>
      </c>
      <c r="C27" s="7" t="s">
        <v>2</v>
      </c>
      <c r="D27" s="7"/>
      <c r="E27" s="7" t="s">
        <v>1139</v>
      </c>
      <c r="F27" s="7" t="s">
        <v>17</v>
      </c>
      <c r="G27" s="7" t="s">
        <v>22</v>
      </c>
      <c r="H27" s="7" t="s">
        <v>2</v>
      </c>
      <c r="I27" s="7" t="s">
        <v>2</v>
      </c>
      <c r="J27" s="7" t="s">
        <v>1140</v>
      </c>
    </row>
    <row r="28" spans="1:10" x14ac:dyDescent="0.25" outlineLevel="2" collapsed="1">
      <c r="A28" s="7" t="s">
        <v>15</v>
      </c>
      <c r="B28" s="7" t="s">
        <v>20</v>
      </c>
      <c r="C28" s="7" t="s">
        <v>2</v>
      </c>
      <c r="D28" s="7"/>
      <c r="E28" s="7" t="s">
        <v>1141</v>
      </c>
      <c r="F28" s="7" t="s">
        <v>17</v>
      </c>
      <c r="G28" s="7" t="s">
        <v>22</v>
      </c>
      <c r="H28" s="7" t="s">
        <v>2</v>
      </c>
      <c r="I28" s="7" t="s">
        <v>2</v>
      </c>
      <c r="J28" s="7" t="s">
        <v>1142</v>
      </c>
    </row>
    <row r="29" spans="1:10" x14ac:dyDescent="0.25" outlineLevel="2" collapsed="1">
      <c r="A29" s="7" t="s">
        <v>15</v>
      </c>
      <c r="B29" s="7" t="s">
        <v>20</v>
      </c>
      <c r="C29" s="7" t="s">
        <v>2</v>
      </c>
      <c r="D29" s="7"/>
      <c r="E29" s="7" t="s">
        <v>9</v>
      </c>
      <c r="F29" s="7" t="s">
        <v>17</v>
      </c>
      <c r="G29" s="7" t="s">
        <v>22</v>
      </c>
      <c r="H29" s="7" t="s">
        <v>2</v>
      </c>
      <c r="I29" s="7" t="s">
        <v>2</v>
      </c>
      <c r="J29" s="7" t="s">
        <v>1143</v>
      </c>
    </row>
    <row r="30" spans="1:10" x14ac:dyDescent="0.25" outlineLevel="2" collapsed="1">
      <c r="A30" s="7" t="s">
        <v>15</v>
      </c>
      <c r="B30" s="7" t="s">
        <v>20</v>
      </c>
      <c r="C30" s="7" t="s">
        <v>2</v>
      </c>
      <c r="D30" s="7"/>
      <c r="E30" s="7" t="s">
        <v>1144</v>
      </c>
      <c r="F30" s="7" t="s">
        <v>17</v>
      </c>
      <c r="G30" s="7" t="s">
        <v>22</v>
      </c>
      <c r="H30" s="7" t="s">
        <v>2</v>
      </c>
      <c r="I30" s="7" t="s">
        <v>2</v>
      </c>
      <c r="J30" s="7" t="s">
        <v>1145</v>
      </c>
    </row>
    <row r="31" spans="1:10" x14ac:dyDescent="0.25" outlineLevel="2" collapsed="1">
      <c r="A31" s="7" t="s">
        <v>15</v>
      </c>
      <c r="B31" s="7" t="s">
        <v>20</v>
      </c>
      <c r="C31" s="7" t="s">
        <v>2</v>
      </c>
      <c r="D31" s="7"/>
      <c r="E31" s="7" t="s">
        <v>1146</v>
      </c>
      <c r="F31" s="7" t="s">
        <v>17</v>
      </c>
      <c r="G31" s="7" t="s">
        <v>22</v>
      </c>
      <c r="H31" s="7" t="s">
        <v>2</v>
      </c>
      <c r="I31" s="7" t="s">
        <v>2</v>
      </c>
      <c r="J31" s="7" t="s">
        <v>1147</v>
      </c>
    </row>
    <row r="32" spans="1:10" x14ac:dyDescent="0.25" outlineLevel="2" collapsed="1">
      <c r="A32" s="7" t="s">
        <v>15</v>
      </c>
      <c r="B32" s="7" t="s">
        <v>20</v>
      </c>
      <c r="C32" s="7" t="s">
        <v>2</v>
      </c>
      <c r="D32" s="7"/>
      <c r="E32" s="7" t="s">
        <v>1148</v>
      </c>
      <c r="F32" s="7" t="s">
        <v>17</v>
      </c>
      <c r="G32" s="7" t="s">
        <v>22</v>
      </c>
      <c r="H32" s="7" t="s">
        <v>2</v>
      </c>
      <c r="I32" s="7" t="s">
        <v>2</v>
      </c>
      <c r="J32" s="7" t="s">
        <v>1149</v>
      </c>
    </row>
    <row r="33" spans="1:10" x14ac:dyDescent="0.25" outlineLevel="2" collapsed="1">
      <c r="A33" s="7" t="s">
        <v>15</v>
      </c>
      <c r="B33" s="7" t="s">
        <v>20</v>
      </c>
      <c r="C33" s="7" t="s">
        <v>2</v>
      </c>
      <c r="D33" s="7"/>
      <c r="E33" s="7" t="s">
        <v>1150</v>
      </c>
      <c r="F33" s="7" t="s">
        <v>17</v>
      </c>
      <c r="G33" s="7" t="s">
        <v>22</v>
      </c>
      <c r="H33" s="7" t="s">
        <v>2</v>
      </c>
      <c r="I33" s="7" t="s">
        <v>2</v>
      </c>
      <c r="J33" s="7" t="s">
        <v>1151</v>
      </c>
    </row>
    <row r="34" spans="1:10" x14ac:dyDescent="0.25" outlineLevel="2" collapsed="1">
      <c r="A34" s="7" t="s">
        <v>15</v>
      </c>
      <c r="B34" s="7" t="s">
        <v>20</v>
      </c>
      <c r="C34" s="7" t="s">
        <v>2</v>
      </c>
      <c r="D34" s="7"/>
      <c r="E34" s="7" t="s">
        <v>1152</v>
      </c>
      <c r="F34" s="7" t="s">
        <v>17</v>
      </c>
      <c r="G34" s="7" t="s">
        <v>22</v>
      </c>
      <c r="H34" s="7" t="s">
        <v>2</v>
      </c>
      <c r="I34" s="7" t="s">
        <v>2</v>
      </c>
      <c r="J34" s="7" t="s">
        <v>1153</v>
      </c>
    </row>
    <row r="35" spans="1:10" x14ac:dyDescent="0.25" outlineLevel="1" collapsed="1">
      <c r="A35" s="8" t="s">
        <v>15</v>
      </c>
      <c r="B35" s="9" t="s">
        <v>1154</v>
      </c>
      <c r="C35" s="8" t="s">
        <v>2</v>
      </c>
      <c r="D35" s="8"/>
      <c r="E35" s="8" t="s">
        <v>1155</v>
      </c>
      <c r="F35" s="8" t="s">
        <v>17</v>
      </c>
      <c r="G35" s="8" t="s">
        <v>2</v>
      </c>
      <c r="H35" s="8" t="s">
        <v>2</v>
      </c>
      <c r="I35" s="8" t="s">
        <v>2</v>
      </c>
      <c r="J35" s="8" t="s">
        <v>1156</v>
      </c>
    </row>
    <row r="36" spans="1:10" x14ac:dyDescent="0.25" outlineLevel="2" collapsed="1">
      <c r="A36" s="7" t="s">
        <v>15</v>
      </c>
      <c r="B36" s="7" t="s">
        <v>133</v>
      </c>
      <c r="C36" s="7" t="s">
        <v>885</v>
      </c>
      <c r="D36" s="7"/>
      <c r="E36" s="7" t="s">
        <v>1157</v>
      </c>
      <c r="F36" s="7" t="s">
        <v>17</v>
      </c>
      <c r="G36" s="7" t="s">
        <v>1543</v>
      </c>
      <c r="H36" s="7" t="s">
        <v>2</v>
      </c>
      <c r="I36" s="7" t="s">
        <v>2</v>
      </c>
      <c r="J36" s="7" t="s">
        <v>888</v>
      </c>
    </row>
    <row r="37" spans="1:10" x14ac:dyDescent="0.25" outlineLevel="2" collapsed="1">
      <c r="A37" s="7" t="s">
        <v>15</v>
      </c>
      <c r="B37" s="7" t="s">
        <v>53</v>
      </c>
      <c r="C37" s="7" t="s">
        <v>2</v>
      </c>
      <c r="D37" s="7"/>
      <c r="E37" s="7" t="s">
        <v>1159</v>
      </c>
      <c r="F37" s="7" t="s">
        <v>17</v>
      </c>
      <c r="G37" s="7">
        <v>1</v>
      </c>
      <c r="H37" s="7" t="s">
        <v>2</v>
      </c>
      <c r="I37" s="7" t="s">
        <v>2</v>
      </c>
      <c r="J37" s="7" t="s">
        <v>1160</v>
      </c>
    </row>
    <row r="38" spans="1:10" x14ac:dyDescent="0.25" outlineLevel="2" collapsed="1">
      <c r="A38" s="7" t="s">
        <v>15</v>
      </c>
      <c r="B38" s="7" t="s">
        <v>53</v>
      </c>
      <c r="C38" s="7" t="s">
        <v>2</v>
      </c>
      <c r="D38" s="7"/>
      <c r="E38" s="7" t="s">
        <v>1161</v>
      </c>
      <c r="F38" s="7" t="s">
        <v>17</v>
      </c>
      <c r="G38" s="7">
        <v>1</v>
      </c>
      <c r="H38" s="7" t="s">
        <v>2</v>
      </c>
      <c r="I38" s="7" t="s">
        <v>2</v>
      </c>
      <c r="J38" s="7" t="s">
        <v>1162</v>
      </c>
    </row>
    <row r="39" spans="1:10" x14ac:dyDescent="0.25" outlineLevel="2" collapsed="1">
      <c r="A39" s="7" t="s">
        <v>15</v>
      </c>
      <c r="B39" s="7" t="s">
        <v>53</v>
      </c>
      <c r="C39" s="7" t="s">
        <v>2</v>
      </c>
      <c r="D39" s="7"/>
      <c r="E39" s="7" t="s">
        <v>1163</v>
      </c>
      <c r="F39" s="7" t="s">
        <v>17</v>
      </c>
      <c r="G39" s="7">
        <v>1</v>
      </c>
      <c r="H39" s="7" t="s">
        <v>2</v>
      </c>
      <c r="I39" s="7" t="s">
        <v>2</v>
      </c>
      <c r="J39" s="7" t="s">
        <v>1164</v>
      </c>
    </row>
    <row r="40" spans="1:10" x14ac:dyDescent="0.25" outlineLevel="2" collapsed="1">
      <c r="A40" s="7" t="s">
        <v>15</v>
      </c>
      <c r="B40" s="7" t="s">
        <v>20</v>
      </c>
      <c r="C40" s="7" t="s">
        <v>2</v>
      </c>
      <c r="D40" s="7"/>
      <c r="E40" s="7" t="s">
        <v>1165</v>
      </c>
      <c r="F40" s="7" t="s">
        <v>17</v>
      </c>
      <c r="G40" s="7" t="s">
        <v>22</v>
      </c>
      <c r="H40" s="7" t="s">
        <v>2</v>
      </c>
      <c r="I40" s="7" t="s">
        <v>2</v>
      </c>
      <c r="J40" s="7" t="s">
        <v>1166</v>
      </c>
    </row>
    <row r="41" spans="1:10" x14ac:dyDescent="0.25" outlineLevel="2" collapsed="1">
      <c r="A41" s="7" t="s">
        <v>15</v>
      </c>
      <c r="B41" s="7" t="s">
        <v>194</v>
      </c>
      <c r="C41" s="7" t="s">
        <v>2</v>
      </c>
      <c r="D41" s="7"/>
      <c r="E41" s="7" t="s">
        <v>1167</v>
      </c>
      <c r="F41" s="7" t="s">
        <v>17</v>
      </c>
      <c r="G41" s="7">
        <v>1</v>
      </c>
      <c r="H41" s="7" t="s">
        <v>2</v>
      </c>
      <c r="I41" s="7" t="s">
        <v>2</v>
      </c>
      <c r="J41" s="7" t="s">
        <v>1168</v>
      </c>
    </row>
  </sheetData>
  <mergeCells count="3">
    <mergeCell ref="A1:J1"/>
    <mergeCell ref="B2:J2"/>
    <mergeCell ref="B3:J3"/>
  </mergeCells>
  <dataValidations count="1">
    <dataValidation type="list" allowBlank="1" sqref="G24:I24">
      <formula1>'Enums'!C2400:C2415</formula1>
    </dataValidation>
  </dataValidations>
  <hyperlinks>
    <hyperlink ref="B5" r:id="rId1" location="#'Sustainable Development Goa 2'!A1"/>
    <hyperlink ref="B7" r:id="rId2" location="#'Data and parameters fixed ex a'!A1"/>
    <hyperlink ref="B16" r:id="rId3" location="#'Ex Ante Estimation of SDG Impa'!A1"/>
    <hyperlink ref="B23" r:id="rId4" location="#'Sustainable Development Goa 3'!A1"/>
    <hyperlink ref="B26" r:id="rId5" location="#'Data and parameters fixed ex a'!A1"/>
    <hyperlink ref="B35" r:id="rId6" location="#'Ex Ante Estimation of SDG Impa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1244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1228</v>
      </c>
      <c r="C5" s="5" t="s">
        <v>2</v>
      </c>
      <c r="D5" s="5"/>
      <c r="E5" s="5" t="s">
        <v>1228</v>
      </c>
      <c r="F5" s="5" t="s">
        <v>15</v>
      </c>
      <c r="G5" s="5" t="s">
        <v>2</v>
      </c>
      <c r="H5" s="5" t="s">
        <v>2</v>
      </c>
      <c r="I5" s="5" t="s">
        <v>2</v>
      </c>
      <c r="J5" s="5" t="s">
        <v>1229</v>
      </c>
    </row>
    <row r="6" spans="1:10" x14ac:dyDescent="0.25" outlineLevel="1" collapsed="1">
      <c r="A6" s="7" t="s">
        <v>15</v>
      </c>
      <c r="B6" s="7" t="s">
        <v>20</v>
      </c>
      <c r="C6" s="7" t="s">
        <v>2</v>
      </c>
      <c r="D6" s="7"/>
      <c r="E6" s="7" t="s">
        <v>1228</v>
      </c>
      <c r="F6" s="7" t="s">
        <v>17</v>
      </c>
      <c r="G6" s="7" t="s">
        <v>22</v>
      </c>
      <c r="H6" s="7" t="s">
        <v>2</v>
      </c>
      <c r="I6" s="7" t="s">
        <v>2</v>
      </c>
      <c r="J6" s="7" t="s">
        <v>1230</v>
      </c>
    </row>
    <row r="7" spans="1:10" x14ac:dyDescent="0.25" outlineLevel="1" collapsed="1">
      <c r="A7" s="8" t="s">
        <v>15</v>
      </c>
      <c r="B7" s="9" t="s">
        <v>1231</v>
      </c>
      <c r="C7" s="8" t="s">
        <v>2</v>
      </c>
      <c r="D7" s="8"/>
      <c r="E7" s="8" t="s">
        <v>1232</v>
      </c>
      <c r="F7" s="8" t="s">
        <v>15</v>
      </c>
      <c r="G7" s="8" t="s">
        <v>2</v>
      </c>
      <c r="H7" s="8" t="s">
        <v>2</v>
      </c>
      <c r="I7" s="8" t="s">
        <v>2</v>
      </c>
      <c r="J7" s="8" t="s">
        <v>1233</v>
      </c>
    </row>
    <row r="8" spans="1:10" x14ac:dyDescent="0.25" outlineLevel="2" collapsed="1">
      <c r="A8" s="7" t="s">
        <v>15</v>
      </c>
      <c r="B8" s="7" t="s">
        <v>20</v>
      </c>
      <c r="C8" s="7" t="s">
        <v>2</v>
      </c>
      <c r="D8" s="7"/>
      <c r="E8" s="7" t="s">
        <v>1234</v>
      </c>
      <c r="F8" s="7" t="s">
        <v>17</v>
      </c>
      <c r="G8" s="7" t="s">
        <v>22</v>
      </c>
      <c r="H8" s="7" t="s">
        <v>2</v>
      </c>
      <c r="I8" s="7" t="s">
        <v>2</v>
      </c>
      <c r="J8" s="7" t="s">
        <v>1235</v>
      </c>
    </row>
    <row r="9" spans="1:10" x14ac:dyDescent="0.25" outlineLevel="2" collapsed="1">
      <c r="A9" s="7" t="s">
        <v>15</v>
      </c>
      <c r="B9" s="7" t="s">
        <v>47</v>
      </c>
      <c r="C9" s="7" t="s">
        <v>2</v>
      </c>
      <c r="D9" s="7"/>
      <c r="E9" s="7" t="s">
        <v>1236</v>
      </c>
      <c r="F9" s="7" t="s">
        <v>17</v>
      </c>
      <c r="G9" s="7" t="b">
        <v>1</v>
      </c>
      <c r="H9" s="7" t="s">
        <v>2</v>
      </c>
      <c r="I9" s="7" t="s">
        <v>2</v>
      </c>
      <c r="J9" s="7" t="s">
        <v>1237</v>
      </c>
    </row>
    <row r="10" spans="1:10" x14ac:dyDescent="0.25" outlineLevel="2" collapsed="1">
      <c r="A10" s="7" t="s">
        <v>15</v>
      </c>
      <c r="B10" s="7" t="s">
        <v>20</v>
      </c>
      <c r="C10" s="7" t="s">
        <v>2</v>
      </c>
      <c r="D10" s="7"/>
      <c r="E10" s="7" t="s">
        <v>1238</v>
      </c>
      <c r="F10" s="7" t="s">
        <v>17</v>
      </c>
      <c r="G10" s="7" t="s">
        <v>22</v>
      </c>
      <c r="H10" s="7" t="s">
        <v>2</v>
      </c>
      <c r="I10" s="7" t="s">
        <v>2</v>
      </c>
      <c r="J10" s="7" t="s">
        <v>1239</v>
      </c>
    </row>
  </sheetData>
  <mergeCells count="3">
    <mergeCell ref="A1:J1"/>
    <mergeCell ref="B2:J2"/>
    <mergeCell ref="B3:J3"/>
  </mergeCells>
  <hyperlinks>
    <hyperlink ref="B5" r:id="rId1" location="#'Source'!A1"/>
    <hyperlink ref="B7" r:id="rId2" location="#'GHG Detail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1544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44</v>
      </c>
      <c r="C5" s="12" t="s">
        <v>237</v>
      </c>
      <c r="D5" s="5"/>
      <c r="E5" s="5" t="s">
        <v>235</v>
      </c>
      <c r="F5" s="5" t="s">
        <v>17</v>
      </c>
      <c r="G5" s="5" t="s">
        <v>238</v>
      </c>
      <c r="H5" s="5" t="s">
        <v>2</v>
      </c>
      <c r="I5" s="5" t="s">
        <v>2</v>
      </c>
      <c r="J5" s="5" t="s">
        <v>239</v>
      </c>
    </row>
    <row r="6" spans="1:10" x14ac:dyDescent="0.25">
      <c r="A6" s="5" t="s">
        <v>17</v>
      </c>
      <c r="B6" s="5" t="s">
        <v>20</v>
      </c>
      <c r="C6" s="5" t="s">
        <v>2</v>
      </c>
      <c r="D6" s="5">
        <f>EXACT(G5,"Other (Specify)")</f>
      </c>
      <c r="E6" s="5" t="s">
        <v>240</v>
      </c>
      <c r="F6" s="5" t="s">
        <v>17</v>
      </c>
      <c r="G6" s="5" t="s">
        <v>22</v>
      </c>
      <c r="H6" s="5" t="s">
        <v>2</v>
      </c>
      <c r="I6" s="5" t="s">
        <v>2</v>
      </c>
      <c r="J6" s="5" t="s">
        <v>241</v>
      </c>
    </row>
  </sheetData>
  <mergeCells count="3">
    <mergeCell ref="A1:J1"/>
    <mergeCell ref="B2:J2"/>
    <mergeCell ref="B3:J3"/>
  </mergeCells>
  <dataValidations count="1">
    <dataValidation type="list" allowBlank="1" sqref="G5:I5">
      <formula1>'Enums'!C2736:C2742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1240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1228</v>
      </c>
      <c r="C5" s="5" t="s">
        <v>2</v>
      </c>
      <c r="D5" s="5"/>
      <c r="E5" s="5" t="s">
        <v>1228</v>
      </c>
      <c r="F5" s="5" t="s">
        <v>15</v>
      </c>
      <c r="G5" s="5" t="s">
        <v>2</v>
      </c>
      <c r="H5" s="5" t="s">
        <v>2</v>
      </c>
      <c r="I5" s="5" t="s">
        <v>2</v>
      </c>
      <c r="J5" s="5" t="s">
        <v>1243</v>
      </c>
    </row>
    <row r="6" spans="1:10" x14ac:dyDescent="0.25" outlineLevel="1" collapsed="1">
      <c r="A6" s="7" t="s">
        <v>15</v>
      </c>
      <c r="B6" s="7" t="s">
        <v>20</v>
      </c>
      <c r="C6" s="7" t="s">
        <v>2</v>
      </c>
      <c r="D6" s="7"/>
      <c r="E6" s="7" t="s">
        <v>1228</v>
      </c>
      <c r="F6" s="7" t="s">
        <v>17</v>
      </c>
      <c r="G6" s="7" t="s">
        <v>22</v>
      </c>
      <c r="H6" s="7" t="s">
        <v>2</v>
      </c>
      <c r="I6" s="7" t="s">
        <v>2</v>
      </c>
      <c r="J6" s="7" t="s">
        <v>1230</v>
      </c>
    </row>
    <row r="7" spans="1:10" x14ac:dyDescent="0.25" outlineLevel="1" collapsed="1">
      <c r="A7" s="8" t="s">
        <v>15</v>
      </c>
      <c r="B7" s="9" t="s">
        <v>1231</v>
      </c>
      <c r="C7" s="8" t="s">
        <v>2</v>
      </c>
      <c r="D7" s="8"/>
      <c r="E7" s="8" t="s">
        <v>1232</v>
      </c>
      <c r="F7" s="8" t="s">
        <v>15</v>
      </c>
      <c r="G7" s="8" t="s">
        <v>2</v>
      </c>
      <c r="H7" s="8" t="s">
        <v>2</v>
      </c>
      <c r="I7" s="8" t="s">
        <v>2</v>
      </c>
      <c r="J7" s="8" t="s">
        <v>1233</v>
      </c>
    </row>
    <row r="8" spans="1:10" x14ac:dyDescent="0.25" outlineLevel="2" collapsed="1">
      <c r="A8" s="7" t="s">
        <v>15</v>
      </c>
      <c r="B8" s="7" t="s">
        <v>20</v>
      </c>
      <c r="C8" s="7" t="s">
        <v>2</v>
      </c>
      <c r="D8" s="7"/>
      <c r="E8" s="7" t="s">
        <v>1234</v>
      </c>
      <c r="F8" s="7" t="s">
        <v>17</v>
      </c>
      <c r="G8" s="7" t="s">
        <v>22</v>
      </c>
      <c r="H8" s="7" t="s">
        <v>2</v>
      </c>
      <c r="I8" s="7" t="s">
        <v>2</v>
      </c>
      <c r="J8" s="7" t="s">
        <v>1235</v>
      </c>
    </row>
    <row r="9" spans="1:10" x14ac:dyDescent="0.25" outlineLevel="2" collapsed="1">
      <c r="A9" s="7" t="s">
        <v>15</v>
      </c>
      <c r="B9" s="7" t="s">
        <v>47</v>
      </c>
      <c r="C9" s="7" t="s">
        <v>2</v>
      </c>
      <c r="D9" s="7"/>
      <c r="E9" s="7" t="s">
        <v>1236</v>
      </c>
      <c r="F9" s="7" t="s">
        <v>17</v>
      </c>
      <c r="G9" s="7" t="b">
        <v>1</v>
      </c>
      <c r="H9" s="7" t="s">
        <v>2</v>
      </c>
      <c r="I9" s="7" t="s">
        <v>2</v>
      </c>
      <c r="J9" s="7" t="s">
        <v>1237</v>
      </c>
    </row>
    <row r="10" spans="1:10" x14ac:dyDescent="0.25" outlineLevel="2" collapsed="1">
      <c r="A10" s="7" t="s">
        <v>15</v>
      </c>
      <c r="B10" s="7" t="s">
        <v>20</v>
      </c>
      <c r="C10" s="7" t="s">
        <v>2</v>
      </c>
      <c r="D10" s="7"/>
      <c r="E10" s="7" t="s">
        <v>1238</v>
      </c>
      <c r="F10" s="7" t="s">
        <v>17</v>
      </c>
      <c r="G10" s="7" t="s">
        <v>22</v>
      </c>
      <c r="H10" s="7" t="s">
        <v>2</v>
      </c>
      <c r="I10" s="7" t="s">
        <v>2</v>
      </c>
      <c r="J10" s="7" t="s">
        <v>1239</v>
      </c>
    </row>
  </sheetData>
  <mergeCells count="3">
    <mergeCell ref="A1:J1"/>
    <mergeCell ref="B2:J2"/>
    <mergeCell ref="B3:J3"/>
  </mergeCells>
  <hyperlinks>
    <hyperlink ref="B5" r:id="rId1" location="#'Source'!A1"/>
    <hyperlink ref="B7" r:id="rId2" location="#'GHG Detail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1446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125</v>
      </c>
      <c r="C5" s="5" t="s">
        <v>2</v>
      </c>
      <c r="D5" s="5"/>
      <c r="E5" s="5" t="s">
        <v>1449</v>
      </c>
      <c r="F5" s="5" t="s">
        <v>17</v>
      </c>
      <c r="G5" s="5" t="s">
        <v>1545</v>
      </c>
      <c r="H5" s="5" t="s">
        <v>2</v>
      </c>
      <c r="I5" s="5" t="s">
        <v>2</v>
      </c>
      <c r="J5" s="5" t="s">
        <v>1451</v>
      </c>
    </row>
    <row r="6" spans="1:10" x14ac:dyDescent="0.25">
      <c r="A6" s="5" t="s">
        <v>15</v>
      </c>
      <c r="B6" s="5" t="s">
        <v>125</v>
      </c>
      <c r="C6" s="5" t="s">
        <v>2</v>
      </c>
      <c r="D6" s="5"/>
      <c r="E6" s="5" t="s">
        <v>1452</v>
      </c>
      <c r="F6" s="5" t="s">
        <v>17</v>
      </c>
      <c r="G6" s="5" t="s">
        <v>1546</v>
      </c>
      <c r="H6" s="5" t="s">
        <v>2</v>
      </c>
      <c r="I6" s="5" t="s">
        <v>2</v>
      </c>
      <c r="J6" s="5" t="s">
        <v>1454</v>
      </c>
    </row>
    <row r="7" spans="1:10" x14ac:dyDescent="0.25">
      <c r="A7" s="5" t="s">
        <v>15</v>
      </c>
      <c r="B7" s="5" t="s">
        <v>125</v>
      </c>
      <c r="C7" s="5" t="s">
        <v>2</v>
      </c>
      <c r="D7" s="5"/>
      <c r="E7" s="5" t="s">
        <v>1455</v>
      </c>
      <c r="F7" s="5" t="s">
        <v>17</v>
      </c>
      <c r="G7" s="5" t="s">
        <v>1547</v>
      </c>
      <c r="H7" s="5" t="s">
        <v>2</v>
      </c>
      <c r="I7" s="5" t="s">
        <v>2</v>
      </c>
      <c r="J7" s="5" t="s">
        <v>1457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1548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869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872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873</v>
      </c>
    </row>
    <row r="6" spans="1:10" x14ac:dyDescent="0.25">
      <c r="A6" s="5" t="s">
        <v>15</v>
      </c>
      <c r="B6" s="5" t="s">
        <v>20</v>
      </c>
      <c r="C6" s="5" t="s">
        <v>2</v>
      </c>
      <c r="D6" s="5"/>
      <c r="E6" s="5" t="s">
        <v>874</v>
      </c>
      <c r="F6" s="5" t="s">
        <v>17</v>
      </c>
      <c r="G6" s="5" t="s">
        <v>22</v>
      </c>
      <c r="H6" s="5" t="s">
        <v>2</v>
      </c>
      <c r="I6" s="5" t="s">
        <v>2</v>
      </c>
      <c r="J6" s="5" t="s">
        <v>875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1337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1338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1340</v>
      </c>
    </row>
    <row r="6" spans="1:10" x14ac:dyDescent="0.25">
      <c r="A6" s="5" t="s">
        <v>15</v>
      </c>
      <c r="B6" s="5" t="s">
        <v>20</v>
      </c>
      <c r="C6" s="5" t="s">
        <v>2</v>
      </c>
      <c r="D6" s="5"/>
      <c r="E6" s="5" t="s">
        <v>1141</v>
      </c>
      <c r="F6" s="5" t="s">
        <v>17</v>
      </c>
      <c r="G6" s="5" t="s">
        <v>22</v>
      </c>
      <c r="H6" s="5" t="s">
        <v>2</v>
      </c>
      <c r="I6" s="5" t="s">
        <v>2</v>
      </c>
      <c r="J6" s="5" t="s">
        <v>1142</v>
      </c>
    </row>
    <row r="7" spans="1:10" x14ac:dyDescent="0.25">
      <c r="A7" s="5" t="s">
        <v>15</v>
      </c>
      <c r="B7" s="5" t="s">
        <v>20</v>
      </c>
      <c r="C7" s="5" t="s">
        <v>2</v>
      </c>
      <c r="D7" s="5"/>
      <c r="E7" s="5" t="s">
        <v>9</v>
      </c>
      <c r="F7" s="5" t="s">
        <v>17</v>
      </c>
      <c r="G7" s="5" t="s">
        <v>22</v>
      </c>
      <c r="H7" s="5" t="s">
        <v>2</v>
      </c>
      <c r="I7" s="5" t="s">
        <v>2</v>
      </c>
      <c r="J7" s="5" t="s">
        <v>1143</v>
      </c>
    </row>
    <row r="8" spans="1:10" x14ac:dyDescent="0.25">
      <c r="A8" s="5" t="s">
        <v>15</v>
      </c>
      <c r="B8" s="5" t="s">
        <v>20</v>
      </c>
      <c r="C8" s="5" t="s">
        <v>2</v>
      </c>
      <c r="D8" s="5"/>
      <c r="E8" s="5" t="s">
        <v>1144</v>
      </c>
      <c r="F8" s="5" t="s">
        <v>17</v>
      </c>
      <c r="G8" s="5" t="s">
        <v>22</v>
      </c>
      <c r="H8" s="5" t="s">
        <v>2</v>
      </c>
      <c r="I8" s="5" t="s">
        <v>2</v>
      </c>
      <c r="J8" s="5" t="s">
        <v>1145</v>
      </c>
    </row>
    <row r="9" spans="1:10" x14ac:dyDescent="0.25">
      <c r="A9" s="5" t="s">
        <v>15</v>
      </c>
      <c r="B9" s="5" t="s">
        <v>20</v>
      </c>
      <c r="C9" s="5" t="s">
        <v>2</v>
      </c>
      <c r="D9" s="5"/>
      <c r="E9" s="5" t="s">
        <v>1341</v>
      </c>
      <c r="F9" s="5" t="s">
        <v>17</v>
      </c>
      <c r="G9" s="5" t="s">
        <v>22</v>
      </c>
      <c r="H9" s="5" t="s">
        <v>2</v>
      </c>
      <c r="I9" s="5" t="s">
        <v>2</v>
      </c>
      <c r="J9" s="5" t="s">
        <v>1342</v>
      </c>
    </row>
    <row r="10" spans="1:10" x14ac:dyDescent="0.25">
      <c r="A10" s="5" t="s">
        <v>15</v>
      </c>
      <c r="B10" s="5" t="s">
        <v>20</v>
      </c>
      <c r="C10" s="5" t="s">
        <v>2</v>
      </c>
      <c r="D10" s="5"/>
      <c r="E10" s="5" t="s">
        <v>1343</v>
      </c>
      <c r="F10" s="5" t="s">
        <v>17</v>
      </c>
      <c r="G10" s="5" t="s">
        <v>22</v>
      </c>
      <c r="H10" s="5" t="s">
        <v>2</v>
      </c>
      <c r="I10" s="5" t="s">
        <v>2</v>
      </c>
      <c r="J10" s="5" t="s">
        <v>1344</v>
      </c>
    </row>
    <row r="11" spans="1:10" x14ac:dyDescent="0.25">
      <c r="A11" s="5" t="s">
        <v>15</v>
      </c>
      <c r="B11" s="5" t="s">
        <v>20</v>
      </c>
      <c r="C11" s="5" t="s">
        <v>2</v>
      </c>
      <c r="D11" s="5"/>
      <c r="E11" s="5" t="s">
        <v>1345</v>
      </c>
      <c r="F11" s="5" t="s">
        <v>17</v>
      </c>
      <c r="G11" s="5" t="s">
        <v>22</v>
      </c>
      <c r="H11" s="5" t="s">
        <v>2</v>
      </c>
      <c r="I11" s="5" t="s">
        <v>2</v>
      </c>
      <c r="J11" s="5" t="s">
        <v>1346</v>
      </c>
    </row>
    <row r="12" spans="1:10" x14ac:dyDescent="0.25">
      <c r="A12" s="5" t="s">
        <v>15</v>
      </c>
      <c r="B12" s="5" t="s">
        <v>20</v>
      </c>
      <c r="C12" s="5" t="s">
        <v>2</v>
      </c>
      <c r="D12" s="5"/>
      <c r="E12" s="5" t="s">
        <v>1150</v>
      </c>
      <c r="F12" s="5" t="s">
        <v>17</v>
      </c>
      <c r="G12" s="5" t="s">
        <v>22</v>
      </c>
      <c r="H12" s="5" t="s">
        <v>2</v>
      </c>
      <c r="I12" s="5" t="s">
        <v>2</v>
      </c>
      <c r="J12" s="5" t="s">
        <v>1151</v>
      </c>
    </row>
    <row r="13" spans="1:10" x14ac:dyDescent="0.25">
      <c r="A13" s="5" t="s">
        <v>15</v>
      </c>
      <c r="B13" s="5" t="s">
        <v>20</v>
      </c>
      <c r="C13" s="5" t="s">
        <v>2</v>
      </c>
      <c r="D13" s="5"/>
      <c r="E13" s="5" t="s">
        <v>1152</v>
      </c>
      <c r="F13" s="5" t="s">
        <v>17</v>
      </c>
      <c r="G13" s="5" t="s">
        <v>22</v>
      </c>
      <c r="H13" s="5" t="s">
        <v>2</v>
      </c>
      <c r="I13" s="5" t="s">
        <v>2</v>
      </c>
      <c r="J13" s="5" t="s">
        <v>1153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1549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1367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1368</v>
      </c>
    </row>
    <row r="6" spans="1:10" x14ac:dyDescent="0.25">
      <c r="A6" s="5" t="s">
        <v>15</v>
      </c>
      <c r="B6" s="5" t="s">
        <v>20</v>
      </c>
      <c r="C6" s="5" t="s">
        <v>2</v>
      </c>
      <c r="D6" s="5"/>
      <c r="E6" s="5" t="s">
        <v>1281</v>
      </c>
      <c r="F6" s="5" t="s">
        <v>17</v>
      </c>
      <c r="G6" s="5" t="s">
        <v>22</v>
      </c>
      <c r="H6" s="5" t="s">
        <v>2</v>
      </c>
      <c r="I6" s="5" t="s">
        <v>2</v>
      </c>
      <c r="J6" s="5" t="s">
        <v>1283</v>
      </c>
    </row>
    <row r="7" spans="1:10" x14ac:dyDescent="0.25">
      <c r="A7" s="5" t="s">
        <v>15</v>
      </c>
      <c r="B7" s="5" t="s">
        <v>20</v>
      </c>
      <c r="C7" s="5" t="s">
        <v>2</v>
      </c>
      <c r="D7" s="5"/>
      <c r="E7" s="5" t="s">
        <v>1369</v>
      </c>
      <c r="F7" s="5" t="s">
        <v>17</v>
      </c>
      <c r="G7" s="5" t="s">
        <v>22</v>
      </c>
      <c r="H7" s="5" t="s">
        <v>2</v>
      </c>
      <c r="I7" s="5" t="s">
        <v>2</v>
      </c>
      <c r="J7" s="5" t="s">
        <v>1370</v>
      </c>
    </row>
    <row r="8" spans="1:10" x14ac:dyDescent="0.25">
      <c r="A8" s="5" t="s">
        <v>15</v>
      </c>
      <c r="B8" s="5" t="s">
        <v>20</v>
      </c>
      <c r="C8" s="5" t="s">
        <v>2</v>
      </c>
      <c r="D8" s="5"/>
      <c r="E8" s="5" t="s">
        <v>1371</v>
      </c>
      <c r="F8" s="5" t="s">
        <v>17</v>
      </c>
      <c r="G8" s="5" t="s">
        <v>22</v>
      </c>
      <c r="H8" s="5" t="s">
        <v>2</v>
      </c>
      <c r="I8" s="5" t="s">
        <v>2</v>
      </c>
      <c r="J8" s="5" t="s">
        <v>1372</v>
      </c>
    </row>
    <row r="9" spans="1:10" x14ac:dyDescent="0.25">
      <c r="A9" s="5" t="s">
        <v>15</v>
      </c>
      <c r="B9" s="5" t="s">
        <v>125</v>
      </c>
      <c r="C9" s="5" t="s">
        <v>2</v>
      </c>
      <c r="D9" s="5"/>
      <c r="E9" s="5" t="s">
        <v>1373</v>
      </c>
      <c r="F9" s="5" t="s">
        <v>17</v>
      </c>
      <c r="G9" s="5" t="s">
        <v>1550</v>
      </c>
      <c r="H9" s="5" t="s">
        <v>2</v>
      </c>
      <c r="I9" s="5" t="s">
        <v>2</v>
      </c>
      <c r="J9" s="5" t="s">
        <v>1375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1551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472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194</v>
      </c>
      <c r="C5" s="5" t="s">
        <v>2</v>
      </c>
      <c r="D5" s="5"/>
      <c r="E5" s="5" t="s">
        <v>474</v>
      </c>
      <c r="F5" s="5" t="s">
        <v>17</v>
      </c>
      <c r="G5" s="5">
        <v>1</v>
      </c>
      <c r="H5" s="5" t="s">
        <v>2</v>
      </c>
      <c r="I5" s="5" t="s">
        <v>2</v>
      </c>
      <c r="J5" s="5" t="s">
        <v>475</v>
      </c>
    </row>
    <row r="6" spans="1:10" x14ac:dyDescent="0.25">
      <c r="A6" s="5" t="s">
        <v>15</v>
      </c>
      <c r="B6" s="5" t="s">
        <v>194</v>
      </c>
      <c r="C6" s="5" t="s">
        <v>2</v>
      </c>
      <c r="D6" s="5"/>
      <c r="E6" s="5" t="s">
        <v>476</v>
      </c>
      <c r="F6" s="5" t="s">
        <v>17</v>
      </c>
      <c r="G6" s="5">
        <v>1</v>
      </c>
      <c r="H6" s="5" t="s">
        <v>2</v>
      </c>
      <c r="I6" s="5" t="s">
        <v>2</v>
      </c>
      <c r="J6" s="5" t="s">
        <v>477</v>
      </c>
    </row>
    <row r="7" spans="1:10" x14ac:dyDescent="0.25">
      <c r="A7" s="5" t="s">
        <v>15</v>
      </c>
      <c r="B7" s="5" t="s">
        <v>194</v>
      </c>
      <c r="C7" s="5" t="s">
        <v>2</v>
      </c>
      <c r="D7" s="5"/>
      <c r="E7" s="5" t="s">
        <v>478</v>
      </c>
      <c r="F7" s="5" t="s">
        <v>17</v>
      </c>
      <c r="G7" s="5">
        <v>1</v>
      </c>
      <c r="H7" s="5" t="s">
        <v>2</v>
      </c>
      <c r="I7" s="5" t="s">
        <v>2</v>
      </c>
      <c r="J7" s="5" t="s">
        <v>479</v>
      </c>
    </row>
    <row r="8" spans="1:10" x14ac:dyDescent="0.25">
      <c r="A8" s="5" t="s">
        <v>15</v>
      </c>
      <c r="B8" s="5" t="s">
        <v>53</v>
      </c>
      <c r="C8" s="5" t="s">
        <v>2</v>
      </c>
      <c r="D8" s="5"/>
      <c r="E8" s="5" t="s">
        <v>480</v>
      </c>
      <c r="F8" s="5" t="s">
        <v>17</v>
      </c>
      <c r="G8" s="5">
        <v>1</v>
      </c>
      <c r="H8" s="5" t="s">
        <v>2</v>
      </c>
      <c r="I8" s="5" t="s">
        <v>2</v>
      </c>
      <c r="J8" s="5" t="s">
        <v>481</v>
      </c>
    </row>
    <row r="9" spans="1:10" x14ac:dyDescent="0.25">
      <c r="A9" s="5" t="s">
        <v>15</v>
      </c>
      <c r="B9" s="5" t="s">
        <v>194</v>
      </c>
      <c r="C9" s="5" t="s">
        <v>2</v>
      </c>
      <c r="D9" s="5"/>
      <c r="E9" s="5" t="s">
        <v>482</v>
      </c>
      <c r="F9" s="5" t="s">
        <v>17</v>
      </c>
      <c r="G9" s="5">
        <v>1</v>
      </c>
      <c r="H9" s="5" t="s">
        <v>2</v>
      </c>
      <c r="I9" s="5" t="s">
        <v>2</v>
      </c>
      <c r="J9" s="5" t="s">
        <v>483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1552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1134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1135</v>
      </c>
    </row>
    <row r="6" spans="1:10" x14ac:dyDescent="0.25">
      <c r="A6" s="5" t="s">
        <v>15</v>
      </c>
      <c r="B6" s="6" t="s">
        <v>1136</v>
      </c>
      <c r="C6" s="5" t="s">
        <v>2</v>
      </c>
      <c r="D6" s="5"/>
      <c r="E6" s="5" t="s">
        <v>1137</v>
      </c>
      <c r="F6" s="5" t="s">
        <v>15</v>
      </c>
      <c r="G6" s="5" t="s">
        <v>2</v>
      </c>
      <c r="H6" s="5" t="s">
        <v>2</v>
      </c>
      <c r="I6" s="5" t="s">
        <v>2</v>
      </c>
      <c r="J6" s="5" t="s">
        <v>1138</v>
      </c>
    </row>
    <row r="7" spans="1:10" x14ac:dyDescent="0.25" outlineLevel="1" collapsed="1">
      <c r="A7" s="7" t="s">
        <v>15</v>
      </c>
      <c r="B7" s="7" t="s">
        <v>20</v>
      </c>
      <c r="C7" s="7" t="s">
        <v>2</v>
      </c>
      <c r="D7" s="7"/>
      <c r="E7" s="7" t="s">
        <v>1139</v>
      </c>
      <c r="F7" s="7" t="s">
        <v>17</v>
      </c>
      <c r="G7" s="7" t="s">
        <v>22</v>
      </c>
      <c r="H7" s="7" t="s">
        <v>2</v>
      </c>
      <c r="I7" s="7" t="s">
        <v>2</v>
      </c>
      <c r="J7" s="7" t="s">
        <v>1140</v>
      </c>
    </row>
    <row r="8" spans="1:10" x14ac:dyDescent="0.25" outlineLevel="1" collapsed="1">
      <c r="A8" s="7" t="s">
        <v>15</v>
      </c>
      <c r="B8" s="7" t="s">
        <v>20</v>
      </c>
      <c r="C8" s="7" t="s">
        <v>2</v>
      </c>
      <c r="D8" s="7"/>
      <c r="E8" s="7" t="s">
        <v>1141</v>
      </c>
      <c r="F8" s="7" t="s">
        <v>17</v>
      </c>
      <c r="G8" s="7" t="s">
        <v>22</v>
      </c>
      <c r="H8" s="7" t="s">
        <v>2</v>
      </c>
      <c r="I8" s="7" t="s">
        <v>2</v>
      </c>
      <c r="J8" s="7" t="s">
        <v>1142</v>
      </c>
    </row>
    <row r="9" spans="1:10" x14ac:dyDescent="0.25" outlineLevel="1" collapsed="1">
      <c r="A9" s="7" t="s">
        <v>15</v>
      </c>
      <c r="B9" s="7" t="s">
        <v>20</v>
      </c>
      <c r="C9" s="7" t="s">
        <v>2</v>
      </c>
      <c r="D9" s="7"/>
      <c r="E9" s="7" t="s">
        <v>9</v>
      </c>
      <c r="F9" s="7" t="s">
        <v>17</v>
      </c>
      <c r="G9" s="7" t="s">
        <v>22</v>
      </c>
      <c r="H9" s="7" t="s">
        <v>2</v>
      </c>
      <c r="I9" s="7" t="s">
        <v>2</v>
      </c>
      <c r="J9" s="7" t="s">
        <v>1143</v>
      </c>
    </row>
    <row r="10" spans="1:10" x14ac:dyDescent="0.25" outlineLevel="1" collapsed="1">
      <c r="A10" s="7" t="s">
        <v>15</v>
      </c>
      <c r="B10" s="7" t="s">
        <v>20</v>
      </c>
      <c r="C10" s="7" t="s">
        <v>2</v>
      </c>
      <c r="D10" s="7"/>
      <c r="E10" s="7" t="s">
        <v>1144</v>
      </c>
      <c r="F10" s="7" t="s">
        <v>17</v>
      </c>
      <c r="G10" s="7" t="s">
        <v>22</v>
      </c>
      <c r="H10" s="7" t="s">
        <v>2</v>
      </c>
      <c r="I10" s="7" t="s">
        <v>2</v>
      </c>
      <c r="J10" s="7" t="s">
        <v>1145</v>
      </c>
    </row>
    <row r="11" spans="1:10" x14ac:dyDescent="0.25" outlineLevel="1" collapsed="1">
      <c r="A11" s="7" t="s">
        <v>15</v>
      </c>
      <c r="B11" s="7" t="s">
        <v>20</v>
      </c>
      <c r="C11" s="7" t="s">
        <v>2</v>
      </c>
      <c r="D11" s="7"/>
      <c r="E11" s="7" t="s">
        <v>1146</v>
      </c>
      <c r="F11" s="7" t="s">
        <v>17</v>
      </c>
      <c r="G11" s="7" t="s">
        <v>22</v>
      </c>
      <c r="H11" s="7" t="s">
        <v>2</v>
      </c>
      <c r="I11" s="7" t="s">
        <v>2</v>
      </c>
      <c r="J11" s="7" t="s">
        <v>1147</v>
      </c>
    </row>
    <row r="12" spans="1:10" x14ac:dyDescent="0.25" outlineLevel="1" collapsed="1">
      <c r="A12" s="7" t="s">
        <v>15</v>
      </c>
      <c r="B12" s="7" t="s">
        <v>20</v>
      </c>
      <c r="C12" s="7" t="s">
        <v>2</v>
      </c>
      <c r="D12" s="7"/>
      <c r="E12" s="7" t="s">
        <v>1148</v>
      </c>
      <c r="F12" s="7" t="s">
        <v>17</v>
      </c>
      <c r="G12" s="7" t="s">
        <v>22</v>
      </c>
      <c r="H12" s="7" t="s">
        <v>2</v>
      </c>
      <c r="I12" s="7" t="s">
        <v>2</v>
      </c>
      <c r="J12" s="7" t="s">
        <v>1149</v>
      </c>
    </row>
    <row r="13" spans="1:10" x14ac:dyDescent="0.25" outlineLevel="1" collapsed="1">
      <c r="A13" s="7" t="s">
        <v>15</v>
      </c>
      <c r="B13" s="7" t="s">
        <v>20</v>
      </c>
      <c r="C13" s="7" t="s">
        <v>2</v>
      </c>
      <c r="D13" s="7"/>
      <c r="E13" s="7" t="s">
        <v>1150</v>
      </c>
      <c r="F13" s="7" t="s">
        <v>17</v>
      </c>
      <c r="G13" s="7" t="s">
        <v>22</v>
      </c>
      <c r="H13" s="7" t="s">
        <v>2</v>
      </c>
      <c r="I13" s="7" t="s">
        <v>2</v>
      </c>
      <c r="J13" s="7" t="s">
        <v>1151</v>
      </c>
    </row>
    <row r="14" spans="1:10" x14ac:dyDescent="0.25" outlineLevel="1" collapsed="1">
      <c r="A14" s="7" t="s">
        <v>15</v>
      </c>
      <c r="B14" s="7" t="s">
        <v>20</v>
      </c>
      <c r="C14" s="7" t="s">
        <v>2</v>
      </c>
      <c r="D14" s="7"/>
      <c r="E14" s="7" t="s">
        <v>1152</v>
      </c>
      <c r="F14" s="7" t="s">
        <v>17</v>
      </c>
      <c r="G14" s="7" t="s">
        <v>22</v>
      </c>
      <c r="H14" s="7" t="s">
        <v>2</v>
      </c>
      <c r="I14" s="7" t="s">
        <v>2</v>
      </c>
      <c r="J14" s="7" t="s">
        <v>1153</v>
      </c>
    </row>
    <row r="15" spans="1:10" x14ac:dyDescent="0.25">
      <c r="A15" s="5" t="s">
        <v>15</v>
      </c>
      <c r="B15" s="6" t="s">
        <v>1154</v>
      </c>
      <c r="C15" s="5" t="s">
        <v>2</v>
      </c>
      <c r="D15" s="5"/>
      <c r="E15" s="5" t="s">
        <v>1155</v>
      </c>
      <c r="F15" s="5" t="s">
        <v>17</v>
      </c>
      <c r="G15" s="5" t="s">
        <v>2</v>
      </c>
      <c r="H15" s="5" t="s">
        <v>2</v>
      </c>
      <c r="I15" s="5" t="s">
        <v>2</v>
      </c>
      <c r="J15" s="5" t="s">
        <v>1156</v>
      </c>
    </row>
    <row r="16" spans="1:10" x14ac:dyDescent="0.25" outlineLevel="1" collapsed="1">
      <c r="A16" s="7" t="s">
        <v>15</v>
      </c>
      <c r="B16" s="7" t="s">
        <v>133</v>
      </c>
      <c r="C16" s="7" t="s">
        <v>885</v>
      </c>
      <c r="D16" s="7"/>
      <c r="E16" s="7" t="s">
        <v>1157</v>
      </c>
      <c r="F16" s="7" t="s">
        <v>17</v>
      </c>
      <c r="G16" s="7" t="s">
        <v>1553</v>
      </c>
      <c r="H16" s="7" t="s">
        <v>2</v>
      </c>
      <c r="I16" s="7" t="s">
        <v>2</v>
      </c>
      <c r="J16" s="7" t="s">
        <v>888</v>
      </c>
    </row>
    <row r="17" spans="1:10" x14ac:dyDescent="0.25" outlineLevel="1" collapsed="1">
      <c r="A17" s="7" t="s">
        <v>15</v>
      </c>
      <c r="B17" s="7" t="s">
        <v>53</v>
      </c>
      <c r="C17" s="7" t="s">
        <v>2</v>
      </c>
      <c r="D17" s="7"/>
      <c r="E17" s="7" t="s">
        <v>1159</v>
      </c>
      <c r="F17" s="7" t="s">
        <v>17</v>
      </c>
      <c r="G17" s="7">
        <v>1</v>
      </c>
      <c r="H17" s="7" t="s">
        <v>2</v>
      </c>
      <c r="I17" s="7" t="s">
        <v>2</v>
      </c>
      <c r="J17" s="7" t="s">
        <v>1160</v>
      </c>
    </row>
    <row r="18" spans="1:10" x14ac:dyDescent="0.25" outlineLevel="1" collapsed="1">
      <c r="A18" s="7" t="s">
        <v>15</v>
      </c>
      <c r="B18" s="7" t="s">
        <v>53</v>
      </c>
      <c r="C18" s="7" t="s">
        <v>2</v>
      </c>
      <c r="D18" s="7"/>
      <c r="E18" s="7" t="s">
        <v>1161</v>
      </c>
      <c r="F18" s="7" t="s">
        <v>17</v>
      </c>
      <c r="G18" s="7">
        <v>1</v>
      </c>
      <c r="H18" s="7" t="s">
        <v>2</v>
      </c>
      <c r="I18" s="7" t="s">
        <v>2</v>
      </c>
      <c r="J18" s="7" t="s">
        <v>1162</v>
      </c>
    </row>
    <row r="19" spans="1:10" x14ac:dyDescent="0.25" outlineLevel="1" collapsed="1">
      <c r="A19" s="7" t="s">
        <v>15</v>
      </c>
      <c r="B19" s="7" t="s">
        <v>53</v>
      </c>
      <c r="C19" s="7" t="s">
        <v>2</v>
      </c>
      <c r="D19" s="7"/>
      <c r="E19" s="7" t="s">
        <v>1163</v>
      </c>
      <c r="F19" s="7" t="s">
        <v>17</v>
      </c>
      <c r="G19" s="7">
        <v>1</v>
      </c>
      <c r="H19" s="7" t="s">
        <v>2</v>
      </c>
      <c r="I19" s="7" t="s">
        <v>2</v>
      </c>
      <c r="J19" s="7" t="s">
        <v>1164</v>
      </c>
    </row>
    <row r="20" spans="1:10" x14ac:dyDescent="0.25" outlineLevel="1" collapsed="1">
      <c r="A20" s="7" t="s">
        <v>15</v>
      </c>
      <c r="B20" s="7" t="s">
        <v>20</v>
      </c>
      <c r="C20" s="7" t="s">
        <v>2</v>
      </c>
      <c r="D20" s="7"/>
      <c r="E20" s="7" t="s">
        <v>1165</v>
      </c>
      <c r="F20" s="7" t="s">
        <v>17</v>
      </c>
      <c r="G20" s="7" t="s">
        <v>22</v>
      </c>
      <c r="H20" s="7" t="s">
        <v>2</v>
      </c>
      <c r="I20" s="7" t="s">
        <v>2</v>
      </c>
      <c r="J20" s="7" t="s">
        <v>1166</v>
      </c>
    </row>
    <row r="21" spans="1:10" x14ac:dyDescent="0.25" outlineLevel="1" collapsed="1">
      <c r="A21" s="7" t="s">
        <v>15</v>
      </c>
      <c r="B21" s="7" t="s">
        <v>194</v>
      </c>
      <c r="C21" s="7" t="s">
        <v>2</v>
      </c>
      <c r="D21" s="7"/>
      <c r="E21" s="7" t="s">
        <v>1167</v>
      </c>
      <c r="F21" s="7" t="s">
        <v>17</v>
      </c>
      <c r="G21" s="7">
        <v>1</v>
      </c>
      <c r="H21" s="7" t="s">
        <v>2</v>
      </c>
      <c r="I21" s="7" t="s">
        <v>2</v>
      </c>
      <c r="J21" s="7" t="s">
        <v>1168</v>
      </c>
    </row>
  </sheetData>
  <mergeCells count="3">
    <mergeCell ref="A1:J1"/>
    <mergeCell ref="B2:J2"/>
    <mergeCell ref="B3:J3"/>
  </mergeCells>
  <hyperlinks>
    <hyperlink ref="B6" r:id="rId1" location="#'Data and parameters fixed ex a'!A1"/>
    <hyperlink ref="B15" r:id="rId2" location="#'Ex Ante Estimation of SDG Impa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333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337</v>
      </c>
      <c r="C5" s="5" t="s">
        <v>2</v>
      </c>
      <c r="D5" s="5"/>
      <c r="E5" s="5" t="s">
        <v>337</v>
      </c>
      <c r="F5" s="5" t="s">
        <v>17</v>
      </c>
      <c r="G5" s="5" t="s">
        <v>2</v>
      </c>
      <c r="H5" s="5" t="s">
        <v>2</v>
      </c>
      <c r="I5" s="5" t="s">
        <v>2</v>
      </c>
      <c r="J5" s="5" t="s">
        <v>338</v>
      </c>
    </row>
    <row r="6" spans="1:10" x14ac:dyDescent="0.25" outlineLevel="1" collapsed="1">
      <c r="A6" s="7" t="s">
        <v>15</v>
      </c>
      <c r="B6" s="7" t="s">
        <v>44</v>
      </c>
      <c r="C6" s="10" t="s">
        <v>769</v>
      </c>
      <c r="D6" s="7"/>
      <c r="E6" s="7" t="s">
        <v>337</v>
      </c>
      <c r="F6" s="7" t="s">
        <v>17</v>
      </c>
      <c r="G6" s="7" t="s">
        <v>340</v>
      </c>
      <c r="H6" s="7" t="s">
        <v>2</v>
      </c>
      <c r="I6" s="7" t="s">
        <v>2</v>
      </c>
      <c r="J6" s="7" t="s">
        <v>338</v>
      </c>
    </row>
    <row r="7" spans="1:10" x14ac:dyDescent="0.25">
      <c r="A7" s="5" t="s">
        <v>15</v>
      </c>
      <c r="B7" s="5" t="s">
        <v>133</v>
      </c>
      <c r="C7" s="5" t="s">
        <v>341</v>
      </c>
      <c r="D7" s="5"/>
      <c r="E7" s="5" t="s">
        <v>342</v>
      </c>
      <c r="F7" s="5" t="s">
        <v>17</v>
      </c>
      <c r="G7" s="5" t="s">
        <v>1554</v>
      </c>
      <c r="H7" s="5" t="s">
        <v>2</v>
      </c>
      <c r="I7" s="5" t="s">
        <v>2</v>
      </c>
      <c r="J7" s="5" t="s">
        <v>344</v>
      </c>
    </row>
    <row r="8" spans="1:10" x14ac:dyDescent="0.25">
      <c r="A8" s="5" t="s">
        <v>15</v>
      </c>
      <c r="B8" s="5" t="s">
        <v>133</v>
      </c>
      <c r="C8" s="5" t="s">
        <v>268</v>
      </c>
      <c r="D8" s="5"/>
      <c r="E8" s="5" t="s">
        <v>345</v>
      </c>
      <c r="F8" s="5" t="s">
        <v>17</v>
      </c>
      <c r="G8" s="5" t="s">
        <v>1555</v>
      </c>
      <c r="H8" s="5" t="s">
        <v>2</v>
      </c>
      <c r="I8" s="5" t="s">
        <v>2</v>
      </c>
      <c r="J8" s="5" t="s">
        <v>347</v>
      </c>
    </row>
    <row r="9" spans="1:10" x14ac:dyDescent="0.25">
      <c r="A9" s="5" t="s">
        <v>15</v>
      </c>
      <c r="B9" s="5" t="s">
        <v>133</v>
      </c>
      <c r="C9" s="5" t="s">
        <v>348</v>
      </c>
      <c r="D9" s="5"/>
      <c r="E9" s="5" t="s">
        <v>349</v>
      </c>
      <c r="F9" s="5" t="s">
        <v>17</v>
      </c>
      <c r="G9" s="5" t="s">
        <v>1556</v>
      </c>
      <c r="H9" s="5" t="s">
        <v>2</v>
      </c>
      <c r="I9" s="5" t="s">
        <v>2</v>
      </c>
      <c r="J9" s="5" t="s">
        <v>351</v>
      </c>
    </row>
    <row r="10" spans="1:10" x14ac:dyDescent="0.25">
      <c r="A10" s="5" t="s">
        <v>15</v>
      </c>
      <c r="B10" s="5" t="s">
        <v>44</v>
      </c>
      <c r="C10" s="12" t="s">
        <v>773</v>
      </c>
      <c r="D10" s="5"/>
      <c r="E10" s="5" t="s">
        <v>353</v>
      </c>
      <c r="F10" s="5" t="s">
        <v>17</v>
      </c>
      <c r="G10" s="5" t="s">
        <v>354</v>
      </c>
      <c r="H10" s="5" t="s">
        <v>2</v>
      </c>
      <c r="I10" s="5" t="s">
        <v>2</v>
      </c>
      <c r="J10" s="5" t="s">
        <v>355</v>
      </c>
    </row>
    <row r="11" spans="1:10" x14ac:dyDescent="0.25">
      <c r="A11" s="5" t="s">
        <v>15</v>
      </c>
      <c r="B11" s="5" t="s">
        <v>356</v>
      </c>
      <c r="C11" s="5" t="s">
        <v>2</v>
      </c>
      <c r="D11" s="5"/>
      <c r="E11" s="5" t="s">
        <v>357</v>
      </c>
      <c r="F11" s="5" t="s">
        <v>17</v>
      </c>
      <c r="G11" s="5" t="s">
        <v>2</v>
      </c>
      <c r="H11" s="5" t="s">
        <v>2</v>
      </c>
      <c r="I11" s="5" t="s">
        <v>2</v>
      </c>
      <c r="J11" s="5" t="s">
        <v>335</v>
      </c>
    </row>
    <row r="12" spans="1:10" x14ac:dyDescent="0.25">
      <c r="A12" s="5" t="s">
        <v>15</v>
      </c>
      <c r="B12" s="5" t="s">
        <v>133</v>
      </c>
      <c r="C12" s="5" t="s">
        <v>358</v>
      </c>
      <c r="D12" s="5"/>
      <c r="E12" s="5" t="s">
        <v>359</v>
      </c>
      <c r="F12" s="5" t="s">
        <v>17</v>
      </c>
      <c r="G12" s="5" t="s">
        <v>1557</v>
      </c>
      <c r="H12" s="5" t="s">
        <v>2</v>
      </c>
      <c r="I12" s="5" t="s">
        <v>2</v>
      </c>
      <c r="J12" s="5" t="s">
        <v>361</v>
      </c>
    </row>
    <row r="13" spans="1:10" x14ac:dyDescent="0.25">
      <c r="A13" s="5" t="s">
        <v>15</v>
      </c>
      <c r="B13" s="5" t="s">
        <v>133</v>
      </c>
      <c r="C13" s="5" t="s">
        <v>362</v>
      </c>
      <c r="D13" s="5"/>
      <c r="E13" s="5" t="s">
        <v>363</v>
      </c>
      <c r="F13" s="5" t="s">
        <v>17</v>
      </c>
      <c r="G13" s="5" t="s">
        <v>1558</v>
      </c>
      <c r="H13" s="5" t="s">
        <v>2</v>
      </c>
      <c r="I13" s="5" t="s">
        <v>2</v>
      </c>
      <c r="J13" s="5" t="s">
        <v>365</v>
      </c>
    </row>
  </sheetData>
  <mergeCells count="3">
    <mergeCell ref="A1:J1"/>
    <mergeCell ref="B2:J2"/>
    <mergeCell ref="B3:J3"/>
  </mergeCells>
  <dataValidations count="2">
    <dataValidation type="list" allowBlank="1" sqref="G10:I10">
      <formula1>'Enums'!C2376:C2377</formula1>
    </dataValidation>
    <dataValidation type="list" allowBlank="1" sqref="G6:I6">
      <formula1>'Enums'!C2123:C2375</formula1>
    </dataValidation>
  </dataValidations>
  <hyperlinks>
    <hyperlink ref="B5" r:id="rId1" location="#'Country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1559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356</v>
      </c>
      <c r="C5" s="5" t="s">
        <v>2</v>
      </c>
      <c r="D5" s="5"/>
      <c r="E5" s="5" t="s">
        <v>432</v>
      </c>
      <c r="F5" s="5" t="s">
        <v>17</v>
      </c>
      <c r="G5" s="5" t="s">
        <v>2</v>
      </c>
      <c r="H5" s="5" t="s">
        <v>2</v>
      </c>
      <c r="I5" s="5" t="s">
        <v>2</v>
      </c>
      <c r="J5" s="5" t="s">
        <v>433</v>
      </c>
    </row>
    <row r="6" spans="1:10" x14ac:dyDescent="0.25">
      <c r="A6" s="5" t="s">
        <v>15</v>
      </c>
      <c r="B6" s="5" t="s">
        <v>53</v>
      </c>
      <c r="C6" s="5" t="s">
        <v>2</v>
      </c>
      <c r="D6" s="5"/>
      <c r="E6" s="5" t="s">
        <v>1105</v>
      </c>
      <c r="F6" s="5" t="s">
        <v>17</v>
      </c>
      <c r="G6" s="5">
        <v>1</v>
      </c>
      <c r="H6" s="5" t="s">
        <v>2</v>
      </c>
      <c r="I6" s="5" t="s">
        <v>2</v>
      </c>
      <c r="J6" s="5" t="s">
        <v>1106</v>
      </c>
    </row>
    <row r="7" spans="1:10" x14ac:dyDescent="0.25">
      <c r="A7" s="5" t="s">
        <v>15</v>
      </c>
      <c r="B7" s="6" t="s">
        <v>1107</v>
      </c>
      <c r="C7" s="5" t="s">
        <v>2</v>
      </c>
      <c r="D7" s="5"/>
      <c r="E7" s="5" t="s">
        <v>1107</v>
      </c>
      <c r="F7" s="5" t="s">
        <v>17</v>
      </c>
      <c r="G7" s="5" t="s">
        <v>2</v>
      </c>
      <c r="H7" s="5" t="s">
        <v>2</v>
      </c>
      <c r="I7" s="5" t="s">
        <v>2</v>
      </c>
      <c r="J7" s="5" t="s">
        <v>1108</v>
      </c>
    </row>
    <row r="8" spans="1:10" x14ac:dyDescent="0.25" outlineLevel="1" collapsed="1">
      <c r="A8" s="7" t="s">
        <v>15</v>
      </c>
      <c r="B8" s="7" t="s">
        <v>47</v>
      </c>
      <c r="C8" s="7" t="s">
        <v>2</v>
      </c>
      <c r="D8" s="7"/>
      <c r="E8" s="7" t="s">
        <v>1109</v>
      </c>
      <c r="F8" s="7" t="s">
        <v>17</v>
      </c>
      <c r="G8" s="7" t="b">
        <v>1</v>
      </c>
      <c r="H8" s="7" t="s">
        <v>2</v>
      </c>
      <c r="I8" s="7" t="s">
        <v>2</v>
      </c>
      <c r="J8" s="7" t="s">
        <v>1110</v>
      </c>
    </row>
    <row r="9" spans="1:10" x14ac:dyDescent="0.25" outlineLevel="1" collapsed="1">
      <c r="A9" s="7" t="s">
        <v>15</v>
      </c>
      <c r="B9" s="7" t="s">
        <v>125</v>
      </c>
      <c r="C9" s="7" t="s">
        <v>2</v>
      </c>
      <c r="D9" s="7"/>
      <c r="E9" s="7" t="s">
        <v>1111</v>
      </c>
      <c r="F9" s="7" t="s">
        <v>17</v>
      </c>
      <c r="G9" s="7" t="s">
        <v>1560</v>
      </c>
      <c r="H9" s="7" t="s">
        <v>2</v>
      </c>
      <c r="I9" s="7" t="s">
        <v>2</v>
      </c>
      <c r="J9" s="7" t="s">
        <v>1113</v>
      </c>
    </row>
    <row r="10" spans="1:10" x14ac:dyDescent="0.25" outlineLevel="1" collapsed="1">
      <c r="A10" s="7" t="s">
        <v>17</v>
      </c>
      <c r="B10" s="7" t="s">
        <v>133</v>
      </c>
      <c r="C10" s="7" t="s">
        <v>1114</v>
      </c>
      <c r="D10" s="7">
        <f>EXACT(G8,true)</f>
      </c>
      <c r="E10" s="7" t="s">
        <v>1115</v>
      </c>
      <c r="F10" s="7" t="s">
        <v>17</v>
      </c>
      <c r="G10" s="7" t="s">
        <v>1561</v>
      </c>
      <c r="H10" s="7" t="s">
        <v>2</v>
      </c>
      <c r="I10" s="7" t="s">
        <v>2</v>
      </c>
      <c r="J10" s="7" t="s">
        <v>1117</v>
      </c>
    </row>
    <row r="11" spans="1:10" x14ac:dyDescent="0.25" outlineLevel="1" collapsed="1">
      <c r="A11" s="7" t="s">
        <v>17</v>
      </c>
      <c r="B11" s="7" t="s">
        <v>133</v>
      </c>
      <c r="C11" s="7" t="s">
        <v>1114</v>
      </c>
      <c r="D11" s="7">
        <f>EXACT(G8,true)</f>
      </c>
      <c r="E11" s="7" t="s">
        <v>1118</v>
      </c>
      <c r="F11" s="7" t="s">
        <v>17</v>
      </c>
      <c r="G11" s="7" t="s">
        <v>1562</v>
      </c>
      <c r="H11" s="7" t="s">
        <v>2</v>
      </c>
      <c r="I11" s="7" t="s">
        <v>2</v>
      </c>
      <c r="J11" s="7" t="s">
        <v>1120</v>
      </c>
    </row>
    <row r="12" spans="1:10" x14ac:dyDescent="0.25" outlineLevel="1" collapsed="1">
      <c r="A12" s="7" t="s">
        <v>17</v>
      </c>
      <c r="B12" s="7" t="s">
        <v>125</v>
      </c>
      <c r="C12" s="7" t="s">
        <v>2</v>
      </c>
      <c r="D12" s="7">
        <f>EXACT(G8,true)</f>
      </c>
      <c r="E12" s="7" t="s">
        <v>1121</v>
      </c>
      <c r="F12" s="7" t="s">
        <v>17</v>
      </c>
      <c r="G12" s="7" t="s">
        <v>1563</v>
      </c>
      <c r="H12" s="7" t="s">
        <v>2</v>
      </c>
      <c r="I12" s="7" t="s">
        <v>2</v>
      </c>
      <c r="J12" s="7" t="s">
        <v>1123</v>
      </c>
    </row>
    <row r="13" spans="1:10" x14ac:dyDescent="0.25">
      <c r="A13" s="5" t="s">
        <v>17</v>
      </c>
      <c r="B13" s="5" t="s">
        <v>125</v>
      </c>
      <c r="C13" s="5" t="s">
        <v>2</v>
      </c>
      <c r="D13" s="5"/>
      <c r="E13" s="5" t="s">
        <v>1124</v>
      </c>
      <c r="F13" s="5" t="s">
        <v>15</v>
      </c>
      <c r="G13" s="5" t="s">
        <v>1564</v>
      </c>
      <c r="H13" s="5" t="s">
        <v>2</v>
      </c>
      <c r="I13" s="5" t="s">
        <v>2</v>
      </c>
      <c r="J13" s="5" t="s">
        <v>1126</v>
      </c>
    </row>
  </sheetData>
  <mergeCells count="3">
    <mergeCell ref="A1:J1"/>
    <mergeCell ref="B2:J2"/>
    <mergeCell ref="B3:J3"/>
  </mergeCells>
  <hyperlinks>
    <hyperlink ref="B7" r:id="rId1" location="#'Suppressed Demand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1565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1565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133</v>
      </c>
      <c r="C5" s="5" t="s">
        <v>885</v>
      </c>
      <c r="D5" s="5"/>
      <c r="E5" s="5" t="s">
        <v>886</v>
      </c>
      <c r="F5" s="5" t="s">
        <v>17</v>
      </c>
      <c r="G5" s="5" t="s">
        <v>1566</v>
      </c>
      <c r="H5" s="5" t="s">
        <v>2</v>
      </c>
      <c r="I5" s="5" t="s">
        <v>2</v>
      </c>
      <c r="J5" s="5" t="s">
        <v>888</v>
      </c>
    </row>
    <row r="6" spans="1:10" x14ac:dyDescent="0.25">
      <c r="A6" s="5" t="s">
        <v>15</v>
      </c>
      <c r="B6" s="5" t="s">
        <v>194</v>
      </c>
      <c r="C6" s="5" t="s">
        <v>2</v>
      </c>
      <c r="D6" s="5"/>
      <c r="E6" s="5" t="s">
        <v>889</v>
      </c>
      <c r="F6" s="5" t="s">
        <v>17</v>
      </c>
      <c r="G6" s="5">
        <v>1</v>
      </c>
      <c r="H6" s="5" t="s">
        <v>2</v>
      </c>
      <c r="I6" s="5" t="s">
        <v>2</v>
      </c>
      <c r="J6" s="5" t="s">
        <v>890</v>
      </c>
    </row>
    <row r="7" spans="1:10" x14ac:dyDescent="0.25">
      <c r="A7" s="5" t="s">
        <v>15</v>
      </c>
      <c r="B7" s="5" t="s">
        <v>194</v>
      </c>
      <c r="C7" s="5" t="s">
        <v>2</v>
      </c>
      <c r="D7" s="5"/>
      <c r="E7" s="5" t="s">
        <v>891</v>
      </c>
      <c r="F7" s="5" t="s">
        <v>17</v>
      </c>
      <c r="G7" s="5">
        <v>1</v>
      </c>
      <c r="H7" s="5" t="s">
        <v>2</v>
      </c>
      <c r="I7" s="5" t="s">
        <v>2</v>
      </c>
      <c r="J7" s="5" t="s">
        <v>892</v>
      </c>
    </row>
    <row r="8" spans="1:10" x14ac:dyDescent="0.25">
      <c r="A8" s="5" t="s">
        <v>15</v>
      </c>
      <c r="B8" s="5" t="s">
        <v>194</v>
      </c>
      <c r="C8" s="5" t="s">
        <v>2</v>
      </c>
      <c r="D8" s="5"/>
      <c r="E8" s="5" t="s">
        <v>893</v>
      </c>
      <c r="F8" s="5" t="s">
        <v>17</v>
      </c>
      <c r="G8" s="5">
        <v>1</v>
      </c>
      <c r="H8" s="5" t="s">
        <v>2</v>
      </c>
      <c r="I8" s="5" t="s">
        <v>2</v>
      </c>
      <c r="J8" s="5" t="s">
        <v>894</v>
      </c>
    </row>
    <row r="9" spans="1:10" x14ac:dyDescent="0.25">
      <c r="A9" s="5" t="s">
        <v>17</v>
      </c>
      <c r="B9" s="5" t="s">
        <v>53</v>
      </c>
      <c r="C9" s="5" t="s">
        <v>2</v>
      </c>
      <c r="D9" s="5"/>
      <c r="E9" s="5" t="s">
        <v>895</v>
      </c>
      <c r="F9" s="5" t="s">
        <v>17</v>
      </c>
      <c r="G9" s="5">
        <v>1</v>
      </c>
      <c r="H9" s="5" t="s">
        <v>2</v>
      </c>
      <c r="I9" s="5" t="s">
        <v>2</v>
      </c>
      <c r="J9" s="5" t="s">
        <v>896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1567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44</v>
      </c>
      <c r="C5" s="12" t="s">
        <v>244</v>
      </c>
      <c r="D5" s="5"/>
      <c r="E5" s="5" t="s">
        <v>235</v>
      </c>
      <c r="F5" s="5" t="s">
        <v>17</v>
      </c>
      <c r="G5" s="5" t="s">
        <v>245</v>
      </c>
      <c r="H5" s="5" t="s">
        <v>2</v>
      </c>
      <c r="I5" s="5" t="s">
        <v>2</v>
      </c>
      <c r="J5" s="5" t="s">
        <v>246</v>
      </c>
    </row>
    <row r="6" spans="1:10" x14ac:dyDescent="0.25">
      <c r="A6" s="5" t="s">
        <v>17</v>
      </c>
      <c r="B6" s="5" t="s">
        <v>20</v>
      </c>
      <c r="C6" s="5" t="s">
        <v>2</v>
      </c>
      <c r="D6" s="5">
        <f>EXACT(G5,"Other (Specify)")</f>
      </c>
      <c r="E6" s="5" t="s">
        <v>240</v>
      </c>
      <c r="F6" s="5" t="s">
        <v>17</v>
      </c>
      <c r="G6" s="5" t="s">
        <v>22</v>
      </c>
      <c r="H6" s="5" t="s">
        <v>2</v>
      </c>
      <c r="I6" s="5" t="s">
        <v>2</v>
      </c>
      <c r="J6" s="5" t="s">
        <v>241</v>
      </c>
    </row>
  </sheetData>
  <mergeCells count="3">
    <mergeCell ref="A1:J1"/>
    <mergeCell ref="B2:J2"/>
    <mergeCell ref="B3:J3"/>
  </mergeCells>
  <dataValidations count="1">
    <dataValidation type="list" allowBlank="1" sqref="G5:I5">
      <formula1>'Enums'!C2743:C2746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150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150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133</v>
      </c>
      <c r="C5" s="5" t="s">
        <v>153</v>
      </c>
      <c r="D5" s="5"/>
      <c r="E5" s="5" t="s">
        <v>154</v>
      </c>
      <c r="F5" s="5" t="s">
        <v>17</v>
      </c>
      <c r="G5" s="5" t="s">
        <v>1568</v>
      </c>
      <c r="H5" s="5" t="s">
        <v>2</v>
      </c>
      <c r="I5" s="5" t="s">
        <v>2</v>
      </c>
      <c r="J5" s="5" t="s">
        <v>156</v>
      </c>
    </row>
    <row r="6" spans="1:10" x14ac:dyDescent="0.25">
      <c r="A6" s="5" t="s">
        <v>15</v>
      </c>
      <c r="B6" s="5" t="s">
        <v>133</v>
      </c>
      <c r="C6" s="5" t="s">
        <v>153</v>
      </c>
      <c r="D6" s="5"/>
      <c r="E6" s="5" t="s">
        <v>157</v>
      </c>
      <c r="F6" s="5" t="s">
        <v>17</v>
      </c>
      <c r="G6" s="5" t="s">
        <v>1569</v>
      </c>
      <c r="H6" s="5" t="s">
        <v>2</v>
      </c>
      <c r="I6" s="5" t="s">
        <v>2</v>
      </c>
      <c r="J6" s="5" t="s">
        <v>159</v>
      </c>
    </row>
    <row r="7" spans="1:10" x14ac:dyDescent="0.25">
      <c r="A7" s="5" t="s">
        <v>15</v>
      </c>
      <c r="B7" s="5" t="s">
        <v>160</v>
      </c>
      <c r="C7" s="5" t="s">
        <v>2</v>
      </c>
      <c r="D7" s="5"/>
      <c r="E7" s="5" t="s">
        <v>161</v>
      </c>
      <c r="F7" s="5" t="s">
        <v>17</v>
      </c>
      <c r="G7" s="5" t="s">
        <v>162</v>
      </c>
      <c r="H7" s="5" t="s">
        <v>2</v>
      </c>
      <c r="I7" s="5" t="s">
        <v>2</v>
      </c>
      <c r="J7" s="5" t="s">
        <v>163</v>
      </c>
    </row>
    <row r="8" spans="1:10" x14ac:dyDescent="0.25">
      <c r="A8" s="5" t="s">
        <v>15</v>
      </c>
      <c r="B8" s="5" t="s">
        <v>133</v>
      </c>
      <c r="C8" s="5" t="s">
        <v>164</v>
      </c>
      <c r="D8" s="5"/>
      <c r="E8" s="5" t="s">
        <v>165</v>
      </c>
      <c r="F8" s="5" t="s">
        <v>17</v>
      </c>
      <c r="G8" s="5" t="s">
        <v>1570</v>
      </c>
      <c r="H8" s="5" t="s">
        <v>2</v>
      </c>
      <c r="I8" s="5" t="s">
        <v>2</v>
      </c>
      <c r="J8" s="5" t="s">
        <v>167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1571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438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47</v>
      </c>
      <c r="C5" s="5" t="s">
        <v>2</v>
      </c>
      <c r="D5" s="5"/>
      <c r="E5" s="5" t="s">
        <v>440</v>
      </c>
      <c r="F5" s="5" t="s">
        <v>17</v>
      </c>
      <c r="G5" s="5" t="b">
        <v>1</v>
      </c>
      <c r="H5" s="5" t="s">
        <v>2</v>
      </c>
      <c r="I5" s="5" t="s">
        <v>2</v>
      </c>
      <c r="J5" s="5" t="s">
        <v>441</v>
      </c>
    </row>
    <row r="6" spans="1:10" x14ac:dyDescent="0.25">
      <c r="A6" s="5" t="s">
        <v>15</v>
      </c>
      <c r="B6" s="5" t="s">
        <v>194</v>
      </c>
      <c r="C6" s="5" t="s">
        <v>2</v>
      </c>
      <c r="D6" s="5"/>
      <c r="E6" s="5" t="s">
        <v>442</v>
      </c>
      <c r="F6" s="5" t="s">
        <v>17</v>
      </c>
      <c r="G6" s="5">
        <v>1</v>
      </c>
      <c r="H6" s="5" t="s">
        <v>2</v>
      </c>
      <c r="I6" s="5" t="s">
        <v>2</v>
      </c>
      <c r="J6" s="5" t="s">
        <v>443</v>
      </c>
    </row>
    <row r="7" spans="1:10" x14ac:dyDescent="0.25">
      <c r="A7" s="5" t="s">
        <v>15</v>
      </c>
      <c r="B7" s="5" t="s">
        <v>133</v>
      </c>
      <c r="C7" s="5" t="s">
        <v>413</v>
      </c>
      <c r="D7" s="5"/>
      <c r="E7" s="5" t="s">
        <v>444</v>
      </c>
      <c r="F7" s="5" t="s">
        <v>17</v>
      </c>
      <c r="G7" s="5" t="s">
        <v>1572</v>
      </c>
      <c r="H7" s="5" t="s">
        <v>2</v>
      </c>
      <c r="I7" s="5" t="s">
        <v>2</v>
      </c>
      <c r="J7" s="5" t="s">
        <v>446</v>
      </c>
    </row>
    <row r="8" spans="1:10" x14ac:dyDescent="0.25">
      <c r="A8" s="5" t="s">
        <v>15</v>
      </c>
      <c r="B8" s="5" t="s">
        <v>20</v>
      </c>
      <c r="C8" s="5" t="s">
        <v>2</v>
      </c>
      <c r="D8" s="5"/>
      <c r="E8" s="5" t="s">
        <v>447</v>
      </c>
      <c r="F8" s="5" t="s">
        <v>17</v>
      </c>
      <c r="G8" s="5" t="s">
        <v>22</v>
      </c>
      <c r="H8" s="5" t="s">
        <v>2</v>
      </c>
      <c r="I8" s="5" t="s">
        <v>2</v>
      </c>
      <c r="J8" s="5" t="s">
        <v>448</v>
      </c>
    </row>
    <row r="9" spans="1:10" x14ac:dyDescent="0.25">
      <c r="A9" s="5" t="s">
        <v>15</v>
      </c>
      <c r="B9" s="5" t="s">
        <v>20</v>
      </c>
      <c r="C9" s="5" t="s">
        <v>2</v>
      </c>
      <c r="D9" s="5"/>
      <c r="E9" s="5" t="s">
        <v>449</v>
      </c>
      <c r="F9" s="5" t="s">
        <v>17</v>
      </c>
      <c r="G9" s="5" t="s">
        <v>22</v>
      </c>
      <c r="H9" s="5" t="s">
        <v>2</v>
      </c>
      <c r="I9" s="5" t="s">
        <v>2</v>
      </c>
      <c r="J9" s="5" t="s">
        <v>450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852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823</v>
      </c>
      <c r="C5" s="5" t="s">
        <v>2</v>
      </c>
      <c r="D5" s="5"/>
      <c r="E5" s="5" t="s">
        <v>854</v>
      </c>
      <c r="F5" s="5" t="s">
        <v>17</v>
      </c>
      <c r="G5" s="5" t="s">
        <v>2</v>
      </c>
      <c r="H5" s="5" t="s">
        <v>2</v>
      </c>
      <c r="I5" s="5" t="s">
        <v>2</v>
      </c>
      <c r="J5" s="5" t="s">
        <v>855</v>
      </c>
    </row>
    <row r="6" spans="1:10" x14ac:dyDescent="0.25" outlineLevel="1" collapsed="1">
      <c r="A6" s="7" t="s">
        <v>15</v>
      </c>
      <c r="B6" s="7" t="s">
        <v>44</v>
      </c>
      <c r="C6" s="10" t="s">
        <v>826</v>
      </c>
      <c r="D6" s="7"/>
      <c r="E6" s="7" t="s">
        <v>827</v>
      </c>
      <c r="F6" s="7" t="s">
        <v>17</v>
      </c>
      <c r="G6" s="7" t="s">
        <v>15</v>
      </c>
      <c r="H6" s="7" t="s">
        <v>2</v>
      </c>
      <c r="I6" s="7" t="s">
        <v>2</v>
      </c>
      <c r="J6" s="7" t="s">
        <v>828</v>
      </c>
    </row>
    <row r="7" spans="1:10" x14ac:dyDescent="0.25" outlineLevel="1" collapsed="1">
      <c r="A7" s="7" t="s">
        <v>17</v>
      </c>
      <c r="B7" s="7" t="s">
        <v>20</v>
      </c>
      <c r="C7" s="7" t="s">
        <v>2</v>
      </c>
      <c r="D7" s="7"/>
      <c r="E7" s="7" t="s">
        <v>76</v>
      </c>
      <c r="F7" s="7" t="s">
        <v>17</v>
      </c>
      <c r="G7" s="7" t="s">
        <v>22</v>
      </c>
      <c r="H7" s="7" t="s">
        <v>2</v>
      </c>
      <c r="I7" s="7" t="s">
        <v>2</v>
      </c>
      <c r="J7" s="7" t="s">
        <v>78</v>
      </c>
    </row>
    <row r="8" spans="1:10" x14ac:dyDescent="0.25">
      <c r="A8" s="5" t="s">
        <v>15</v>
      </c>
      <c r="B8" s="6" t="s">
        <v>823</v>
      </c>
      <c r="C8" s="5" t="s">
        <v>2</v>
      </c>
      <c r="D8" s="5"/>
      <c r="E8" s="5" t="s">
        <v>856</v>
      </c>
      <c r="F8" s="5" t="s">
        <v>17</v>
      </c>
      <c r="G8" s="5" t="s">
        <v>2</v>
      </c>
      <c r="H8" s="5" t="s">
        <v>2</v>
      </c>
      <c r="I8" s="5" t="s">
        <v>2</v>
      </c>
      <c r="J8" s="5" t="s">
        <v>857</v>
      </c>
    </row>
    <row r="9" spans="1:10" x14ac:dyDescent="0.25" outlineLevel="1" collapsed="1">
      <c r="A9" s="7" t="s">
        <v>15</v>
      </c>
      <c r="B9" s="7" t="s">
        <v>44</v>
      </c>
      <c r="C9" s="10" t="s">
        <v>826</v>
      </c>
      <c r="D9" s="7"/>
      <c r="E9" s="7" t="s">
        <v>827</v>
      </c>
      <c r="F9" s="7" t="s">
        <v>17</v>
      </c>
      <c r="G9" s="7" t="s">
        <v>15</v>
      </c>
      <c r="H9" s="7" t="s">
        <v>2</v>
      </c>
      <c r="I9" s="7" t="s">
        <v>2</v>
      </c>
      <c r="J9" s="7" t="s">
        <v>828</v>
      </c>
    </row>
    <row r="10" spans="1:10" x14ac:dyDescent="0.25" outlineLevel="1" collapsed="1">
      <c r="A10" s="7" t="s">
        <v>17</v>
      </c>
      <c r="B10" s="7" t="s">
        <v>20</v>
      </c>
      <c r="C10" s="7" t="s">
        <v>2</v>
      </c>
      <c r="D10" s="7"/>
      <c r="E10" s="7" t="s">
        <v>76</v>
      </c>
      <c r="F10" s="7" t="s">
        <v>17</v>
      </c>
      <c r="G10" s="7" t="s">
        <v>22</v>
      </c>
      <c r="H10" s="7" t="s">
        <v>2</v>
      </c>
      <c r="I10" s="7" t="s">
        <v>2</v>
      </c>
      <c r="J10" s="7" t="s">
        <v>78</v>
      </c>
    </row>
    <row r="11" spans="1:10" x14ac:dyDescent="0.25">
      <c r="A11" s="5" t="s">
        <v>15</v>
      </c>
      <c r="B11" s="6" t="s">
        <v>823</v>
      </c>
      <c r="C11" s="5" t="s">
        <v>2</v>
      </c>
      <c r="D11" s="5"/>
      <c r="E11" s="5" t="s">
        <v>858</v>
      </c>
      <c r="F11" s="5" t="s">
        <v>17</v>
      </c>
      <c r="G11" s="5" t="s">
        <v>2</v>
      </c>
      <c r="H11" s="5" t="s">
        <v>2</v>
      </c>
      <c r="I11" s="5" t="s">
        <v>2</v>
      </c>
      <c r="J11" s="5" t="s">
        <v>859</v>
      </c>
    </row>
    <row r="12" spans="1:10" x14ac:dyDescent="0.25" outlineLevel="1" collapsed="1">
      <c r="A12" s="7" t="s">
        <v>15</v>
      </c>
      <c r="B12" s="7" t="s">
        <v>44</v>
      </c>
      <c r="C12" s="10" t="s">
        <v>826</v>
      </c>
      <c r="D12" s="7"/>
      <c r="E12" s="7" t="s">
        <v>827</v>
      </c>
      <c r="F12" s="7" t="s">
        <v>17</v>
      </c>
      <c r="G12" s="7" t="s">
        <v>15</v>
      </c>
      <c r="H12" s="7" t="s">
        <v>2</v>
      </c>
      <c r="I12" s="7" t="s">
        <v>2</v>
      </c>
      <c r="J12" s="7" t="s">
        <v>828</v>
      </c>
    </row>
    <row r="13" spans="1:10" x14ac:dyDescent="0.25" outlineLevel="1" collapsed="1">
      <c r="A13" s="7" t="s">
        <v>17</v>
      </c>
      <c r="B13" s="7" t="s">
        <v>20</v>
      </c>
      <c r="C13" s="7" t="s">
        <v>2</v>
      </c>
      <c r="D13" s="7"/>
      <c r="E13" s="7" t="s">
        <v>76</v>
      </c>
      <c r="F13" s="7" t="s">
        <v>17</v>
      </c>
      <c r="G13" s="7" t="s">
        <v>22</v>
      </c>
      <c r="H13" s="7" t="s">
        <v>2</v>
      </c>
      <c r="I13" s="7" t="s">
        <v>2</v>
      </c>
      <c r="J13" s="7" t="s">
        <v>78</v>
      </c>
    </row>
    <row r="14" spans="1:10" x14ac:dyDescent="0.25">
      <c r="A14" s="5" t="s">
        <v>15</v>
      </c>
      <c r="B14" s="6" t="s">
        <v>823</v>
      </c>
      <c r="C14" s="5" t="s">
        <v>2</v>
      </c>
      <c r="D14" s="5"/>
      <c r="E14" s="5" t="s">
        <v>860</v>
      </c>
      <c r="F14" s="5" t="s">
        <v>17</v>
      </c>
      <c r="G14" s="5" t="s">
        <v>2</v>
      </c>
      <c r="H14" s="5" t="s">
        <v>2</v>
      </c>
      <c r="I14" s="5" t="s">
        <v>2</v>
      </c>
      <c r="J14" s="5" t="s">
        <v>861</v>
      </c>
    </row>
    <row r="15" spans="1:10" x14ac:dyDescent="0.25" outlineLevel="1" collapsed="1">
      <c r="A15" s="7" t="s">
        <v>15</v>
      </c>
      <c r="B15" s="7" t="s">
        <v>44</v>
      </c>
      <c r="C15" s="10" t="s">
        <v>826</v>
      </c>
      <c r="D15" s="7"/>
      <c r="E15" s="7" t="s">
        <v>827</v>
      </c>
      <c r="F15" s="7" t="s">
        <v>17</v>
      </c>
      <c r="G15" s="7" t="s">
        <v>15</v>
      </c>
      <c r="H15" s="7" t="s">
        <v>2</v>
      </c>
      <c r="I15" s="7" t="s">
        <v>2</v>
      </c>
      <c r="J15" s="7" t="s">
        <v>828</v>
      </c>
    </row>
    <row r="16" spans="1:10" x14ac:dyDescent="0.25" outlineLevel="1" collapsed="1">
      <c r="A16" s="7" t="s">
        <v>17</v>
      </c>
      <c r="B16" s="7" t="s">
        <v>20</v>
      </c>
      <c r="C16" s="7" t="s">
        <v>2</v>
      </c>
      <c r="D16" s="7"/>
      <c r="E16" s="7" t="s">
        <v>76</v>
      </c>
      <c r="F16" s="7" t="s">
        <v>17</v>
      </c>
      <c r="G16" s="7" t="s">
        <v>22</v>
      </c>
      <c r="H16" s="7" t="s">
        <v>2</v>
      </c>
      <c r="I16" s="7" t="s">
        <v>2</v>
      </c>
      <c r="J16" s="7" t="s">
        <v>78</v>
      </c>
    </row>
    <row r="17" spans="1:10" x14ac:dyDescent="0.25">
      <c r="A17" s="5" t="s">
        <v>15</v>
      </c>
      <c r="B17" s="6" t="s">
        <v>823</v>
      </c>
      <c r="C17" s="5" t="s">
        <v>2</v>
      </c>
      <c r="D17" s="5"/>
      <c r="E17" s="5" t="s">
        <v>862</v>
      </c>
      <c r="F17" s="5" t="s">
        <v>17</v>
      </c>
      <c r="G17" s="5" t="s">
        <v>2</v>
      </c>
      <c r="H17" s="5" t="s">
        <v>2</v>
      </c>
      <c r="I17" s="5" t="s">
        <v>2</v>
      </c>
      <c r="J17" s="5" t="s">
        <v>863</v>
      </c>
    </row>
    <row r="18" spans="1:10" x14ac:dyDescent="0.25" outlineLevel="1" collapsed="1">
      <c r="A18" s="7" t="s">
        <v>15</v>
      </c>
      <c r="B18" s="7" t="s">
        <v>44</v>
      </c>
      <c r="C18" s="10" t="s">
        <v>826</v>
      </c>
      <c r="D18" s="7"/>
      <c r="E18" s="7" t="s">
        <v>827</v>
      </c>
      <c r="F18" s="7" t="s">
        <v>17</v>
      </c>
      <c r="G18" s="7" t="s">
        <v>15</v>
      </c>
      <c r="H18" s="7" t="s">
        <v>2</v>
      </c>
      <c r="I18" s="7" t="s">
        <v>2</v>
      </c>
      <c r="J18" s="7" t="s">
        <v>828</v>
      </c>
    </row>
    <row r="19" spans="1:10" x14ac:dyDescent="0.25" outlineLevel="1" collapsed="1">
      <c r="A19" s="7" t="s">
        <v>17</v>
      </c>
      <c r="B19" s="7" t="s">
        <v>20</v>
      </c>
      <c r="C19" s="7" t="s">
        <v>2</v>
      </c>
      <c r="D19" s="7"/>
      <c r="E19" s="7" t="s">
        <v>76</v>
      </c>
      <c r="F19" s="7" t="s">
        <v>17</v>
      </c>
      <c r="G19" s="7" t="s">
        <v>22</v>
      </c>
      <c r="H19" s="7" t="s">
        <v>2</v>
      </c>
      <c r="I19" s="7" t="s">
        <v>2</v>
      </c>
      <c r="J19" s="7" t="s">
        <v>78</v>
      </c>
    </row>
    <row r="20" spans="1:10" x14ac:dyDescent="0.25">
      <c r="A20" s="5" t="s">
        <v>15</v>
      </c>
      <c r="B20" s="6" t="s">
        <v>823</v>
      </c>
      <c r="C20" s="5" t="s">
        <v>2</v>
      </c>
      <c r="D20" s="5"/>
      <c r="E20" s="5" t="s">
        <v>864</v>
      </c>
      <c r="F20" s="5" t="s">
        <v>17</v>
      </c>
      <c r="G20" s="5" t="s">
        <v>2</v>
      </c>
      <c r="H20" s="5" t="s">
        <v>2</v>
      </c>
      <c r="I20" s="5" t="s">
        <v>2</v>
      </c>
      <c r="J20" s="5" t="s">
        <v>865</v>
      </c>
    </row>
    <row r="21" spans="1:10" x14ac:dyDescent="0.25" outlineLevel="1" collapsed="1">
      <c r="A21" s="7" t="s">
        <v>15</v>
      </c>
      <c r="B21" s="7" t="s">
        <v>44</v>
      </c>
      <c r="C21" s="10" t="s">
        <v>826</v>
      </c>
      <c r="D21" s="7"/>
      <c r="E21" s="7" t="s">
        <v>827</v>
      </c>
      <c r="F21" s="7" t="s">
        <v>17</v>
      </c>
      <c r="G21" s="7" t="s">
        <v>15</v>
      </c>
      <c r="H21" s="7" t="s">
        <v>2</v>
      </c>
      <c r="I21" s="7" t="s">
        <v>2</v>
      </c>
      <c r="J21" s="7" t="s">
        <v>828</v>
      </c>
    </row>
    <row r="22" spans="1:10" x14ac:dyDescent="0.25" outlineLevel="1" collapsed="1">
      <c r="A22" s="7" t="s">
        <v>17</v>
      </c>
      <c r="B22" s="7" t="s">
        <v>20</v>
      </c>
      <c r="C22" s="7" t="s">
        <v>2</v>
      </c>
      <c r="D22" s="7"/>
      <c r="E22" s="7" t="s">
        <v>76</v>
      </c>
      <c r="F22" s="7" t="s">
        <v>17</v>
      </c>
      <c r="G22" s="7" t="s">
        <v>22</v>
      </c>
      <c r="H22" s="7" t="s">
        <v>2</v>
      </c>
      <c r="I22" s="7" t="s">
        <v>2</v>
      </c>
      <c r="J22" s="7" t="s">
        <v>78</v>
      </c>
    </row>
    <row r="23" spans="1:10" x14ac:dyDescent="0.25">
      <c r="A23" s="5" t="s">
        <v>15</v>
      </c>
      <c r="B23" s="6" t="s">
        <v>823</v>
      </c>
      <c r="C23" s="5" t="s">
        <v>2</v>
      </c>
      <c r="D23" s="5"/>
      <c r="E23" s="5" t="s">
        <v>866</v>
      </c>
      <c r="F23" s="5" t="s">
        <v>17</v>
      </c>
      <c r="G23" s="5" t="s">
        <v>2</v>
      </c>
      <c r="H23" s="5" t="s">
        <v>2</v>
      </c>
      <c r="I23" s="5" t="s">
        <v>2</v>
      </c>
      <c r="J23" s="5" t="s">
        <v>867</v>
      </c>
    </row>
    <row r="24" spans="1:10" x14ac:dyDescent="0.25" outlineLevel="1" collapsed="1">
      <c r="A24" s="7" t="s">
        <v>15</v>
      </c>
      <c r="B24" s="7" t="s">
        <v>44</v>
      </c>
      <c r="C24" s="10" t="s">
        <v>826</v>
      </c>
      <c r="D24" s="7"/>
      <c r="E24" s="7" t="s">
        <v>827</v>
      </c>
      <c r="F24" s="7" t="s">
        <v>17</v>
      </c>
      <c r="G24" s="7" t="s">
        <v>15</v>
      </c>
      <c r="H24" s="7" t="s">
        <v>2</v>
      </c>
      <c r="I24" s="7" t="s">
        <v>2</v>
      </c>
      <c r="J24" s="7" t="s">
        <v>828</v>
      </c>
    </row>
    <row r="25" spans="1:10" x14ac:dyDescent="0.25" outlineLevel="1" collapsed="1">
      <c r="A25" s="7" t="s">
        <v>17</v>
      </c>
      <c r="B25" s="7" t="s">
        <v>20</v>
      </c>
      <c r="C25" s="7" t="s">
        <v>2</v>
      </c>
      <c r="D25" s="7"/>
      <c r="E25" s="7" t="s">
        <v>76</v>
      </c>
      <c r="F25" s="7" t="s">
        <v>17</v>
      </c>
      <c r="G25" s="7" t="s">
        <v>22</v>
      </c>
      <c r="H25" s="7" t="s">
        <v>2</v>
      </c>
      <c r="I25" s="7" t="s">
        <v>2</v>
      </c>
      <c r="J25" s="7" t="s">
        <v>78</v>
      </c>
    </row>
  </sheetData>
  <mergeCells count="3">
    <mergeCell ref="A1:J1"/>
    <mergeCell ref="B2:J2"/>
    <mergeCell ref="B3:J3"/>
  </mergeCells>
  <dataValidations count="7">
    <dataValidation type="list" allowBlank="1" sqref="G12:I12">
      <formula1>'Enums'!C2707:C2708</formula1>
    </dataValidation>
    <dataValidation type="list" allowBlank="1" sqref="G15:I15">
      <formula1>'Enums'!C2707:C2708</formula1>
    </dataValidation>
    <dataValidation type="list" allowBlank="1" sqref="G18:I18">
      <formula1>'Enums'!C2707:C2708</formula1>
    </dataValidation>
    <dataValidation type="list" allowBlank="1" sqref="G21:I21">
      <formula1>'Enums'!C2707:C2708</formula1>
    </dataValidation>
    <dataValidation type="list" allowBlank="1" sqref="G24:I24">
      <formula1>'Enums'!C2707:C2708</formula1>
    </dataValidation>
    <dataValidation type="list" allowBlank="1" sqref="G6:I6">
      <formula1>'Enums'!C2707:C2708</formula1>
    </dataValidation>
    <dataValidation type="list" allowBlank="1" sqref="G9:I9">
      <formula1>'Enums'!C2707:C2708</formula1>
    </dataValidation>
  </dataValidations>
  <hyperlinks>
    <hyperlink ref="B5" r:id="rId1" location="#'Yes or no with comments'!A1"/>
    <hyperlink ref="B8" r:id="rId2" location="#'Yes or no with comments'!A1"/>
    <hyperlink ref="B11" r:id="rId3" location="#'Yes or no with comments'!A1"/>
    <hyperlink ref="B14" r:id="rId4" location="#'Yes or no with comments'!A1"/>
    <hyperlink ref="B17" r:id="rId5" location="#'Yes or no with comments'!A1"/>
    <hyperlink ref="B20" r:id="rId6" location="#'Yes or no with comments'!A1"/>
    <hyperlink ref="B23" r:id="rId7" location="#'Yes or no with comm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758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44</v>
      </c>
      <c r="C5" s="12" t="s">
        <v>760</v>
      </c>
      <c r="D5" s="5"/>
      <c r="E5" s="5" t="s">
        <v>761</v>
      </c>
      <c r="F5" s="5" t="s">
        <v>17</v>
      </c>
      <c r="G5" s="5" t="s">
        <v>762</v>
      </c>
      <c r="H5" s="5" t="s">
        <v>2</v>
      </c>
      <c r="I5" s="5" t="s">
        <v>2</v>
      </c>
      <c r="J5" s="5" t="s">
        <v>763</v>
      </c>
    </row>
    <row r="6" spans="1:10" x14ac:dyDescent="0.25">
      <c r="A6" s="5" t="s">
        <v>15</v>
      </c>
      <c r="B6" s="5" t="s">
        <v>20</v>
      </c>
      <c r="C6" s="5" t="s">
        <v>2</v>
      </c>
      <c r="D6" s="5"/>
      <c r="E6" s="5" t="s">
        <v>764</v>
      </c>
      <c r="F6" s="5" t="s">
        <v>17</v>
      </c>
      <c r="G6" s="5" t="s">
        <v>22</v>
      </c>
      <c r="H6" s="5" t="s">
        <v>2</v>
      </c>
      <c r="I6" s="5" t="s">
        <v>2</v>
      </c>
      <c r="J6" s="5" t="s">
        <v>765</v>
      </c>
    </row>
  </sheetData>
  <mergeCells count="3">
    <mergeCell ref="A1:J1"/>
    <mergeCell ref="B2:J2"/>
    <mergeCell ref="B3:J3"/>
  </mergeCells>
  <dataValidations count="1">
    <dataValidation type="list" allowBlank="1" sqref="G5:I5">
      <formula1>'Enums'!C2718:C2733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21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23</v>
      </c>
    </row>
    <row r="6" spans="1:10" x14ac:dyDescent="0.25">
      <c r="A6" s="5" t="s">
        <v>15</v>
      </c>
      <c r="B6" s="5" t="s">
        <v>20</v>
      </c>
      <c r="C6" s="5" t="s">
        <v>2</v>
      </c>
      <c r="D6" s="5"/>
      <c r="E6" s="5" t="s">
        <v>24</v>
      </c>
      <c r="F6" s="5" t="s">
        <v>17</v>
      </c>
      <c r="G6" s="5" t="s">
        <v>22</v>
      </c>
      <c r="H6" s="5" t="s">
        <v>2</v>
      </c>
      <c r="I6" s="5" t="s">
        <v>2</v>
      </c>
      <c r="J6" s="5" t="s">
        <v>25</v>
      </c>
    </row>
    <row r="7" spans="1:10" x14ac:dyDescent="0.25">
      <c r="A7" s="5" t="s">
        <v>15</v>
      </c>
      <c r="B7" s="5" t="s">
        <v>26</v>
      </c>
      <c r="C7" s="5" t="s">
        <v>2</v>
      </c>
      <c r="D7" s="5"/>
      <c r="E7" s="5" t="s">
        <v>27</v>
      </c>
      <c r="F7" s="5" t="s">
        <v>17</v>
      </c>
      <c r="G7" s="5" t="s">
        <v>28</v>
      </c>
      <c r="H7" s="5" t="s">
        <v>2</v>
      </c>
      <c r="I7" s="5" t="s">
        <v>2</v>
      </c>
      <c r="J7" s="5" t="s">
        <v>29</v>
      </c>
    </row>
    <row r="8" spans="1:10" x14ac:dyDescent="0.25">
      <c r="A8" s="5" t="s">
        <v>15</v>
      </c>
      <c r="B8" s="5" t="s">
        <v>20</v>
      </c>
      <c r="C8" s="5" t="s">
        <v>2</v>
      </c>
      <c r="D8" s="5"/>
      <c r="E8" s="5" t="s">
        <v>30</v>
      </c>
      <c r="F8" s="5" t="s">
        <v>17</v>
      </c>
      <c r="G8" s="5" t="s">
        <v>22</v>
      </c>
      <c r="H8" s="5" t="s">
        <v>2</v>
      </c>
      <c r="I8" s="5" t="s">
        <v>2</v>
      </c>
      <c r="J8" s="5" t="s">
        <v>31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1170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44</v>
      </c>
      <c r="C5" s="12" t="s">
        <v>1172</v>
      </c>
      <c r="D5" s="5"/>
      <c r="E5" s="5" t="s">
        <v>1173</v>
      </c>
      <c r="F5" s="5" t="s">
        <v>17</v>
      </c>
      <c r="G5" s="5" t="s">
        <v>762</v>
      </c>
      <c r="H5" s="5" t="s">
        <v>2</v>
      </c>
      <c r="I5" s="5" t="s">
        <v>2</v>
      </c>
      <c r="J5" s="5" t="s">
        <v>763</v>
      </c>
    </row>
    <row r="6" spans="1:10" x14ac:dyDescent="0.25">
      <c r="A6" s="5" t="s">
        <v>15</v>
      </c>
      <c r="B6" s="5" t="s">
        <v>20</v>
      </c>
      <c r="C6" s="5" t="s">
        <v>2</v>
      </c>
      <c r="D6" s="5"/>
      <c r="E6" s="5" t="s">
        <v>1174</v>
      </c>
      <c r="F6" s="5" t="s">
        <v>17</v>
      </c>
      <c r="G6" s="5" t="s">
        <v>22</v>
      </c>
      <c r="H6" s="5" t="s">
        <v>2</v>
      </c>
      <c r="I6" s="5" t="s">
        <v>2</v>
      </c>
      <c r="J6" s="5" t="s">
        <v>1135</v>
      </c>
    </row>
    <row r="7" spans="1:10" x14ac:dyDescent="0.25">
      <c r="A7" s="5" t="s">
        <v>15</v>
      </c>
      <c r="B7" s="6" t="s">
        <v>1136</v>
      </c>
      <c r="C7" s="5" t="s">
        <v>2</v>
      </c>
      <c r="D7" s="5"/>
      <c r="E7" s="5" t="s">
        <v>1175</v>
      </c>
      <c r="F7" s="5" t="s">
        <v>15</v>
      </c>
      <c r="G7" s="5" t="s">
        <v>2</v>
      </c>
      <c r="H7" s="5" t="s">
        <v>2</v>
      </c>
      <c r="I7" s="5" t="s">
        <v>2</v>
      </c>
      <c r="J7" s="5" t="s">
        <v>1138</v>
      </c>
    </row>
    <row r="8" spans="1:10" x14ac:dyDescent="0.25" outlineLevel="1" collapsed="1">
      <c r="A8" s="7" t="s">
        <v>15</v>
      </c>
      <c r="B8" s="7" t="s">
        <v>20</v>
      </c>
      <c r="C8" s="7" t="s">
        <v>2</v>
      </c>
      <c r="D8" s="7"/>
      <c r="E8" s="7" t="s">
        <v>1139</v>
      </c>
      <c r="F8" s="7" t="s">
        <v>17</v>
      </c>
      <c r="G8" s="7" t="s">
        <v>22</v>
      </c>
      <c r="H8" s="7" t="s">
        <v>2</v>
      </c>
      <c r="I8" s="7" t="s">
        <v>2</v>
      </c>
      <c r="J8" s="7" t="s">
        <v>1140</v>
      </c>
    </row>
    <row r="9" spans="1:10" x14ac:dyDescent="0.25" outlineLevel="1" collapsed="1">
      <c r="A9" s="7" t="s">
        <v>15</v>
      </c>
      <c r="B9" s="7" t="s">
        <v>20</v>
      </c>
      <c r="C9" s="7" t="s">
        <v>2</v>
      </c>
      <c r="D9" s="7"/>
      <c r="E9" s="7" t="s">
        <v>1141</v>
      </c>
      <c r="F9" s="7" t="s">
        <v>17</v>
      </c>
      <c r="G9" s="7" t="s">
        <v>22</v>
      </c>
      <c r="H9" s="7" t="s">
        <v>2</v>
      </c>
      <c r="I9" s="7" t="s">
        <v>2</v>
      </c>
      <c r="J9" s="7" t="s">
        <v>1142</v>
      </c>
    </row>
    <row r="10" spans="1:10" x14ac:dyDescent="0.25" outlineLevel="1" collapsed="1">
      <c r="A10" s="7" t="s">
        <v>15</v>
      </c>
      <c r="B10" s="7" t="s">
        <v>20</v>
      </c>
      <c r="C10" s="7" t="s">
        <v>2</v>
      </c>
      <c r="D10" s="7"/>
      <c r="E10" s="7" t="s">
        <v>9</v>
      </c>
      <c r="F10" s="7" t="s">
        <v>17</v>
      </c>
      <c r="G10" s="7" t="s">
        <v>22</v>
      </c>
      <c r="H10" s="7" t="s">
        <v>2</v>
      </c>
      <c r="I10" s="7" t="s">
        <v>2</v>
      </c>
      <c r="J10" s="7" t="s">
        <v>1143</v>
      </c>
    </row>
    <row r="11" spans="1:10" x14ac:dyDescent="0.25" outlineLevel="1" collapsed="1">
      <c r="A11" s="7" t="s">
        <v>15</v>
      </c>
      <c r="B11" s="7" t="s">
        <v>20</v>
      </c>
      <c r="C11" s="7" t="s">
        <v>2</v>
      </c>
      <c r="D11" s="7"/>
      <c r="E11" s="7" t="s">
        <v>1144</v>
      </c>
      <c r="F11" s="7" t="s">
        <v>17</v>
      </c>
      <c r="G11" s="7" t="s">
        <v>22</v>
      </c>
      <c r="H11" s="7" t="s">
        <v>2</v>
      </c>
      <c r="I11" s="7" t="s">
        <v>2</v>
      </c>
      <c r="J11" s="7" t="s">
        <v>1145</v>
      </c>
    </row>
    <row r="12" spans="1:10" x14ac:dyDescent="0.25" outlineLevel="1" collapsed="1">
      <c r="A12" s="7" t="s">
        <v>15</v>
      </c>
      <c r="B12" s="7" t="s">
        <v>20</v>
      </c>
      <c r="C12" s="7" t="s">
        <v>2</v>
      </c>
      <c r="D12" s="7"/>
      <c r="E12" s="7" t="s">
        <v>1146</v>
      </c>
      <c r="F12" s="7" t="s">
        <v>17</v>
      </c>
      <c r="G12" s="7" t="s">
        <v>22</v>
      </c>
      <c r="H12" s="7" t="s">
        <v>2</v>
      </c>
      <c r="I12" s="7" t="s">
        <v>2</v>
      </c>
      <c r="J12" s="7" t="s">
        <v>1147</v>
      </c>
    </row>
    <row r="13" spans="1:10" x14ac:dyDescent="0.25" outlineLevel="1" collapsed="1">
      <c r="A13" s="7" t="s">
        <v>15</v>
      </c>
      <c r="B13" s="7" t="s">
        <v>20</v>
      </c>
      <c r="C13" s="7" t="s">
        <v>2</v>
      </c>
      <c r="D13" s="7"/>
      <c r="E13" s="7" t="s">
        <v>1148</v>
      </c>
      <c r="F13" s="7" t="s">
        <v>17</v>
      </c>
      <c r="G13" s="7" t="s">
        <v>22</v>
      </c>
      <c r="H13" s="7" t="s">
        <v>2</v>
      </c>
      <c r="I13" s="7" t="s">
        <v>2</v>
      </c>
      <c r="J13" s="7" t="s">
        <v>1149</v>
      </c>
    </row>
    <row r="14" spans="1:10" x14ac:dyDescent="0.25" outlineLevel="1" collapsed="1">
      <c r="A14" s="7" t="s">
        <v>15</v>
      </c>
      <c r="B14" s="7" t="s">
        <v>20</v>
      </c>
      <c r="C14" s="7" t="s">
        <v>2</v>
      </c>
      <c r="D14" s="7"/>
      <c r="E14" s="7" t="s">
        <v>1150</v>
      </c>
      <c r="F14" s="7" t="s">
        <v>17</v>
      </c>
      <c r="G14" s="7" t="s">
        <v>22</v>
      </c>
      <c r="H14" s="7" t="s">
        <v>2</v>
      </c>
      <c r="I14" s="7" t="s">
        <v>2</v>
      </c>
      <c r="J14" s="7" t="s">
        <v>1151</v>
      </c>
    </row>
    <row r="15" spans="1:10" x14ac:dyDescent="0.25" outlineLevel="1" collapsed="1">
      <c r="A15" s="7" t="s">
        <v>15</v>
      </c>
      <c r="B15" s="7" t="s">
        <v>20</v>
      </c>
      <c r="C15" s="7" t="s">
        <v>2</v>
      </c>
      <c r="D15" s="7"/>
      <c r="E15" s="7" t="s">
        <v>1152</v>
      </c>
      <c r="F15" s="7" t="s">
        <v>17</v>
      </c>
      <c r="G15" s="7" t="s">
        <v>22</v>
      </c>
      <c r="H15" s="7" t="s">
        <v>2</v>
      </c>
      <c r="I15" s="7" t="s">
        <v>2</v>
      </c>
      <c r="J15" s="7" t="s">
        <v>1153</v>
      </c>
    </row>
    <row r="16" spans="1:10" x14ac:dyDescent="0.25">
      <c r="A16" s="5" t="s">
        <v>15</v>
      </c>
      <c r="B16" s="6" t="s">
        <v>1154</v>
      </c>
      <c r="C16" s="5" t="s">
        <v>2</v>
      </c>
      <c r="D16" s="5"/>
      <c r="E16" s="5" t="s">
        <v>1155</v>
      </c>
      <c r="F16" s="5" t="s">
        <v>17</v>
      </c>
      <c r="G16" s="5" t="s">
        <v>2</v>
      </c>
      <c r="H16" s="5" t="s">
        <v>2</v>
      </c>
      <c r="I16" s="5" t="s">
        <v>2</v>
      </c>
      <c r="J16" s="5" t="s">
        <v>1156</v>
      </c>
    </row>
    <row r="17" spans="1:10" x14ac:dyDescent="0.25" outlineLevel="1" collapsed="1">
      <c r="A17" s="7" t="s">
        <v>15</v>
      </c>
      <c r="B17" s="7" t="s">
        <v>133</v>
      </c>
      <c r="C17" s="7" t="s">
        <v>885</v>
      </c>
      <c r="D17" s="7"/>
      <c r="E17" s="7" t="s">
        <v>1157</v>
      </c>
      <c r="F17" s="7" t="s">
        <v>17</v>
      </c>
      <c r="G17" s="7" t="s">
        <v>1573</v>
      </c>
      <c r="H17" s="7" t="s">
        <v>2</v>
      </c>
      <c r="I17" s="7" t="s">
        <v>2</v>
      </c>
      <c r="J17" s="7" t="s">
        <v>888</v>
      </c>
    </row>
    <row r="18" spans="1:10" x14ac:dyDescent="0.25" outlineLevel="1" collapsed="1">
      <c r="A18" s="7" t="s">
        <v>15</v>
      </c>
      <c r="B18" s="7" t="s">
        <v>53</v>
      </c>
      <c r="C18" s="7" t="s">
        <v>2</v>
      </c>
      <c r="D18" s="7"/>
      <c r="E18" s="7" t="s">
        <v>1159</v>
      </c>
      <c r="F18" s="7" t="s">
        <v>17</v>
      </c>
      <c r="G18" s="7">
        <v>1</v>
      </c>
      <c r="H18" s="7" t="s">
        <v>2</v>
      </c>
      <c r="I18" s="7" t="s">
        <v>2</v>
      </c>
      <c r="J18" s="7" t="s">
        <v>1160</v>
      </c>
    </row>
    <row r="19" spans="1:10" x14ac:dyDescent="0.25" outlineLevel="1" collapsed="1">
      <c r="A19" s="7" t="s">
        <v>15</v>
      </c>
      <c r="B19" s="7" t="s">
        <v>53</v>
      </c>
      <c r="C19" s="7" t="s">
        <v>2</v>
      </c>
      <c r="D19" s="7"/>
      <c r="E19" s="7" t="s">
        <v>1161</v>
      </c>
      <c r="F19" s="7" t="s">
        <v>17</v>
      </c>
      <c r="G19" s="7">
        <v>1</v>
      </c>
      <c r="H19" s="7" t="s">
        <v>2</v>
      </c>
      <c r="I19" s="7" t="s">
        <v>2</v>
      </c>
      <c r="J19" s="7" t="s">
        <v>1162</v>
      </c>
    </row>
    <row r="20" spans="1:10" x14ac:dyDescent="0.25" outlineLevel="1" collapsed="1">
      <c r="A20" s="7" t="s">
        <v>15</v>
      </c>
      <c r="B20" s="7" t="s">
        <v>53</v>
      </c>
      <c r="C20" s="7" t="s">
        <v>2</v>
      </c>
      <c r="D20" s="7"/>
      <c r="E20" s="7" t="s">
        <v>1163</v>
      </c>
      <c r="F20" s="7" t="s">
        <v>17</v>
      </c>
      <c r="G20" s="7">
        <v>1</v>
      </c>
      <c r="H20" s="7" t="s">
        <v>2</v>
      </c>
      <c r="I20" s="7" t="s">
        <v>2</v>
      </c>
      <c r="J20" s="7" t="s">
        <v>1164</v>
      </c>
    </row>
    <row r="21" spans="1:10" x14ac:dyDescent="0.25" outlineLevel="1" collapsed="1">
      <c r="A21" s="7" t="s">
        <v>15</v>
      </c>
      <c r="B21" s="7" t="s">
        <v>20</v>
      </c>
      <c r="C21" s="7" t="s">
        <v>2</v>
      </c>
      <c r="D21" s="7"/>
      <c r="E21" s="7" t="s">
        <v>1165</v>
      </c>
      <c r="F21" s="7" t="s">
        <v>17</v>
      </c>
      <c r="G21" s="7" t="s">
        <v>22</v>
      </c>
      <c r="H21" s="7" t="s">
        <v>2</v>
      </c>
      <c r="I21" s="7" t="s">
        <v>2</v>
      </c>
      <c r="J21" s="7" t="s">
        <v>1166</v>
      </c>
    </row>
    <row r="22" spans="1:10" x14ac:dyDescent="0.25" outlineLevel="1" collapsed="1">
      <c r="A22" s="7" t="s">
        <v>15</v>
      </c>
      <c r="B22" s="7" t="s">
        <v>194</v>
      </c>
      <c r="C22" s="7" t="s">
        <v>2</v>
      </c>
      <c r="D22" s="7"/>
      <c r="E22" s="7" t="s">
        <v>1167</v>
      </c>
      <c r="F22" s="7" t="s">
        <v>17</v>
      </c>
      <c r="G22" s="7">
        <v>1</v>
      </c>
      <c r="H22" s="7" t="s">
        <v>2</v>
      </c>
      <c r="I22" s="7" t="s">
        <v>2</v>
      </c>
      <c r="J22" s="7" t="s">
        <v>1168</v>
      </c>
    </row>
  </sheetData>
  <mergeCells count="3">
    <mergeCell ref="A1:J1"/>
    <mergeCell ref="B2:J2"/>
    <mergeCell ref="B3:J3"/>
  </mergeCells>
  <dataValidations count="1">
    <dataValidation type="list" allowBlank="1" sqref="G5:I5">
      <formula1>'Enums'!C2400:C2415</formula1>
    </dataValidation>
  </dataValidations>
  <hyperlinks>
    <hyperlink ref="B7" r:id="rId1" location="#'Data and parameters fixed ex a'!A1"/>
    <hyperlink ref="B16" r:id="rId2" location="#'Ex Ante Estimation of SDG Impa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1155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133</v>
      </c>
      <c r="C5" s="5" t="s">
        <v>885</v>
      </c>
      <c r="D5" s="5"/>
      <c r="E5" s="5" t="s">
        <v>1157</v>
      </c>
      <c r="F5" s="5" t="s">
        <v>17</v>
      </c>
      <c r="G5" s="5" t="s">
        <v>1574</v>
      </c>
      <c r="H5" s="5" t="s">
        <v>2</v>
      </c>
      <c r="I5" s="5" t="s">
        <v>2</v>
      </c>
      <c r="J5" s="5" t="s">
        <v>888</v>
      </c>
    </row>
    <row r="6" spans="1:10" x14ac:dyDescent="0.25">
      <c r="A6" s="5" t="s">
        <v>15</v>
      </c>
      <c r="B6" s="5" t="s">
        <v>53</v>
      </c>
      <c r="C6" s="5" t="s">
        <v>2</v>
      </c>
      <c r="D6" s="5"/>
      <c r="E6" s="5" t="s">
        <v>1159</v>
      </c>
      <c r="F6" s="5" t="s">
        <v>17</v>
      </c>
      <c r="G6" s="5">
        <v>1</v>
      </c>
      <c r="H6" s="5" t="s">
        <v>2</v>
      </c>
      <c r="I6" s="5" t="s">
        <v>2</v>
      </c>
      <c r="J6" s="5" t="s">
        <v>1160</v>
      </c>
    </row>
    <row r="7" spans="1:10" x14ac:dyDescent="0.25">
      <c r="A7" s="5" t="s">
        <v>15</v>
      </c>
      <c r="B7" s="5" t="s">
        <v>53</v>
      </c>
      <c r="C7" s="5" t="s">
        <v>2</v>
      </c>
      <c r="D7" s="5"/>
      <c r="E7" s="5" t="s">
        <v>1161</v>
      </c>
      <c r="F7" s="5" t="s">
        <v>17</v>
      </c>
      <c r="G7" s="5">
        <v>1</v>
      </c>
      <c r="H7" s="5" t="s">
        <v>2</v>
      </c>
      <c r="I7" s="5" t="s">
        <v>2</v>
      </c>
      <c r="J7" s="5" t="s">
        <v>1162</v>
      </c>
    </row>
    <row r="8" spans="1:10" x14ac:dyDescent="0.25">
      <c r="A8" s="5" t="s">
        <v>15</v>
      </c>
      <c r="B8" s="5" t="s">
        <v>53</v>
      </c>
      <c r="C8" s="5" t="s">
        <v>2</v>
      </c>
      <c r="D8" s="5"/>
      <c r="E8" s="5" t="s">
        <v>1163</v>
      </c>
      <c r="F8" s="5" t="s">
        <v>17</v>
      </c>
      <c r="G8" s="5">
        <v>1</v>
      </c>
      <c r="H8" s="5" t="s">
        <v>2</v>
      </c>
      <c r="I8" s="5" t="s">
        <v>2</v>
      </c>
      <c r="J8" s="5" t="s">
        <v>1164</v>
      </c>
    </row>
    <row r="9" spans="1:10" x14ac:dyDescent="0.25">
      <c r="A9" s="5" t="s">
        <v>15</v>
      </c>
      <c r="B9" s="5" t="s">
        <v>20</v>
      </c>
      <c r="C9" s="5" t="s">
        <v>2</v>
      </c>
      <c r="D9" s="5"/>
      <c r="E9" s="5" t="s">
        <v>1165</v>
      </c>
      <c r="F9" s="5" t="s">
        <v>17</v>
      </c>
      <c r="G9" s="5" t="s">
        <v>22</v>
      </c>
      <c r="H9" s="5" t="s">
        <v>2</v>
      </c>
      <c r="I9" s="5" t="s">
        <v>2</v>
      </c>
      <c r="J9" s="5" t="s">
        <v>1166</v>
      </c>
    </row>
    <row r="10" spans="1:10" x14ac:dyDescent="0.25">
      <c r="A10" s="5" t="s">
        <v>15</v>
      </c>
      <c r="B10" s="5" t="s">
        <v>194</v>
      </c>
      <c r="C10" s="5" t="s">
        <v>2</v>
      </c>
      <c r="D10" s="5"/>
      <c r="E10" s="5" t="s">
        <v>1167</v>
      </c>
      <c r="F10" s="5" t="s">
        <v>17</v>
      </c>
      <c r="G10" s="5">
        <v>1</v>
      </c>
      <c r="H10" s="5" t="s">
        <v>2</v>
      </c>
      <c r="I10" s="5" t="s">
        <v>2</v>
      </c>
      <c r="J10" s="5" t="s">
        <v>1168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1061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1063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1064</v>
      </c>
    </row>
    <row r="6" spans="1:10" x14ac:dyDescent="0.25">
      <c r="A6" s="5" t="s">
        <v>15</v>
      </c>
      <c r="B6" s="5" t="s">
        <v>133</v>
      </c>
      <c r="C6" s="5" t="s">
        <v>1065</v>
      </c>
      <c r="D6" s="5"/>
      <c r="E6" s="5" t="s">
        <v>1066</v>
      </c>
      <c r="F6" s="5" t="s">
        <v>17</v>
      </c>
      <c r="G6" s="5" t="s">
        <v>1575</v>
      </c>
      <c r="H6" s="5" t="s">
        <v>2</v>
      </c>
      <c r="I6" s="5" t="s">
        <v>2</v>
      </c>
      <c r="J6" s="5" t="s">
        <v>1068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497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356</v>
      </c>
      <c r="C5" s="5" t="s">
        <v>2</v>
      </c>
      <c r="D5" s="5"/>
      <c r="E5" s="5" t="s">
        <v>432</v>
      </c>
      <c r="F5" s="5" t="s">
        <v>17</v>
      </c>
      <c r="G5" s="5" t="s">
        <v>2</v>
      </c>
      <c r="H5" s="5" t="s">
        <v>2</v>
      </c>
      <c r="I5" s="5" t="s">
        <v>2</v>
      </c>
      <c r="J5" s="5" t="s">
        <v>433</v>
      </c>
    </row>
    <row r="6" spans="1:10" x14ac:dyDescent="0.25">
      <c r="A6" s="5" t="s">
        <v>15</v>
      </c>
      <c r="B6" s="6" t="s">
        <v>499</v>
      </c>
      <c r="C6" s="5" t="s">
        <v>2</v>
      </c>
      <c r="D6" s="5"/>
      <c r="E6" s="5" t="s">
        <v>500</v>
      </c>
      <c r="F6" s="5" t="s">
        <v>15</v>
      </c>
      <c r="G6" s="5" t="s">
        <v>2</v>
      </c>
      <c r="H6" s="5" t="s">
        <v>2</v>
      </c>
      <c r="I6" s="5" t="s">
        <v>2</v>
      </c>
      <c r="J6" s="5" t="s">
        <v>501</v>
      </c>
    </row>
    <row r="7" spans="1:10" x14ac:dyDescent="0.25" outlineLevel="1" collapsed="1">
      <c r="A7" s="7" t="s">
        <v>15</v>
      </c>
      <c r="B7" s="7" t="s">
        <v>20</v>
      </c>
      <c r="C7" s="7" t="s">
        <v>2</v>
      </c>
      <c r="D7" s="7"/>
      <c r="E7" s="7" t="s">
        <v>502</v>
      </c>
      <c r="F7" s="7" t="s">
        <v>17</v>
      </c>
      <c r="G7" s="7" t="s">
        <v>22</v>
      </c>
      <c r="H7" s="7" t="s">
        <v>2</v>
      </c>
      <c r="I7" s="7" t="s">
        <v>2</v>
      </c>
      <c r="J7" s="7" t="s">
        <v>503</v>
      </c>
    </row>
    <row r="8" spans="1:10" x14ac:dyDescent="0.25" outlineLevel="1" collapsed="1">
      <c r="A8" s="7" t="s">
        <v>15</v>
      </c>
      <c r="B8" s="7" t="s">
        <v>53</v>
      </c>
      <c r="C8" s="7" t="s">
        <v>2</v>
      </c>
      <c r="D8" s="7"/>
      <c r="E8" s="7" t="s">
        <v>504</v>
      </c>
      <c r="F8" s="7" t="s">
        <v>17</v>
      </c>
      <c r="G8" s="7">
        <v>1</v>
      </c>
      <c r="H8" s="7" t="s">
        <v>2</v>
      </c>
      <c r="I8" s="7" t="s">
        <v>2</v>
      </c>
      <c r="J8" s="7" t="s">
        <v>505</v>
      </c>
    </row>
    <row r="9" spans="1:10" x14ac:dyDescent="0.25" outlineLevel="1" collapsed="1">
      <c r="A9" s="7" t="s">
        <v>17</v>
      </c>
      <c r="B9" s="7" t="s">
        <v>53</v>
      </c>
      <c r="C9" s="7" t="s">
        <v>2</v>
      </c>
      <c r="D9" s="7" t="s">
        <v>506</v>
      </c>
      <c r="E9" s="7" t="s">
        <v>507</v>
      </c>
      <c r="F9" s="7" t="s">
        <v>17</v>
      </c>
      <c r="G9" s="7">
        <v>1</v>
      </c>
      <c r="H9" s="7" t="s">
        <v>2</v>
      </c>
      <c r="I9" s="7" t="s">
        <v>2</v>
      </c>
      <c r="J9" s="7" t="s">
        <v>508</v>
      </c>
    </row>
    <row r="10" spans="1:10" x14ac:dyDescent="0.25" outlineLevel="1" collapsed="1">
      <c r="A10" s="7" t="s">
        <v>15</v>
      </c>
      <c r="B10" s="7" t="s">
        <v>53</v>
      </c>
      <c r="C10" s="7" t="s">
        <v>2</v>
      </c>
      <c r="D10" s="7"/>
      <c r="E10" s="7" t="s">
        <v>509</v>
      </c>
      <c r="F10" s="7" t="s">
        <v>17</v>
      </c>
      <c r="G10" s="7">
        <v>1</v>
      </c>
      <c r="H10" s="7" t="s">
        <v>2</v>
      </c>
      <c r="I10" s="7" t="s">
        <v>2</v>
      </c>
      <c r="J10" s="7" t="s">
        <v>510</v>
      </c>
    </row>
    <row r="11" spans="1:10" x14ac:dyDescent="0.25" outlineLevel="1" collapsed="1">
      <c r="A11" s="7" t="s">
        <v>15</v>
      </c>
      <c r="B11" s="7" t="s">
        <v>53</v>
      </c>
      <c r="C11" s="7" t="s">
        <v>2</v>
      </c>
      <c r="D11" s="7"/>
      <c r="E11" s="7" t="s">
        <v>511</v>
      </c>
      <c r="F11" s="7" t="s">
        <v>17</v>
      </c>
      <c r="G11" s="7">
        <v>1</v>
      </c>
      <c r="H11" s="7" t="s">
        <v>2</v>
      </c>
      <c r="I11" s="7" t="s">
        <v>2</v>
      </c>
      <c r="J11" s="7" t="s">
        <v>512</v>
      </c>
    </row>
    <row r="12" spans="1:10" x14ac:dyDescent="0.25" outlineLevel="1" collapsed="1">
      <c r="A12" s="7" t="s">
        <v>15</v>
      </c>
      <c r="B12" s="7" t="s">
        <v>53</v>
      </c>
      <c r="C12" s="7" t="s">
        <v>2</v>
      </c>
      <c r="D12" s="7"/>
      <c r="E12" s="7" t="s">
        <v>513</v>
      </c>
      <c r="F12" s="7" t="s">
        <v>17</v>
      </c>
      <c r="G12" s="7">
        <v>1</v>
      </c>
      <c r="H12" s="7" t="s">
        <v>2</v>
      </c>
      <c r="I12" s="7" t="s">
        <v>2</v>
      </c>
      <c r="J12" s="7" t="s">
        <v>514</v>
      </c>
    </row>
    <row r="13" spans="1:10" x14ac:dyDescent="0.25" outlineLevel="1" collapsed="1">
      <c r="A13" s="7" t="s">
        <v>17</v>
      </c>
      <c r="B13" s="7" t="s">
        <v>53</v>
      </c>
      <c r="C13" s="7" t="s">
        <v>2</v>
      </c>
      <c r="D13" s="7" t="s">
        <v>506</v>
      </c>
      <c r="E13" s="7" t="s">
        <v>515</v>
      </c>
      <c r="F13" s="7" t="s">
        <v>17</v>
      </c>
      <c r="G13" s="7">
        <v>1</v>
      </c>
      <c r="H13" s="7" t="s">
        <v>2</v>
      </c>
      <c r="I13" s="7" t="s">
        <v>2</v>
      </c>
      <c r="J13" s="7" t="s">
        <v>516</v>
      </c>
    </row>
    <row r="14" spans="1:10" x14ac:dyDescent="0.25" outlineLevel="1" collapsed="1">
      <c r="A14" s="7" t="s">
        <v>15</v>
      </c>
      <c r="B14" s="7" t="s">
        <v>53</v>
      </c>
      <c r="C14" s="7" t="s">
        <v>2</v>
      </c>
      <c r="D14" s="7"/>
      <c r="E14" s="7" t="s">
        <v>517</v>
      </c>
      <c r="F14" s="7" t="s">
        <v>17</v>
      </c>
      <c r="G14" s="7">
        <v>1</v>
      </c>
      <c r="H14" s="7" t="s">
        <v>2</v>
      </c>
      <c r="I14" s="7" t="s">
        <v>2</v>
      </c>
      <c r="J14" s="7" t="s">
        <v>518</v>
      </c>
    </row>
    <row r="15" spans="1:10" x14ac:dyDescent="0.25" outlineLevel="1" collapsed="1">
      <c r="A15" s="7" t="s">
        <v>17</v>
      </c>
      <c r="B15" s="7" t="s">
        <v>20</v>
      </c>
      <c r="C15" s="7" t="s">
        <v>2</v>
      </c>
      <c r="D15" s="7"/>
      <c r="E15" s="7" t="s">
        <v>519</v>
      </c>
      <c r="F15" s="7" t="s">
        <v>17</v>
      </c>
      <c r="G15" s="7" t="s">
        <v>22</v>
      </c>
      <c r="H15" s="7" t="s">
        <v>2</v>
      </c>
      <c r="I15" s="7" t="s">
        <v>2</v>
      </c>
      <c r="J15" s="7" t="s">
        <v>520</v>
      </c>
    </row>
    <row r="16" spans="1:10" x14ac:dyDescent="0.25" outlineLevel="1" collapsed="1">
      <c r="A16" s="7" t="s">
        <v>15</v>
      </c>
      <c r="B16" s="7" t="s">
        <v>125</v>
      </c>
      <c r="C16" s="7" t="s">
        <v>2</v>
      </c>
      <c r="D16" s="7"/>
      <c r="E16" s="7" t="s">
        <v>521</v>
      </c>
      <c r="F16" s="7" t="s">
        <v>17</v>
      </c>
      <c r="G16" s="7" t="s">
        <v>1576</v>
      </c>
      <c r="H16" s="7" t="s">
        <v>2</v>
      </c>
      <c r="I16" s="7" t="s">
        <v>2</v>
      </c>
      <c r="J16" s="7" t="s">
        <v>523</v>
      </c>
    </row>
    <row r="17" spans="1:10" x14ac:dyDescent="0.25">
      <c r="A17" s="5" t="s">
        <v>17</v>
      </c>
      <c r="B17" s="5" t="s">
        <v>53</v>
      </c>
      <c r="C17" s="5" t="s">
        <v>2</v>
      </c>
      <c r="D17" s="5" t="s">
        <v>506</v>
      </c>
      <c r="E17" s="5" t="s">
        <v>524</v>
      </c>
      <c r="F17" s="5" t="s">
        <v>17</v>
      </c>
      <c r="G17" s="5">
        <v>1</v>
      </c>
      <c r="H17" s="5" t="s">
        <v>2</v>
      </c>
      <c r="I17" s="5" t="s">
        <v>2</v>
      </c>
      <c r="J17" s="5" t="s">
        <v>525</v>
      </c>
    </row>
    <row r="18" spans="1:10" x14ac:dyDescent="0.25">
      <c r="A18" s="5" t="s">
        <v>15</v>
      </c>
      <c r="B18" s="6" t="s">
        <v>526</v>
      </c>
      <c r="C18" s="5" t="s">
        <v>2</v>
      </c>
      <c r="D18" s="5"/>
      <c r="E18" s="5" t="s">
        <v>527</v>
      </c>
      <c r="F18" s="5" t="s">
        <v>17</v>
      </c>
      <c r="G18" s="5" t="s">
        <v>2</v>
      </c>
      <c r="H18" s="5" t="s">
        <v>2</v>
      </c>
      <c r="I18" s="5" t="s">
        <v>2</v>
      </c>
      <c r="J18" s="5" t="s">
        <v>528</v>
      </c>
    </row>
    <row r="19" spans="1:10" x14ac:dyDescent="0.25" outlineLevel="1" collapsed="1">
      <c r="A19" s="7" t="s">
        <v>15</v>
      </c>
      <c r="B19" s="7" t="s">
        <v>44</v>
      </c>
      <c r="C19" s="10" t="s">
        <v>529</v>
      </c>
      <c r="D19" s="7"/>
      <c r="E19" s="7" t="s">
        <v>231</v>
      </c>
      <c r="F19" s="7" t="s">
        <v>17</v>
      </c>
      <c r="G19" s="7" t="s">
        <v>251</v>
      </c>
      <c r="H19" s="7" t="s">
        <v>2</v>
      </c>
      <c r="I19" s="7" t="s">
        <v>2</v>
      </c>
      <c r="J19" s="7" t="s">
        <v>530</v>
      </c>
    </row>
    <row r="20" spans="1:10" x14ac:dyDescent="0.25" outlineLevel="1" collapsed="1">
      <c r="A20" s="7" t="s">
        <v>17</v>
      </c>
      <c r="B20" s="7" t="s">
        <v>20</v>
      </c>
      <c r="C20" s="7" t="s">
        <v>2</v>
      </c>
      <c r="D20" s="7"/>
      <c r="E20" s="7" t="s">
        <v>76</v>
      </c>
      <c r="F20" s="7" t="s">
        <v>17</v>
      </c>
      <c r="G20" s="7" t="s">
        <v>22</v>
      </c>
      <c r="H20" s="7" t="s">
        <v>2</v>
      </c>
      <c r="I20" s="7" t="s">
        <v>2</v>
      </c>
      <c r="J20" s="7" t="s">
        <v>78</v>
      </c>
    </row>
    <row r="21" spans="1:10" x14ac:dyDescent="0.25" outlineLevel="1" collapsed="1">
      <c r="A21" s="8" t="s">
        <v>17</v>
      </c>
      <c r="B21" s="9" t="s">
        <v>531</v>
      </c>
      <c r="C21" s="8" t="s">
        <v>2</v>
      </c>
      <c r="D21" s="8">
        <f>EXACT(G19,"CWT, CWS")</f>
      </c>
      <c r="E21" s="8" t="s">
        <v>532</v>
      </c>
      <c r="F21" s="8" t="s">
        <v>17</v>
      </c>
      <c r="G21" s="8" t="s">
        <v>2</v>
      </c>
      <c r="H21" s="8" t="s">
        <v>2</v>
      </c>
      <c r="I21" s="8" t="s">
        <v>2</v>
      </c>
      <c r="J21" s="8" t="s">
        <v>533</v>
      </c>
    </row>
    <row r="22" spans="1:10" x14ac:dyDescent="0.25" outlineLevel="2" collapsed="1">
      <c r="A22" s="7" t="s">
        <v>17</v>
      </c>
      <c r="B22" s="7" t="s">
        <v>53</v>
      </c>
      <c r="C22" s="7" t="s">
        <v>2</v>
      </c>
      <c r="D22" s="7" t="s">
        <v>506</v>
      </c>
      <c r="E22" s="7" t="s">
        <v>534</v>
      </c>
      <c r="F22" s="7" t="s">
        <v>17</v>
      </c>
      <c r="G22" s="7">
        <v>1</v>
      </c>
      <c r="H22" s="7" t="s">
        <v>2</v>
      </c>
      <c r="I22" s="7" t="s">
        <v>2</v>
      </c>
      <c r="J22" s="7" t="s">
        <v>535</v>
      </c>
    </row>
    <row r="23" spans="1:10" x14ac:dyDescent="0.25" outlineLevel="2" collapsed="1">
      <c r="A23" s="7" t="s">
        <v>17</v>
      </c>
      <c r="B23" s="7" t="s">
        <v>53</v>
      </c>
      <c r="C23" s="7" t="s">
        <v>2</v>
      </c>
      <c r="D23" s="7" t="s">
        <v>506</v>
      </c>
      <c r="E23" s="7" t="s">
        <v>536</v>
      </c>
      <c r="F23" s="7" t="s">
        <v>17</v>
      </c>
      <c r="G23" s="7">
        <v>1</v>
      </c>
      <c r="H23" s="7" t="s">
        <v>2</v>
      </c>
      <c r="I23" s="7" t="s">
        <v>2</v>
      </c>
      <c r="J23" s="7" t="s">
        <v>537</v>
      </c>
    </row>
    <row r="24" spans="1:10" x14ac:dyDescent="0.25" outlineLevel="2" collapsed="1">
      <c r="A24" s="8" t="s">
        <v>15</v>
      </c>
      <c r="B24" s="9" t="s">
        <v>538</v>
      </c>
      <c r="C24" s="8" t="s">
        <v>2</v>
      </c>
      <c r="D24" s="8"/>
      <c r="E24" s="8" t="s">
        <v>539</v>
      </c>
      <c r="F24" s="8" t="s">
        <v>15</v>
      </c>
      <c r="G24" s="8" t="s">
        <v>2</v>
      </c>
      <c r="H24" s="8" t="s">
        <v>2</v>
      </c>
      <c r="I24" s="8" t="s">
        <v>2</v>
      </c>
      <c r="J24" s="8" t="s">
        <v>540</v>
      </c>
    </row>
    <row r="25" spans="1:10" x14ac:dyDescent="0.25" outlineLevel="3" collapsed="1">
      <c r="A25" s="7" t="s">
        <v>15</v>
      </c>
      <c r="B25" s="7" t="s">
        <v>20</v>
      </c>
      <c r="C25" s="7" t="s">
        <v>2</v>
      </c>
      <c r="D25" s="7"/>
      <c r="E25" s="7" t="s">
        <v>541</v>
      </c>
      <c r="F25" s="7" t="s">
        <v>17</v>
      </c>
      <c r="G25" s="7" t="s">
        <v>22</v>
      </c>
      <c r="H25" s="7" t="s">
        <v>2</v>
      </c>
      <c r="I25" s="7" t="s">
        <v>2</v>
      </c>
      <c r="J25" s="7" t="s">
        <v>406</v>
      </c>
    </row>
    <row r="26" spans="1:10" x14ac:dyDescent="0.25" outlineLevel="3" collapsed="1">
      <c r="A26" s="7" t="s">
        <v>15</v>
      </c>
      <c r="B26" s="7" t="s">
        <v>194</v>
      </c>
      <c r="C26" s="7" t="s">
        <v>2</v>
      </c>
      <c r="D26" s="7"/>
      <c r="E26" s="7" t="s">
        <v>542</v>
      </c>
      <c r="F26" s="7" t="s">
        <v>17</v>
      </c>
      <c r="G26" s="7">
        <v>1</v>
      </c>
      <c r="H26" s="7" t="s">
        <v>2</v>
      </c>
      <c r="I26" s="7" t="s">
        <v>2</v>
      </c>
      <c r="J26" s="7" t="s">
        <v>543</v>
      </c>
    </row>
    <row r="27" spans="1:10" x14ac:dyDescent="0.25" outlineLevel="3" collapsed="1">
      <c r="A27" s="8" t="s">
        <v>15</v>
      </c>
      <c r="B27" s="9" t="s">
        <v>544</v>
      </c>
      <c r="C27" s="8" t="s">
        <v>2</v>
      </c>
      <c r="D27" s="8"/>
      <c r="E27" s="8" t="s">
        <v>545</v>
      </c>
      <c r="F27" s="8" t="s">
        <v>15</v>
      </c>
      <c r="G27" s="8" t="s">
        <v>2</v>
      </c>
      <c r="H27" s="8" t="s">
        <v>2</v>
      </c>
      <c r="I27" s="8" t="s">
        <v>2</v>
      </c>
      <c r="J27" s="8" t="s">
        <v>546</v>
      </c>
    </row>
    <row r="28" spans="1:10" x14ac:dyDescent="0.25" outlineLevel="4" collapsed="1">
      <c r="A28" s="7" t="s">
        <v>15</v>
      </c>
      <c r="B28" s="7" t="s">
        <v>20</v>
      </c>
      <c r="C28" s="7" t="s">
        <v>2</v>
      </c>
      <c r="D28" s="7"/>
      <c r="E28" s="7" t="s">
        <v>545</v>
      </c>
      <c r="F28" s="7" t="s">
        <v>17</v>
      </c>
      <c r="G28" s="7" t="s">
        <v>22</v>
      </c>
      <c r="H28" s="7" t="s">
        <v>2</v>
      </c>
      <c r="I28" s="7" t="s">
        <v>2</v>
      </c>
      <c r="J28" s="7" t="s">
        <v>546</v>
      </c>
    </row>
    <row r="29" spans="1:10" x14ac:dyDescent="0.25" outlineLevel="4" collapsed="1">
      <c r="A29" s="7" t="s">
        <v>15</v>
      </c>
      <c r="B29" s="7" t="s">
        <v>194</v>
      </c>
      <c r="C29" s="7" t="s">
        <v>2</v>
      </c>
      <c r="D29" s="7"/>
      <c r="E29" s="7" t="s">
        <v>547</v>
      </c>
      <c r="F29" s="7" t="s">
        <v>17</v>
      </c>
      <c r="G29" s="7">
        <v>1</v>
      </c>
      <c r="H29" s="7" t="s">
        <v>2</v>
      </c>
      <c r="I29" s="7" t="s">
        <v>2</v>
      </c>
      <c r="J29" s="7" t="s">
        <v>548</v>
      </c>
    </row>
    <row r="30" spans="1:10" x14ac:dyDescent="0.25" outlineLevel="4" collapsed="1">
      <c r="A30" s="7" t="s">
        <v>15</v>
      </c>
      <c r="B30" s="7" t="s">
        <v>53</v>
      </c>
      <c r="C30" s="7" t="s">
        <v>2</v>
      </c>
      <c r="D30" s="7"/>
      <c r="E30" s="7" t="s">
        <v>549</v>
      </c>
      <c r="F30" s="7" t="s">
        <v>17</v>
      </c>
      <c r="G30" s="7">
        <v>1</v>
      </c>
      <c r="H30" s="7" t="s">
        <v>2</v>
      </c>
      <c r="I30" s="7" t="s">
        <v>2</v>
      </c>
      <c r="J30" s="7" t="s">
        <v>550</v>
      </c>
    </row>
    <row r="31" spans="1:10" x14ac:dyDescent="0.25" outlineLevel="3" collapsed="1">
      <c r="A31" s="7" t="s">
        <v>17</v>
      </c>
      <c r="B31" s="7" t="s">
        <v>53</v>
      </c>
      <c r="C31" s="7" t="s">
        <v>2</v>
      </c>
      <c r="D31" s="7" t="s">
        <v>506</v>
      </c>
      <c r="E31" s="7" t="s">
        <v>551</v>
      </c>
      <c r="F31" s="7" t="s">
        <v>17</v>
      </c>
      <c r="G31" s="7">
        <v>1</v>
      </c>
      <c r="H31" s="7" t="s">
        <v>2</v>
      </c>
      <c r="I31" s="7" t="s">
        <v>2</v>
      </c>
      <c r="J31" s="7" t="s">
        <v>552</v>
      </c>
    </row>
    <row r="32" spans="1:10" x14ac:dyDescent="0.25" outlineLevel="3" collapsed="1">
      <c r="A32" s="7" t="s">
        <v>15</v>
      </c>
      <c r="B32" s="7" t="s">
        <v>194</v>
      </c>
      <c r="C32" s="7" t="s">
        <v>2</v>
      </c>
      <c r="D32" s="7"/>
      <c r="E32" s="7" t="s">
        <v>553</v>
      </c>
      <c r="F32" s="7" t="s">
        <v>17</v>
      </c>
      <c r="G32" s="7">
        <v>1</v>
      </c>
      <c r="H32" s="7" t="s">
        <v>2</v>
      </c>
      <c r="I32" s="7" t="s">
        <v>2</v>
      </c>
      <c r="J32" s="7" t="s">
        <v>554</v>
      </c>
    </row>
    <row r="33" spans="1:10" x14ac:dyDescent="0.25" outlineLevel="3" collapsed="1">
      <c r="A33" s="7" t="s">
        <v>17</v>
      </c>
      <c r="B33" s="7" t="s">
        <v>20</v>
      </c>
      <c r="C33" s="7" t="s">
        <v>2</v>
      </c>
      <c r="D33" s="7"/>
      <c r="E33" s="7" t="s">
        <v>519</v>
      </c>
      <c r="F33" s="7" t="s">
        <v>17</v>
      </c>
      <c r="G33" s="7" t="s">
        <v>22</v>
      </c>
      <c r="H33" s="7" t="s">
        <v>2</v>
      </c>
      <c r="I33" s="7" t="s">
        <v>2</v>
      </c>
      <c r="J33" s="7" t="s">
        <v>520</v>
      </c>
    </row>
    <row r="34" spans="1:10" x14ac:dyDescent="0.25" outlineLevel="3" collapsed="1">
      <c r="A34" s="7" t="s">
        <v>15</v>
      </c>
      <c r="B34" s="7" t="s">
        <v>125</v>
      </c>
      <c r="C34" s="7" t="s">
        <v>2</v>
      </c>
      <c r="D34" s="7"/>
      <c r="E34" s="7" t="s">
        <v>555</v>
      </c>
      <c r="F34" s="7" t="s">
        <v>17</v>
      </c>
      <c r="G34" s="7" t="s">
        <v>1577</v>
      </c>
      <c r="H34" s="7" t="s">
        <v>2</v>
      </c>
      <c r="I34" s="7" t="s">
        <v>2</v>
      </c>
      <c r="J34" s="7" t="s">
        <v>557</v>
      </c>
    </row>
    <row r="35" spans="1:10" x14ac:dyDescent="0.25" outlineLevel="2" collapsed="1">
      <c r="A35" s="7" t="s">
        <v>15</v>
      </c>
      <c r="B35" s="7" t="s">
        <v>125</v>
      </c>
      <c r="C35" s="7" t="s">
        <v>2</v>
      </c>
      <c r="D35" s="7"/>
      <c r="E35" s="7" t="s">
        <v>555</v>
      </c>
      <c r="F35" s="7" t="s">
        <v>17</v>
      </c>
      <c r="G35" s="7" t="s">
        <v>1578</v>
      </c>
      <c r="H35" s="7" t="s">
        <v>2</v>
      </c>
      <c r="I35" s="7" t="s">
        <v>2</v>
      </c>
      <c r="J35" s="7" t="s">
        <v>557</v>
      </c>
    </row>
    <row r="36" spans="1:10" x14ac:dyDescent="0.25" outlineLevel="2" collapsed="1">
      <c r="A36" s="7" t="s">
        <v>17</v>
      </c>
      <c r="B36" s="7" t="s">
        <v>20</v>
      </c>
      <c r="C36" s="7" t="s">
        <v>2</v>
      </c>
      <c r="D36" s="7"/>
      <c r="E36" s="7" t="s">
        <v>519</v>
      </c>
      <c r="F36" s="7" t="s">
        <v>17</v>
      </c>
      <c r="G36" s="7" t="s">
        <v>22</v>
      </c>
      <c r="H36" s="7" t="s">
        <v>2</v>
      </c>
      <c r="I36" s="7" t="s">
        <v>2</v>
      </c>
      <c r="J36" s="7" t="s">
        <v>520</v>
      </c>
    </row>
    <row r="37" spans="1:10" x14ac:dyDescent="0.25" outlineLevel="2" collapsed="1">
      <c r="A37" s="7" t="s">
        <v>15</v>
      </c>
      <c r="B37" s="7" t="s">
        <v>53</v>
      </c>
      <c r="C37" s="7" t="s">
        <v>2</v>
      </c>
      <c r="D37" s="7"/>
      <c r="E37" s="7" t="s">
        <v>559</v>
      </c>
      <c r="F37" s="7" t="s">
        <v>17</v>
      </c>
      <c r="G37" s="7">
        <v>1</v>
      </c>
      <c r="H37" s="7" t="s">
        <v>2</v>
      </c>
      <c r="I37" s="7" t="s">
        <v>2</v>
      </c>
      <c r="J37" s="7" t="s">
        <v>560</v>
      </c>
    </row>
    <row r="38" spans="1:10" x14ac:dyDescent="0.25" outlineLevel="1" collapsed="1">
      <c r="A38" s="8" t="s">
        <v>17</v>
      </c>
      <c r="B38" s="9" t="s">
        <v>561</v>
      </c>
      <c r="C38" s="8" t="s">
        <v>2</v>
      </c>
      <c r="D38" s="8">
        <f>EXACT(G19,"HWT, IWT")</f>
      </c>
      <c r="E38" s="8" t="s">
        <v>562</v>
      </c>
      <c r="F38" s="8" t="s">
        <v>17</v>
      </c>
      <c r="G38" s="8" t="s">
        <v>2</v>
      </c>
      <c r="H38" s="8" t="s">
        <v>2</v>
      </c>
      <c r="I38" s="8" t="s">
        <v>2</v>
      </c>
      <c r="J38" s="8" t="s">
        <v>563</v>
      </c>
    </row>
    <row r="39" spans="1:10" x14ac:dyDescent="0.25" outlineLevel="2" collapsed="1">
      <c r="A39" s="8" t="s">
        <v>15</v>
      </c>
      <c r="B39" s="9" t="s">
        <v>539</v>
      </c>
      <c r="C39" s="8" t="s">
        <v>2</v>
      </c>
      <c r="D39" s="8"/>
      <c r="E39" s="8" t="s">
        <v>539</v>
      </c>
      <c r="F39" s="8" t="s">
        <v>15</v>
      </c>
      <c r="G39" s="8" t="s">
        <v>2</v>
      </c>
      <c r="H39" s="8" t="s">
        <v>2</v>
      </c>
      <c r="I39" s="8" t="s">
        <v>2</v>
      </c>
      <c r="J39" s="8" t="s">
        <v>564</v>
      </c>
    </row>
    <row r="40" spans="1:10" x14ac:dyDescent="0.25" outlineLevel="3" collapsed="1">
      <c r="A40" s="7" t="s">
        <v>15</v>
      </c>
      <c r="B40" s="7" t="s">
        <v>20</v>
      </c>
      <c r="C40" s="7" t="s">
        <v>2</v>
      </c>
      <c r="D40" s="7"/>
      <c r="E40" s="7" t="s">
        <v>541</v>
      </c>
      <c r="F40" s="7" t="s">
        <v>17</v>
      </c>
      <c r="G40" s="7" t="s">
        <v>22</v>
      </c>
      <c r="H40" s="7" t="s">
        <v>2</v>
      </c>
      <c r="I40" s="7" t="s">
        <v>2</v>
      </c>
      <c r="J40" s="7" t="s">
        <v>406</v>
      </c>
    </row>
    <row r="41" spans="1:10" x14ac:dyDescent="0.25" outlineLevel="3" collapsed="1">
      <c r="A41" s="7" t="s">
        <v>15</v>
      </c>
      <c r="B41" s="7" t="s">
        <v>194</v>
      </c>
      <c r="C41" s="7" t="s">
        <v>2</v>
      </c>
      <c r="D41" s="7"/>
      <c r="E41" s="7" t="s">
        <v>565</v>
      </c>
      <c r="F41" s="7" t="s">
        <v>17</v>
      </c>
      <c r="G41" s="7">
        <v>1</v>
      </c>
      <c r="H41" s="7" t="s">
        <v>2</v>
      </c>
      <c r="I41" s="7" t="s">
        <v>2</v>
      </c>
      <c r="J41" s="7" t="s">
        <v>543</v>
      </c>
    </row>
    <row r="42" spans="1:10" x14ac:dyDescent="0.25" outlineLevel="3" collapsed="1">
      <c r="A42" s="8" t="s">
        <v>15</v>
      </c>
      <c r="B42" s="9" t="s">
        <v>566</v>
      </c>
      <c r="C42" s="8" t="s">
        <v>2</v>
      </c>
      <c r="D42" s="8"/>
      <c r="E42" s="8" t="s">
        <v>539</v>
      </c>
      <c r="F42" s="8" t="s">
        <v>15</v>
      </c>
      <c r="G42" s="8" t="s">
        <v>2</v>
      </c>
      <c r="H42" s="8" t="s">
        <v>2</v>
      </c>
      <c r="I42" s="8" t="s">
        <v>2</v>
      </c>
      <c r="J42" s="8" t="s">
        <v>567</v>
      </c>
    </row>
    <row r="43" spans="1:10" x14ac:dyDescent="0.25" outlineLevel="4" collapsed="1">
      <c r="A43" s="7" t="s">
        <v>15</v>
      </c>
      <c r="B43" s="7" t="s">
        <v>20</v>
      </c>
      <c r="C43" s="7" t="s">
        <v>2</v>
      </c>
      <c r="D43" s="7"/>
      <c r="E43" s="7" t="s">
        <v>545</v>
      </c>
      <c r="F43" s="7" t="s">
        <v>17</v>
      </c>
      <c r="G43" s="7" t="s">
        <v>22</v>
      </c>
      <c r="H43" s="7" t="s">
        <v>2</v>
      </c>
      <c r="I43" s="7" t="s">
        <v>2</v>
      </c>
      <c r="J43" s="7" t="s">
        <v>546</v>
      </c>
    </row>
    <row r="44" spans="1:10" x14ac:dyDescent="0.25" outlineLevel="4" collapsed="1">
      <c r="A44" s="7" t="s">
        <v>15</v>
      </c>
      <c r="B44" s="7" t="s">
        <v>194</v>
      </c>
      <c r="C44" s="7" t="s">
        <v>2</v>
      </c>
      <c r="D44" s="7"/>
      <c r="E44" s="7" t="s">
        <v>547</v>
      </c>
      <c r="F44" s="7" t="s">
        <v>17</v>
      </c>
      <c r="G44" s="7">
        <v>1</v>
      </c>
      <c r="H44" s="7" t="s">
        <v>2</v>
      </c>
      <c r="I44" s="7" t="s">
        <v>2</v>
      </c>
      <c r="J44" s="7" t="s">
        <v>548</v>
      </c>
    </row>
    <row r="45" spans="1:10" x14ac:dyDescent="0.25" outlineLevel="4" collapsed="1">
      <c r="A45" s="7" t="s">
        <v>15</v>
      </c>
      <c r="B45" s="7" t="s">
        <v>53</v>
      </c>
      <c r="C45" s="7" t="s">
        <v>2</v>
      </c>
      <c r="D45" s="7"/>
      <c r="E45" s="7" t="s">
        <v>549</v>
      </c>
      <c r="F45" s="7" t="s">
        <v>17</v>
      </c>
      <c r="G45" s="7">
        <v>1</v>
      </c>
      <c r="H45" s="7" t="s">
        <v>2</v>
      </c>
      <c r="I45" s="7" t="s">
        <v>2</v>
      </c>
      <c r="J45" s="7" t="s">
        <v>550</v>
      </c>
    </row>
    <row r="46" spans="1:10" x14ac:dyDescent="0.25" outlineLevel="3" collapsed="1">
      <c r="A46" s="7" t="s">
        <v>17</v>
      </c>
      <c r="B46" s="7" t="s">
        <v>53</v>
      </c>
      <c r="C46" s="7" t="s">
        <v>2</v>
      </c>
      <c r="D46" s="7" t="s">
        <v>506</v>
      </c>
      <c r="E46" s="7" t="s">
        <v>568</v>
      </c>
      <c r="F46" s="7" t="s">
        <v>17</v>
      </c>
      <c r="G46" s="7">
        <v>1</v>
      </c>
      <c r="H46" s="7" t="s">
        <v>2</v>
      </c>
      <c r="I46" s="7" t="s">
        <v>2</v>
      </c>
      <c r="J46" s="7" t="s">
        <v>552</v>
      </c>
    </row>
    <row r="47" spans="1:10" x14ac:dyDescent="0.25" outlineLevel="3" collapsed="1">
      <c r="A47" s="7" t="s">
        <v>15</v>
      </c>
      <c r="B47" s="7" t="s">
        <v>53</v>
      </c>
      <c r="C47" s="7" t="s">
        <v>2</v>
      </c>
      <c r="D47" s="7"/>
      <c r="E47" s="7" t="s">
        <v>569</v>
      </c>
      <c r="F47" s="7" t="s">
        <v>17</v>
      </c>
      <c r="G47" s="7">
        <v>1</v>
      </c>
      <c r="H47" s="7" t="s">
        <v>2</v>
      </c>
      <c r="I47" s="7" t="s">
        <v>2</v>
      </c>
      <c r="J47" s="7" t="s">
        <v>570</v>
      </c>
    </row>
    <row r="48" spans="1:10" x14ac:dyDescent="0.25" outlineLevel="3" collapsed="1">
      <c r="A48" s="7" t="s">
        <v>15</v>
      </c>
      <c r="B48" s="7" t="s">
        <v>53</v>
      </c>
      <c r="C48" s="7" t="s">
        <v>2</v>
      </c>
      <c r="D48" s="7"/>
      <c r="E48" s="7" t="s">
        <v>571</v>
      </c>
      <c r="F48" s="7" t="s">
        <v>17</v>
      </c>
      <c r="G48" s="7">
        <v>1</v>
      </c>
      <c r="H48" s="7" t="s">
        <v>2</v>
      </c>
      <c r="I48" s="7" t="s">
        <v>2</v>
      </c>
      <c r="J48" s="7" t="s">
        <v>572</v>
      </c>
    </row>
    <row r="49" spans="1:10" x14ac:dyDescent="0.25" outlineLevel="3" collapsed="1">
      <c r="A49" s="7" t="s">
        <v>15</v>
      </c>
      <c r="B49" s="7" t="s">
        <v>53</v>
      </c>
      <c r="C49" s="7" t="s">
        <v>2</v>
      </c>
      <c r="D49" s="7"/>
      <c r="E49" s="7" t="s">
        <v>573</v>
      </c>
      <c r="F49" s="7" t="s">
        <v>17</v>
      </c>
      <c r="G49" s="7">
        <v>1</v>
      </c>
      <c r="H49" s="7" t="s">
        <v>2</v>
      </c>
      <c r="I49" s="7" t="s">
        <v>2</v>
      </c>
      <c r="J49" s="7" t="s">
        <v>574</v>
      </c>
    </row>
    <row r="50" spans="1:10" x14ac:dyDescent="0.25" outlineLevel="3" collapsed="1">
      <c r="A50" s="7" t="s">
        <v>17</v>
      </c>
      <c r="B50" s="7" t="s">
        <v>53</v>
      </c>
      <c r="C50" s="7" t="s">
        <v>2</v>
      </c>
      <c r="D50" s="7" t="s">
        <v>506</v>
      </c>
      <c r="E50" s="7" t="s">
        <v>575</v>
      </c>
      <c r="F50" s="7" t="s">
        <v>17</v>
      </c>
      <c r="G50" s="7">
        <v>1</v>
      </c>
      <c r="H50" s="7" t="s">
        <v>2</v>
      </c>
      <c r="I50" s="7" t="s">
        <v>2</v>
      </c>
      <c r="J50" s="7" t="s">
        <v>576</v>
      </c>
    </row>
    <row r="51" spans="1:10" x14ac:dyDescent="0.25" outlineLevel="3" collapsed="1">
      <c r="A51" s="7" t="s">
        <v>15</v>
      </c>
      <c r="B51" s="7" t="s">
        <v>194</v>
      </c>
      <c r="C51" s="7" t="s">
        <v>2</v>
      </c>
      <c r="D51" s="7"/>
      <c r="E51" s="7" t="s">
        <v>553</v>
      </c>
      <c r="F51" s="7" t="s">
        <v>17</v>
      </c>
      <c r="G51" s="7">
        <v>1</v>
      </c>
      <c r="H51" s="7" t="s">
        <v>2</v>
      </c>
      <c r="I51" s="7" t="s">
        <v>2</v>
      </c>
      <c r="J51" s="7" t="s">
        <v>554</v>
      </c>
    </row>
    <row r="52" spans="1:10" x14ac:dyDescent="0.25" outlineLevel="3" collapsed="1">
      <c r="A52" s="7" t="s">
        <v>17</v>
      </c>
      <c r="B52" s="7" t="s">
        <v>20</v>
      </c>
      <c r="C52" s="7" t="s">
        <v>2</v>
      </c>
      <c r="D52" s="7"/>
      <c r="E52" s="7" t="s">
        <v>577</v>
      </c>
      <c r="F52" s="7" t="s">
        <v>17</v>
      </c>
      <c r="G52" s="7" t="s">
        <v>22</v>
      </c>
      <c r="H52" s="7" t="s">
        <v>2</v>
      </c>
      <c r="I52" s="7" t="s">
        <v>2</v>
      </c>
      <c r="J52" s="7" t="s">
        <v>520</v>
      </c>
    </row>
    <row r="53" spans="1:10" x14ac:dyDescent="0.25" outlineLevel="3" collapsed="1">
      <c r="A53" s="7" t="s">
        <v>15</v>
      </c>
      <c r="B53" s="7" t="s">
        <v>125</v>
      </c>
      <c r="C53" s="7" t="s">
        <v>2</v>
      </c>
      <c r="D53" s="7"/>
      <c r="E53" s="7" t="s">
        <v>555</v>
      </c>
      <c r="F53" s="7" t="s">
        <v>17</v>
      </c>
      <c r="G53" s="7" t="s">
        <v>1579</v>
      </c>
      <c r="H53" s="7" t="s">
        <v>2</v>
      </c>
      <c r="I53" s="7" t="s">
        <v>2</v>
      </c>
      <c r="J53" s="7" t="s">
        <v>579</v>
      </c>
    </row>
    <row r="54" spans="1:10" x14ac:dyDescent="0.25" outlineLevel="2" collapsed="1">
      <c r="A54" s="7" t="s">
        <v>17</v>
      </c>
      <c r="B54" s="7" t="s">
        <v>53</v>
      </c>
      <c r="C54" s="7" t="s">
        <v>2</v>
      </c>
      <c r="D54" s="7" t="s">
        <v>506</v>
      </c>
      <c r="E54" s="7" t="s">
        <v>580</v>
      </c>
      <c r="F54" s="7" t="s">
        <v>17</v>
      </c>
      <c r="G54" s="7">
        <v>1</v>
      </c>
      <c r="H54" s="7" t="s">
        <v>2</v>
      </c>
      <c r="I54" s="7" t="s">
        <v>2</v>
      </c>
      <c r="J54" s="7" t="s">
        <v>535</v>
      </c>
    </row>
    <row r="55" spans="1:10" x14ac:dyDescent="0.25">
      <c r="A55" s="5" t="s">
        <v>15</v>
      </c>
      <c r="B55" s="6" t="s">
        <v>581</v>
      </c>
      <c r="C55" s="5" t="s">
        <v>2</v>
      </c>
      <c r="D55" s="5"/>
      <c r="E55" s="5" t="s">
        <v>581</v>
      </c>
      <c r="F55" s="5" t="s">
        <v>17</v>
      </c>
      <c r="G55" s="5" t="s">
        <v>2</v>
      </c>
      <c r="H55" s="5" t="s">
        <v>2</v>
      </c>
      <c r="I55" s="5" t="s">
        <v>2</v>
      </c>
      <c r="J55" s="5" t="s">
        <v>582</v>
      </c>
    </row>
    <row r="56" spans="1:10" x14ac:dyDescent="0.25" outlineLevel="1" collapsed="1">
      <c r="A56" s="7" t="s">
        <v>15</v>
      </c>
      <c r="B56" s="7" t="s">
        <v>53</v>
      </c>
      <c r="C56" s="7" t="s">
        <v>2</v>
      </c>
      <c r="D56" s="7"/>
      <c r="E56" s="7" t="s">
        <v>583</v>
      </c>
      <c r="F56" s="7" t="s">
        <v>17</v>
      </c>
      <c r="G56" s="7">
        <v>1</v>
      </c>
      <c r="H56" s="7" t="s">
        <v>2</v>
      </c>
      <c r="I56" s="7" t="s">
        <v>2</v>
      </c>
      <c r="J56" s="7" t="s">
        <v>584</v>
      </c>
    </row>
    <row r="57" spans="1:10" x14ac:dyDescent="0.25" outlineLevel="1" collapsed="1">
      <c r="A57" s="7" t="s">
        <v>17</v>
      </c>
      <c r="B57" s="7" t="s">
        <v>20</v>
      </c>
      <c r="C57" s="7" t="s">
        <v>2</v>
      </c>
      <c r="D57" s="7"/>
      <c r="E57" s="7" t="s">
        <v>577</v>
      </c>
      <c r="F57" s="7" t="s">
        <v>17</v>
      </c>
      <c r="G57" s="7" t="s">
        <v>22</v>
      </c>
      <c r="H57" s="7" t="s">
        <v>2</v>
      </c>
      <c r="I57" s="7" t="s">
        <v>2</v>
      </c>
      <c r="J57" s="7" t="s">
        <v>520</v>
      </c>
    </row>
    <row r="58" spans="1:10" x14ac:dyDescent="0.25" outlineLevel="1" collapsed="1">
      <c r="A58" s="7" t="s">
        <v>15</v>
      </c>
      <c r="B58" s="7" t="s">
        <v>125</v>
      </c>
      <c r="C58" s="7" t="s">
        <v>2</v>
      </c>
      <c r="D58" s="7"/>
      <c r="E58" s="7" t="s">
        <v>555</v>
      </c>
      <c r="F58" s="7" t="s">
        <v>17</v>
      </c>
      <c r="G58" s="7" t="s">
        <v>1580</v>
      </c>
      <c r="H58" s="7" t="s">
        <v>2</v>
      </c>
      <c r="I58" s="7" t="s">
        <v>2</v>
      </c>
      <c r="J58" s="7" t="s">
        <v>579</v>
      </c>
    </row>
    <row r="59" spans="1:10" x14ac:dyDescent="0.25" outlineLevel="1" collapsed="1">
      <c r="A59" s="7" t="s">
        <v>17</v>
      </c>
      <c r="B59" s="7" t="s">
        <v>53</v>
      </c>
      <c r="C59" s="7" t="s">
        <v>2</v>
      </c>
      <c r="D59" s="7" t="s">
        <v>506</v>
      </c>
      <c r="E59" s="7" t="s">
        <v>586</v>
      </c>
      <c r="F59" s="7" t="s">
        <v>17</v>
      </c>
      <c r="G59" s="7">
        <v>1</v>
      </c>
      <c r="H59" s="7" t="s">
        <v>2</v>
      </c>
      <c r="I59" s="7" t="s">
        <v>2</v>
      </c>
      <c r="J59" s="7" t="s">
        <v>587</v>
      </c>
    </row>
    <row r="60" spans="1:10" x14ac:dyDescent="0.25">
      <c r="A60" s="5" t="s">
        <v>15</v>
      </c>
      <c r="B60" s="6" t="s">
        <v>588</v>
      </c>
      <c r="C60" s="5" t="s">
        <v>2</v>
      </c>
      <c r="D60" s="5"/>
      <c r="E60" s="5" t="s">
        <v>589</v>
      </c>
      <c r="F60" s="5" t="s">
        <v>17</v>
      </c>
      <c r="G60" s="5" t="s">
        <v>2</v>
      </c>
      <c r="H60" s="5" t="s">
        <v>2</v>
      </c>
      <c r="I60" s="5" t="s">
        <v>2</v>
      </c>
      <c r="J60" s="5" t="s">
        <v>590</v>
      </c>
    </row>
    <row r="61" spans="1:10" x14ac:dyDescent="0.25" outlineLevel="1" collapsed="1">
      <c r="A61" s="7" t="s">
        <v>15</v>
      </c>
      <c r="B61" s="7" t="s">
        <v>53</v>
      </c>
      <c r="C61" s="7" t="s">
        <v>2</v>
      </c>
      <c r="D61" s="7"/>
      <c r="E61" s="7" t="s">
        <v>591</v>
      </c>
      <c r="F61" s="7" t="s">
        <v>17</v>
      </c>
      <c r="G61" s="7">
        <v>1</v>
      </c>
      <c r="H61" s="7" t="s">
        <v>2</v>
      </c>
      <c r="I61" s="7" t="s">
        <v>2</v>
      </c>
      <c r="J61" s="7" t="s">
        <v>592</v>
      </c>
    </row>
    <row r="62" spans="1:10" x14ac:dyDescent="0.25" outlineLevel="1" collapsed="1">
      <c r="A62" s="7" t="s">
        <v>17</v>
      </c>
      <c r="B62" s="7" t="s">
        <v>20</v>
      </c>
      <c r="C62" s="7" t="s">
        <v>2</v>
      </c>
      <c r="D62" s="7"/>
      <c r="E62" s="7" t="s">
        <v>519</v>
      </c>
      <c r="F62" s="7" t="s">
        <v>17</v>
      </c>
      <c r="G62" s="7" t="s">
        <v>22</v>
      </c>
      <c r="H62" s="7" t="s">
        <v>2</v>
      </c>
      <c r="I62" s="7" t="s">
        <v>2</v>
      </c>
      <c r="J62" s="7" t="s">
        <v>593</v>
      </c>
    </row>
    <row r="63" spans="1:10" x14ac:dyDescent="0.25" outlineLevel="1" collapsed="1">
      <c r="A63" s="7" t="s">
        <v>15</v>
      </c>
      <c r="B63" s="7" t="s">
        <v>125</v>
      </c>
      <c r="C63" s="7" t="s">
        <v>2</v>
      </c>
      <c r="D63" s="7"/>
      <c r="E63" s="7" t="s">
        <v>555</v>
      </c>
      <c r="F63" s="7" t="s">
        <v>17</v>
      </c>
      <c r="G63" s="7" t="s">
        <v>1581</v>
      </c>
      <c r="H63" s="7" t="s">
        <v>2</v>
      </c>
      <c r="I63" s="7" t="s">
        <v>2</v>
      </c>
      <c r="J63" s="7" t="s">
        <v>595</v>
      </c>
    </row>
    <row r="64" spans="1:10" x14ac:dyDescent="0.25" outlineLevel="1" collapsed="1">
      <c r="A64" s="7" t="s">
        <v>15</v>
      </c>
      <c r="B64" s="7" t="s">
        <v>53</v>
      </c>
      <c r="C64" s="7" t="s">
        <v>2</v>
      </c>
      <c r="D64" s="7"/>
      <c r="E64" s="7" t="s">
        <v>596</v>
      </c>
      <c r="F64" s="7" t="s">
        <v>17</v>
      </c>
      <c r="G64" s="7">
        <v>1</v>
      </c>
      <c r="H64" s="7" t="s">
        <v>2</v>
      </c>
      <c r="I64" s="7" t="s">
        <v>2</v>
      </c>
      <c r="J64" s="7" t="s">
        <v>597</v>
      </c>
    </row>
    <row r="65" spans="1:10" x14ac:dyDescent="0.25" outlineLevel="1" collapsed="1">
      <c r="A65" s="7" t="s">
        <v>17</v>
      </c>
      <c r="B65" s="7" t="s">
        <v>20</v>
      </c>
      <c r="C65" s="7" t="s">
        <v>2</v>
      </c>
      <c r="D65" s="7"/>
      <c r="E65" s="7" t="s">
        <v>519</v>
      </c>
      <c r="F65" s="7" t="s">
        <v>17</v>
      </c>
      <c r="G65" s="7" t="s">
        <v>22</v>
      </c>
      <c r="H65" s="7" t="s">
        <v>2</v>
      </c>
      <c r="I65" s="7" t="s">
        <v>2</v>
      </c>
      <c r="J65" s="7" t="s">
        <v>598</v>
      </c>
    </row>
    <row r="66" spans="1:10" x14ac:dyDescent="0.25" outlineLevel="1" collapsed="1">
      <c r="A66" s="7" t="s">
        <v>15</v>
      </c>
      <c r="B66" s="7" t="s">
        <v>125</v>
      </c>
      <c r="C66" s="7" t="s">
        <v>2</v>
      </c>
      <c r="D66" s="7"/>
      <c r="E66" s="7" t="s">
        <v>555</v>
      </c>
      <c r="F66" s="7" t="s">
        <v>17</v>
      </c>
      <c r="G66" s="7" t="s">
        <v>1582</v>
      </c>
      <c r="H66" s="7" t="s">
        <v>2</v>
      </c>
      <c r="I66" s="7" t="s">
        <v>2</v>
      </c>
      <c r="J66" s="7" t="s">
        <v>600</v>
      </c>
    </row>
    <row r="67" spans="1:10" x14ac:dyDescent="0.25" outlineLevel="1" collapsed="1">
      <c r="A67" s="7" t="s">
        <v>15</v>
      </c>
      <c r="B67" s="7" t="s">
        <v>44</v>
      </c>
      <c r="C67" s="10" t="s">
        <v>601</v>
      </c>
      <c r="D67" s="7"/>
      <c r="E67" s="7" t="s">
        <v>231</v>
      </c>
      <c r="F67" s="7" t="s">
        <v>17</v>
      </c>
      <c r="G67" s="7" t="s">
        <v>251</v>
      </c>
      <c r="H67" s="7" t="s">
        <v>2</v>
      </c>
      <c r="I67" s="7" t="s">
        <v>2</v>
      </c>
      <c r="J67" s="7" t="s">
        <v>530</v>
      </c>
    </row>
    <row r="68" spans="1:10" x14ac:dyDescent="0.25" outlineLevel="1" collapsed="1">
      <c r="A68" s="8" t="s">
        <v>17</v>
      </c>
      <c r="B68" s="9" t="s">
        <v>602</v>
      </c>
      <c r="C68" s="8" t="s">
        <v>2</v>
      </c>
      <c r="D68" s="8">
        <f>EXACT(G67,"CWT, CWS")</f>
      </c>
      <c r="E68" s="8" t="s">
        <v>603</v>
      </c>
      <c r="F68" s="8" t="s">
        <v>17</v>
      </c>
      <c r="G68" s="8" t="s">
        <v>2</v>
      </c>
      <c r="H68" s="8" t="s">
        <v>2</v>
      </c>
      <c r="I68" s="8" t="s">
        <v>2</v>
      </c>
      <c r="J68" s="8" t="s">
        <v>604</v>
      </c>
    </row>
    <row r="69" spans="1:10" x14ac:dyDescent="0.25" outlineLevel="2" collapsed="1">
      <c r="A69" s="7" t="s">
        <v>17</v>
      </c>
      <c r="B69" s="7" t="s">
        <v>53</v>
      </c>
      <c r="C69" s="7" t="s">
        <v>2</v>
      </c>
      <c r="D69" s="7" t="s">
        <v>506</v>
      </c>
      <c r="E69" s="7" t="s">
        <v>605</v>
      </c>
      <c r="F69" s="7" t="s">
        <v>17</v>
      </c>
      <c r="G69" s="7">
        <v>1</v>
      </c>
      <c r="H69" s="7" t="s">
        <v>2</v>
      </c>
      <c r="I69" s="7" t="s">
        <v>2</v>
      </c>
      <c r="J69" s="7" t="s">
        <v>606</v>
      </c>
    </row>
    <row r="70" spans="1:10" x14ac:dyDescent="0.25" outlineLevel="1" collapsed="1">
      <c r="A70" s="8" t="s">
        <v>17</v>
      </c>
      <c r="B70" s="9" t="s">
        <v>607</v>
      </c>
      <c r="C70" s="8" t="s">
        <v>2</v>
      </c>
      <c r="D70" s="8">
        <f>EXACT(G67,"HWT, IWT")</f>
      </c>
      <c r="E70" s="8" t="s">
        <v>603</v>
      </c>
      <c r="F70" s="8" t="s">
        <v>17</v>
      </c>
      <c r="G70" s="8" t="s">
        <v>2</v>
      </c>
      <c r="H70" s="8" t="s">
        <v>2</v>
      </c>
      <c r="I70" s="8" t="s">
        <v>2</v>
      </c>
      <c r="J70" s="8" t="s">
        <v>608</v>
      </c>
    </row>
    <row r="71" spans="1:10" x14ac:dyDescent="0.25" outlineLevel="2" collapsed="1">
      <c r="A71" s="7" t="s">
        <v>15</v>
      </c>
      <c r="B71" s="7" t="s">
        <v>53</v>
      </c>
      <c r="C71" s="7" t="s">
        <v>2</v>
      </c>
      <c r="D71" s="7"/>
      <c r="E71" s="7" t="s">
        <v>609</v>
      </c>
      <c r="F71" s="7" t="s">
        <v>17</v>
      </c>
      <c r="G71" s="7">
        <v>1</v>
      </c>
      <c r="H71" s="7" t="s">
        <v>2</v>
      </c>
      <c r="I71" s="7" t="s">
        <v>2</v>
      </c>
      <c r="J71" s="7" t="s">
        <v>610</v>
      </c>
    </row>
    <row r="72" spans="1:10" x14ac:dyDescent="0.25" outlineLevel="2" collapsed="1">
      <c r="A72" s="7" t="s">
        <v>17</v>
      </c>
      <c r="B72" s="7" t="s">
        <v>20</v>
      </c>
      <c r="C72" s="7" t="s">
        <v>2</v>
      </c>
      <c r="D72" s="7"/>
      <c r="E72" s="7" t="s">
        <v>519</v>
      </c>
      <c r="F72" s="7" t="s">
        <v>17</v>
      </c>
      <c r="G72" s="7" t="s">
        <v>22</v>
      </c>
      <c r="H72" s="7" t="s">
        <v>2</v>
      </c>
      <c r="I72" s="7" t="s">
        <v>2</v>
      </c>
      <c r="J72" s="7" t="s">
        <v>520</v>
      </c>
    </row>
    <row r="73" spans="1:10" x14ac:dyDescent="0.25" outlineLevel="2" collapsed="1">
      <c r="A73" s="7" t="s">
        <v>15</v>
      </c>
      <c r="B73" s="7" t="s">
        <v>125</v>
      </c>
      <c r="C73" s="7" t="s">
        <v>2</v>
      </c>
      <c r="D73" s="7"/>
      <c r="E73" s="7" t="s">
        <v>555</v>
      </c>
      <c r="F73" s="7" t="s">
        <v>17</v>
      </c>
      <c r="G73" s="7" t="s">
        <v>1583</v>
      </c>
      <c r="H73" s="7" t="s">
        <v>2</v>
      </c>
      <c r="I73" s="7" t="s">
        <v>2</v>
      </c>
      <c r="J73" s="7" t="s">
        <v>579</v>
      </c>
    </row>
    <row r="74" spans="1:10" x14ac:dyDescent="0.25" outlineLevel="2" collapsed="1">
      <c r="A74" s="7" t="s">
        <v>17</v>
      </c>
      <c r="B74" s="7" t="s">
        <v>53</v>
      </c>
      <c r="C74" s="7" t="s">
        <v>2</v>
      </c>
      <c r="D74" s="7" t="s">
        <v>506</v>
      </c>
      <c r="E74" s="7" t="s">
        <v>605</v>
      </c>
      <c r="F74" s="7" t="s">
        <v>17</v>
      </c>
      <c r="G74" s="7">
        <v>1</v>
      </c>
      <c r="H74" s="7" t="s">
        <v>2</v>
      </c>
      <c r="I74" s="7" t="s">
        <v>2</v>
      </c>
      <c r="J74" s="7" t="s">
        <v>606</v>
      </c>
    </row>
    <row r="75" spans="1:10" x14ac:dyDescent="0.25">
      <c r="A75" s="5" t="s">
        <v>17</v>
      </c>
      <c r="B75" s="5" t="s">
        <v>53</v>
      </c>
      <c r="C75" s="5" t="s">
        <v>2</v>
      </c>
      <c r="D75" s="5" t="s">
        <v>506</v>
      </c>
      <c r="E75" s="5" t="s">
        <v>612</v>
      </c>
      <c r="F75" s="5" t="s">
        <v>17</v>
      </c>
      <c r="G75" s="5">
        <v>1</v>
      </c>
      <c r="H75" s="5" t="s">
        <v>2</v>
      </c>
      <c r="I75" s="5" t="s">
        <v>2</v>
      </c>
      <c r="J75" s="5" t="s">
        <v>613</v>
      </c>
    </row>
    <row r="76" spans="1:10" x14ac:dyDescent="0.25">
      <c r="A76" s="5" t="s">
        <v>15</v>
      </c>
      <c r="B76" s="6" t="s">
        <v>614</v>
      </c>
      <c r="C76" s="5" t="s">
        <v>2</v>
      </c>
      <c r="D76" s="5"/>
      <c r="E76" s="5" t="s">
        <v>614</v>
      </c>
      <c r="F76" s="5" t="s">
        <v>17</v>
      </c>
      <c r="G76" s="5" t="s">
        <v>2</v>
      </c>
      <c r="H76" s="5" t="s">
        <v>2</v>
      </c>
      <c r="I76" s="5" t="s">
        <v>2</v>
      </c>
      <c r="J76" s="5" t="s">
        <v>615</v>
      </c>
    </row>
    <row r="77" spans="1:10" x14ac:dyDescent="0.25" outlineLevel="1" collapsed="1">
      <c r="A77" s="7" t="s">
        <v>15</v>
      </c>
      <c r="B77" s="7" t="s">
        <v>53</v>
      </c>
      <c r="C77" s="7" t="s">
        <v>2</v>
      </c>
      <c r="D77" s="7"/>
      <c r="E77" s="7" t="s">
        <v>616</v>
      </c>
      <c r="F77" s="7" t="s">
        <v>17</v>
      </c>
      <c r="G77" s="7">
        <v>1</v>
      </c>
      <c r="H77" s="7" t="s">
        <v>2</v>
      </c>
      <c r="I77" s="7" t="s">
        <v>2</v>
      </c>
      <c r="J77" s="7" t="s">
        <v>617</v>
      </c>
    </row>
    <row r="78" spans="1:10" x14ac:dyDescent="0.25" outlineLevel="1" collapsed="1">
      <c r="A78" s="7" t="s">
        <v>17</v>
      </c>
      <c r="B78" s="7" t="s">
        <v>53</v>
      </c>
      <c r="C78" s="7" t="s">
        <v>2</v>
      </c>
      <c r="D78" s="7" t="s">
        <v>506</v>
      </c>
      <c r="E78" s="7" t="s">
        <v>618</v>
      </c>
      <c r="F78" s="7" t="s">
        <v>17</v>
      </c>
      <c r="G78" s="7">
        <v>1</v>
      </c>
      <c r="H78" s="7" t="s">
        <v>2</v>
      </c>
      <c r="I78" s="7" t="s">
        <v>2</v>
      </c>
      <c r="J78" s="7" t="s">
        <v>619</v>
      </c>
    </row>
    <row r="79" spans="1:10" x14ac:dyDescent="0.25">
      <c r="A79" s="5" t="s">
        <v>17</v>
      </c>
      <c r="B79" s="5" t="s">
        <v>53</v>
      </c>
      <c r="C79" s="5" t="s">
        <v>2</v>
      </c>
      <c r="D79" s="5" t="s">
        <v>506</v>
      </c>
      <c r="E79" s="5" t="s">
        <v>620</v>
      </c>
      <c r="F79" s="5" t="s">
        <v>17</v>
      </c>
      <c r="G79" s="5">
        <v>1</v>
      </c>
      <c r="H79" s="5" t="s">
        <v>2</v>
      </c>
      <c r="I79" s="5" t="s">
        <v>2</v>
      </c>
      <c r="J79" s="5" t="s">
        <v>621</v>
      </c>
    </row>
    <row r="80" spans="1:10" x14ac:dyDescent="0.25">
      <c r="A80" s="5" t="s">
        <v>17</v>
      </c>
      <c r="B80" s="5" t="s">
        <v>53</v>
      </c>
      <c r="C80" s="5" t="s">
        <v>2</v>
      </c>
      <c r="D80" s="5" t="s">
        <v>506</v>
      </c>
      <c r="E80" s="5" t="s">
        <v>622</v>
      </c>
      <c r="F80" s="5" t="s">
        <v>17</v>
      </c>
      <c r="G80" s="5">
        <v>1</v>
      </c>
      <c r="H80" s="5" t="s">
        <v>2</v>
      </c>
      <c r="I80" s="5" t="s">
        <v>2</v>
      </c>
      <c r="J80" s="5" t="s">
        <v>623</v>
      </c>
    </row>
    <row r="81" spans="1:10" x14ac:dyDescent="0.25">
      <c r="A81" s="5" t="s">
        <v>17</v>
      </c>
      <c r="B81" s="5" t="s">
        <v>53</v>
      </c>
      <c r="C81" s="5" t="s">
        <v>2</v>
      </c>
      <c r="D81" s="5" t="s">
        <v>506</v>
      </c>
      <c r="E81" s="5" t="s">
        <v>624</v>
      </c>
      <c r="F81" s="5" t="s">
        <v>17</v>
      </c>
      <c r="G81" s="5">
        <v>1</v>
      </c>
      <c r="H81" s="5" t="s">
        <v>2</v>
      </c>
      <c r="I81" s="5" t="s">
        <v>2</v>
      </c>
      <c r="J81" s="5" t="s">
        <v>625</v>
      </c>
    </row>
    <row r="82" spans="1:10" x14ac:dyDescent="0.25">
      <c r="A82" s="5" t="s">
        <v>15</v>
      </c>
      <c r="B82" s="6" t="s">
        <v>626</v>
      </c>
      <c r="C82" s="5" t="s">
        <v>2</v>
      </c>
      <c r="D82" s="5"/>
      <c r="E82" s="5" t="s">
        <v>626</v>
      </c>
      <c r="F82" s="5" t="s">
        <v>17</v>
      </c>
      <c r="G82" s="5" t="s">
        <v>2</v>
      </c>
      <c r="H82" s="5" t="s">
        <v>2</v>
      </c>
      <c r="I82" s="5" t="s">
        <v>2</v>
      </c>
      <c r="J82" s="5" t="s">
        <v>627</v>
      </c>
    </row>
    <row r="83" spans="1:10" x14ac:dyDescent="0.25" outlineLevel="1" collapsed="1">
      <c r="A83" s="8" t="s">
        <v>15</v>
      </c>
      <c r="B83" s="9" t="s">
        <v>628</v>
      </c>
      <c r="C83" s="8" t="s">
        <v>2</v>
      </c>
      <c r="D83" s="8"/>
      <c r="E83" s="8" t="s">
        <v>628</v>
      </c>
      <c r="F83" s="8" t="s">
        <v>15</v>
      </c>
      <c r="G83" s="8" t="s">
        <v>2</v>
      </c>
      <c r="H83" s="8" t="s">
        <v>2</v>
      </c>
      <c r="I83" s="8" t="s">
        <v>2</v>
      </c>
      <c r="J83" s="8" t="s">
        <v>629</v>
      </c>
    </row>
    <row r="84" spans="1:10" x14ac:dyDescent="0.25" outlineLevel="2" collapsed="1">
      <c r="A84" s="7" t="s">
        <v>15</v>
      </c>
      <c r="B84" s="7" t="s">
        <v>20</v>
      </c>
      <c r="C84" s="7" t="s">
        <v>2</v>
      </c>
      <c r="D84" s="7"/>
      <c r="E84" s="7" t="s">
        <v>630</v>
      </c>
      <c r="F84" s="7" t="s">
        <v>17</v>
      </c>
      <c r="G84" s="7" t="s">
        <v>22</v>
      </c>
      <c r="H84" s="7" t="s">
        <v>2</v>
      </c>
      <c r="I84" s="7" t="s">
        <v>2</v>
      </c>
      <c r="J84" s="7" t="s">
        <v>631</v>
      </c>
    </row>
    <row r="85" spans="1:10" x14ac:dyDescent="0.25" outlineLevel="2" collapsed="1">
      <c r="A85" s="7" t="s">
        <v>15</v>
      </c>
      <c r="B85" s="7" t="s">
        <v>53</v>
      </c>
      <c r="C85" s="7" t="s">
        <v>2</v>
      </c>
      <c r="D85" s="7"/>
      <c r="E85" s="7" t="s">
        <v>632</v>
      </c>
      <c r="F85" s="7" t="s">
        <v>17</v>
      </c>
      <c r="G85" s="7">
        <v>1</v>
      </c>
      <c r="H85" s="7" t="s">
        <v>2</v>
      </c>
      <c r="I85" s="7" t="s">
        <v>2</v>
      </c>
      <c r="J85" s="7" t="s">
        <v>633</v>
      </c>
    </row>
    <row r="86" spans="1:10" x14ac:dyDescent="0.25" outlineLevel="2" collapsed="1">
      <c r="A86" s="7" t="s">
        <v>15</v>
      </c>
      <c r="B86" s="7" t="s">
        <v>53</v>
      </c>
      <c r="C86" s="7" t="s">
        <v>2</v>
      </c>
      <c r="D86" s="7"/>
      <c r="E86" s="7" t="s">
        <v>634</v>
      </c>
      <c r="F86" s="7" t="s">
        <v>17</v>
      </c>
      <c r="G86" s="7">
        <v>1</v>
      </c>
      <c r="H86" s="7" t="s">
        <v>2</v>
      </c>
      <c r="I86" s="7" t="s">
        <v>2</v>
      </c>
      <c r="J86" s="7" t="s">
        <v>635</v>
      </c>
    </row>
    <row r="87" spans="1:10" x14ac:dyDescent="0.25" outlineLevel="2" collapsed="1">
      <c r="A87" s="7" t="s">
        <v>15</v>
      </c>
      <c r="B87" s="7" t="s">
        <v>53</v>
      </c>
      <c r="C87" s="7" t="s">
        <v>2</v>
      </c>
      <c r="D87" s="7"/>
      <c r="E87" s="7" t="s">
        <v>636</v>
      </c>
      <c r="F87" s="7" t="s">
        <v>17</v>
      </c>
      <c r="G87" s="7">
        <v>1</v>
      </c>
      <c r="H87" s="7" t="s">
        <v>2</v>
      </c>
      <c r="I87" s="7" t="s">
        <v>2</v>
      </c>
      <c r="J87" s="7" t="s">
        <v>637</v>
      </c>
    </row>
    <row r="88" spans="1:10" x14ac:dyDescent="0.25" outlineLevel="1" collapsed="1">
      <c r="A88" s="7" t="s">
        <v>17</v>
      </c>
      <c r="B88" s="7" t="s">
        <v>53</v>
      </c>
      <c r="C88" s="7" t="s">
        <v>2</v>
      </c>
      <c r="D88" s="7" t="s">
        <v>506</v>
      </c>
      <c r="E88" s="7" t="s">
        <v>628</v>
      </c>
      <c r="F88" s="7" t="s">
        <v>17</v>
      </c>
      <c r="G88" s="7">
        <v>1</v>
      </c>
      <c r="H88" s="7" t="s">
        <v>2</v>
      </c>
      <c r="I88" s="7" t="s">
        <v>2</v>
      </c>
      <c r="J88" s="7" t="s">
        <v>638</v>
      </c>
    </row>
    <row r="89" spans="1:10" x14ac:dyDescent="0.25" outlineLevel="1" collapsed="1">
      <c r="A89" s="8" t="s">
        <v>15</v>
      </c>
      <c r="B89" s="9" t="s">
        <v>639</v>
      </c>
      <c r="C89" s="8" t="s">
        <v>2</v>
      </c>
      <c r="D89" s="8"/>
      <c r="E89" s="8" t="s">
        <v>639</v>
      </c>
      <c r="F89" s="8" t="s">
        <v>15</v>
      </c>
      <c r="G89" s="8" t="s">
        <v>2</v>
      </c>
      <c r="H89" s="8" t="s">
        <v>2</v>
      </c>
      <c r="I89" s="8" t="s">
        <v>2</v>
      </c>
      <c r="J89" s="8" t="s">
        <v>640</v>
      </c>
    </row>
    <row r="90" spans="1:10" x14ac:dyDescent="0.25" outlineLevel="2" collapsed="1">
      <c r="A90" s="7" t="s">
        <v>15</v>
      </c>
      <c r="B90" s="7" t="s">
        <v>20</v>
      </c>
      <c r="C90" s="7" t="s">
        <v>2</v>
      </c>
      <c r="D90" s="7"/>
      <c r="E90" s="7" t="s">
        <v>641</v>
      </c>
      <c r="F90" s="7" t="s">
        <v>17</v>
      </c>
      <c r="G90" s="7" t="s">
        <v>22</v>
      </c>
      <c r="H90" s="7" t="s">
        <v>2</v>
      </c>
      <c r="I90" s="7" t="s">
        <v>2</v>
      </c>
      <c r="J90" s="7" t="s">
        <v>642</v>
      </c>
    </row>
    <row r="91" spans="1:10" x14ac:dyDescent="0.25" outlineLevel="2" collapsed="1">
      <c r="A91" s="7" t="s">
        <v>15</v>
      </c>
      <c r="B91" s="7" t="s">
        <v>53</v>
      </c>
      <c r="C91" s="7" t="s">
        <v>2</v>
      </c>
      <c r="D91" s="7"/>
      <c r="E91" s="7" t="s">
        <v>643</v>
      </c>
      <c r="F91" s="7" t="s">
        <v>17</v>
      </c>
      <c r="G91" s="7">
        <v>1</v>
      </c>
      <c r="H91" s="7" t="s">
        <v>2</v>
      </c>
      <c r="I91" s="7" t="s">
        <v>2</v>
      </c>
      <c r="J91" s="7" t="s">
        <v>644</v>
      </c>
    </row>
    <row r="92" spans="1:10" x14ac:dyDescent="0.25" outlineLevel="2" collapsed="1">
      <c r="A92" s="7" t="s">
        <v>15</v>
      </c>
      <c r="B92" s="7" t="s">
        <v>53</v>
      </c>
      <c r="C92" s="7" t="s">
        <v>2</v>
      </c>
      <c r="D92" s="7"/>
      <c r="E92" s="7" t="s">
        <v>645</v>
      </c>
      <c r="F92" s="7" t="s">
        <v>17</v>
      </c>
      <c r="G92" s="7">
        <v>1</v>
      </c>
      <c r="H92" s="7" t="s">
        <v>2</v>
      </c>
      <c r="I92" s="7" t="s">
        <v>2</v>
      </c>
      <c r="J92" s="7" t="s">
        <v>646</v>
      </c>
    </row>
    <row r="93" spans="1:10" x14ac:dyDescent="0.25" outlineLevel="2" collapsed="1">
      <c r="A93" s="7" t="s">
        <v>15</v>
      </c>
      <c r="B93" s="7" t="s">
        <v>53</v>
      </c>
      <c r="C93" s="7" t="s">
        <v>2</v>
      </c>
      <c r="D93" s="7"/>
      <c r="E93" s="7" t="s">
        <v>647</v>
      </c>
      <c r="F93" s="7" t="s">
        <v>17</v>
      </c>
      <c r="G93" s="7">
        <v>1</v>
      </c>
      <c r="H93" s="7" t="s">
        <v>2</v>
      </c>
      <c r="I93" s="7" t="s">
        <v>2</v>
      </c>
      <c r="J93" s="7" t="s">
        <v>648</v>
      </c>
    </row>
    <row r="94" spans="1:10" x14ac:dyDescent="0.25" outlineLevel="1" collapsed="1">
      <c r="A94" s="7" t="s">
        <v>17</v>
      </c>
      <c r="B94" s="7" t="s">
        <v>53</v>
      </c>
      <c r="C94" s="7" t="s">
        <v>2</v>
      </c>
      <c r="D94" s="7" t="s">
        <v>506</v>
      </c>
      <c r="E94" s="7" t="s">
        <v>649</v>
      </c>
      <c r="F94" s="7" t="s">
        <v>17</v>
      </c>
      <c r="G94" s="7">
        <v>1</v>
      </c>
      <c r="H94" s="7" t="s">
        <v>2</v>
      </c>
      <c r="I94" s="7" t="s">
        <v>2</v>
      </c>
      <c r="J94" s="7" t="s">
        <v>650</v>
      </c>
    </row>
    <row r="95" spans="1:10" x14ac:dyDescent="0.25" outlineLevel="1" collapsed="1">
      <c r="A95" s="7" t="s">
        <v>17</v>
      </c>
      <c r="B95" s="7" t="s">
        <v>53</v>
      </c>
      <c r="C95" s="7" t="s">
        <v>2</v>
      </c>
      <c r="D95" s="7" t="s">
        <v>506</v>
      </c>
      <c r="E95" s="7" t="s">
        <v>651</v>
      </c>
      <c r="F95" s="7" t="s">
        <v>17</v>
      </c>
      <c r="G95" s="7">
        <v>1</v>
      </c>
      <c r="H95" s="7" t="s">
        <v>2</v>
      </c>
      <c r="I95" s="7" t="s">
        <v>2</v>
      </c>
      <c r="J95" s="7" t="s">
        <v>652</v>
      </c>
    </row>
    <row r="96" spans="1:10" x14ac:dyDescent="0.25" outlineLevel="1" collapsed="1">
      <c r="A96" s="7" t="s">
        <v>17</v>
      </c>
      <c r="B96" s="7" t="s">
        <v>20</v>
      </c>
      <c r="C96" s="7" t="s">
        <v>2</v>
      </c>
      <c r="D96" s="7"/>
      <c r="E96" s="7" t="s">
        <v>519</v>
      </c>
      <c r="F96" s="7" t="s">
        <v>17</v>
      </c>
      <c r="G96" s="7" t="s">
        <v>22</v>
      </c>
      <c r="H96" s="7" t="s">
        <v>2</v>
      </c>
      <c r="I96" s="7" t="s">
        <v>2</v>
      </c>
      <c r="J96" s="7" t="s">
        <v>520</v>
      </c>
    </row>
    <row r="97" spans="1:10" x14ac:dyDescent="0.25" outlineLevel="1" collapsed="1">
      <c r="A97" s="7" t="s">
        <v>15</v>
      </c>
      <c r="B97" s="7" t="s">
        <v>125</v>
      </c>
      <c r="C97" s="7" t="s">
        <v>2</v>
      </c>
      <c r="D97" s="7"/>
      <c r="E97" s="7" t="s">
        <v>555</v>
      </c>
      <c r="F97" s="7" t="s">
        <v>17</v>
      </c>
      <c r="G97" s="7" t="s">
        <v>1584</v>
      </c>
      <c r="H97" s="7" t="s">
        <v>2</v>
      </c>
      <c r="I97" s="7" t="s">
        <v>2</v>
      </c>
      <c r="J97" s="7" t="s">
        <v>579</v>
      </c>
    </row>
    <row r="98" spans="1:10" x14ac:dyDescent="0.25">
      <c r="A98" s="5" t="s">
        <v>15</v>
      </c>
      <c r="B98" s="6" t="s">
        <v>654</v>
      </c>
      <c r="C98" s="5" t="s">
        <v>2</v>
      </c>
      <c r="D98" s="5"/>
      <c r="E98" s="5" t="s">
        <v>655</v>
      </c>
      <c r="F98" s="5" t="s">
        <v>17</v>
      </c>
      <c r="G98" s="5" t="s">
        <v>2</v>
      </c>
      <c r="H98" s="5" t="s">
        <v>2</v>
      </c>
      <c r="I98" s="5" t="s">
        <v>2</v>
      </c>
      <c r="J98" s="5" t="s">
        <v>656</v>
      </c>
    </row>
    <row r="99" spans="1:10" x14ac:dyDescent="0.25" outlineLevel="1" collapsed="1">
      <c r="A99" s="8" t="s">
        <v>15</v>
      </c>
      <c r="B99" s="9" t="s">
        <v>657</v>
      </c>
      <c r="C99" s="8" t="s">
        <v>2</v>
      </c>
      <c r="D99" s="8"/>
      <c r="E99" s="8" t="s">
        <v>657</v>
      </c>
      <c r="F99" s="8" t="s">
        <v>17</v>
      </c>
      <c r="G99" s="8" t="s">
        <v>2</v>
      </c>
      <c r="H99" s="8" t="s">
        <v>2</v>
      </c>
      <c r="I99" s="8" t="s">
        <v>2</v>
      </c>
      <c r="J99" s="8" t="s">
        <v>658</v>
      </c>
    </row>
    <row r="100" spans="1:10" x14ac:dyDescent="0.25" outlineLevel="2" collapsed="1">
      <c r="A100" s="7" t="s">
        <v>15</v>
      </c>
      <c r="B100" s="7" t="s">
        <v>44</v>
      </c>
      <c r="C100" s="10" t="s">
        <v>659</v>
      </c>
      <c r="D100" s="7"/>
      <c r="E100" s="7" t="s">
        <v>660</v>
      </c>
      <c r="F100" s="7" t="s">
        <v>17</v>
      </c>
      <c r="G100" s="7" t="s">
        <v>251</v>
      </c>
      <c r="H100" s="7" t="s">
        <v>2</v>
      </c>
      <c r="I100" s="7" t="s">
        <v>2</v>
      </c>
      <c r="J100" s="7" t="s">
        <v>530</v>
      </c>
    </row>
    <row r="101" spans="1:10" x14ac:dyDescent="0.25" outlineLevel="2" collapsed="1">
      <c r="A101" s="8" t="s">
        <v>15</v>
      </c>
      <c r="B101" s="9" t="s">
        <v>661</v>
      </c>
      <c r="C101" s="8" t="s">
        <v>2</v>
      </c>
      <c r="D101" s="8"/>
      <c r="E101" s="8" t="s">
        <v>662</v>
      </c>
      <c r="F101" s="8" t="s">
        <v>15</v>
      </c>
      <c r="G101" s="8" t="s">
        <v>2</v>
      </c>
      <c r="H101" s="8" t="s">
        <v>2</v>
      </c>
      <c r="I101" s="8" t="s">
        <v>2</v>
      </c>
      <c r="J101" s="8" t="s">
        <v>663</v>
      </c>
    </row>
    <row r="102" spans="1:10" x14ac:dyDescent="0.25" outlineLevel="3" collapsed="1">
      <c r="A102" s="7" t="s">
        <v>15</v>
      </c>
      <c r="B102" s="7" t="s">
        <v>20</v>
      </c>
      <c r="C102" s="7" t="s">
        <v>2</v>
      </c>
      <c r="D102" s="7"/>
      <c r="E102" s="7" t="s">
        <v>664</v>
      </c>
      <c r="F102" s="7" t="s">
        <v>17</v>
      </c>
      <c r="G102" s="7" t="s">
        <v>22</v>
      </c>
      <c r="H102" s="7" t="s">
        <v>2</v>
      </c>
      <c r="I102" s="7" t="s">
        <v>2</v>
      </c>
      <c r="J102" s="7" t="s">
        <v>665</v>
      </c>
    </row>
    <row r="103" spans="1:10" x14ac:dyDescent="0.25" outlineLevel="3" collapsed="1">
      <c r="A103" s="7" t="s">
        <v>15</v>
      </c>
      <c r="B103" s="7" t="s">
        <v>53</v>
      </c>
      <c r="C103" s="7" t="s">
        <v>2</v>
      </c>
      <c r="D103" s="7"/>
      <c r="E103" s="7" t="s">
        <v>666</v>
      </c>
      <c r="F103" s="7" t="s">
        <v>17</v>
      </c>
      <c r="G103" s="7">
        <v>1</v>
      </c>
      <c r="H103" s="7" t="s">
        <v>2</v>
      </c>
      <c r="I103" s="7" t="s">
        <v>2</v>
      </c>
      <c r="J103" s="7" t="s">
        <v>667</v>
      </c>
    </row>
    <row r="104" spans="1:10" x14ac:dyDescent="0.25" outlineLevel="3" collapsed="1">
      <c r="A104" s="7" t="s">
        <v>15</v>
      </c>
      <c r="B104" s="7" t="s">
        <v>194</v>
      </c>
      <c r="C104" s="7" t="s">
        <v>2</v>
      </c>
      <c r="D104" s="7"/>
      <c r="E104" s="7" t="s">
        <v>668</v>
      </c>
      <c r="F104" s="7" t="s">
        <v>17</v>
      </c>
      <c r="G104" s="7">
        <v>1</v>
      </c>
      <c r="H104" s="7" t="s">
        <v>2</v>
      </c>
      <c r="I104" s="7" t="s">
        <v>2</v>
      </c>
      <c r="J104" s="7" t="s">
        <v>669</v>
      </c>
    </row>
    <row r="105" spans="1:10" x14ac:dyDescent="0.25" outlineLevel="2" collapsed="1">
      <c r="A105" s="7" t="s">
        <v>17</v>
      </c>
      <c r="B105" s="7" t="s">
        <v>20</v>
      </c>
      <c r="C105" s="7" t="s">
        <v>2</v>
      </c>
      <c r="D105" s="7"/>
      <c r="E105" s="7" t="s">
        <v>519</v>
      </c>
      <c r="F105" s="7" t="s">
        <v>17</v>
      </c>
      <c r="G105" s="7" t="s">
        <v>22</v>
      </c>
      <c r="H105" s="7" t="s">
        <v>2</v>
      </c>
      <c r="I105" s="7" t="s">
        <v>2</v>
      </c>
      <c r="J105" s="7" t="s">
        <v>520</v>
      </c>
    </row>
    <row r="106" spans="1:10" x14ac:dyDescent="0.25" outlineLevel="2" collapsed="1">
      <c r="A106" s="7" t="s">
        <v>15</v>
      </c>
      <c r="B106" s="7" t="s">
        <v>125</v>
      </c>
      <c r="C106" s="7" t="s">
        <v>2</v>
      </c>
      <c r="D106" s="7"/>
      <c r="E106" s="7" t="s">
        <v>555</v>
      </c>
      <c r="F106" s="7" t="s">
        <v>17</v>
      </c>
      <c r="G106" s="7" t="s">
        <v>1585</v>
      </c>
      <c r="H106" s="7" t="s">
        <v>2</v>
      </c>
      <c r="I106" s="7" t="s">
        <v>2</v>
      </c>
      <c r="J106" s="7" t="s">
        <v>579</v>
      </c>
    </row>
    <row r="107" spans="1:10" x14ac:dyDescent="0.25" outlineLevel="2" collapsed="1">
      <c r="A107" s="7" t="s">
        <v>17</v>
      </c>
      <c r="B107" s="7" t="s">
        <v>53</v>
      </c>
      <c r="C107" s="7" t="s">
        <v>2</v>
      </c>
      <c r="D107" s="7" t="s">
        <v>506</v>
      </c>
      <c r="E107" s="7" t="s">
        <v>671</v>
      </c>
      <c r="F107" s="7" t="s">
        <v>17</v>
      </c>
      <c r="G107" s="7">
        <v>1</v>
      </c>
      <c r="H107" s="7" t="s">
        <v>2</v>
      </c>
      <c r="I107" s="7" t="s">
        <v>2</v>
      </c>
      <c r="J107" s="7" t="s">
        <v>672</v>
      </c>
    </row>
    <row r="108" spans="1:10" x14ac:dyDescent="0.25" outlineLevel="1" collapsed="1">
      <c r="A108" s="8" t="s">
        <v>15</v>
      </c>
      <c r="B108" s="9" t="s">
        <v>673</v>
      </c>
      <c r="C108" s="8" t="s">
        <v>2</v>
      </c>
      <c r="D108" s="8"/>
      <c r="E108" s="8" t="s">
        <v>673</v>
      </c>
      <c r="F108" s="8" t="s">
        <v>17</v>
      </c>
      <c r="G108" s="8" t="s">
        <v>2</v>
      </c>
      <c r="H108" s="8" t="s">
        <v>2</v>
      </c>
      <c r="I108" s="8" t="s">
        <v>2</v>
      </c>
      <c r="J108" s="8" t="s">
        <v>674</v>
      </c>
    </row>
    <row r="109" spans="1:10" x14ac:dyDescent="0.25" outlineLevel="2" collapsed="1">
      <c r="A109" s="7" t="s">
        <v>15</v>
      </c>
      <c r="B109" s="7" t="s">
        <v>44</v>
      </c>
      <c r="C109" s="10" t="s">
        <v>675</v>
      </c>
      <c r="D109" s="7"/>
      <c r="E109" s="7" t="s">
        <v>676</v>
      </c>
      <c r="F109" s="7" t="s">
        <v>17</v>
      </c>
      <c r="G109" s="7" t="s">
        <v>677</v>
      </c>
      <c r="H109" s="7" t="s">
        <v>2</v>
      </c>
      <c r="I109" s="7" t="s">
        <v>2</v>
      </c>
      <c r="J109" s="7" t="s">
        <v>678</v>
      </c>
    </row>
    <row r="110" spans="1:10" x14ac:dyDescent="0.25" outlineLevel="2" collapsed="1">
      <c r="A110" s="8" t="s">
        <v>17</v>
      </c>
      <c r="B110" s="9" t="s">
        <v>679</v>
      </c>
      <c r="C110" s="8" t="s">
        <v>2</v>
      </c>
      <c r="D110" s="8">
        <f>EXACT(G109,"Option 1 - Default 2% deduction")</f>
      </c>
      <c r="E110" s="8" t="s">
        <v>680</v>
      </c>
      <c r="F110" s="8" t="s">
        <v>17</v>
      </c>
      <c r="G110" s="8" t="s">
        <v>2</v>
      </c>
      <c r="H110" s="8" t="s">
        <v>2</v>
      </c>
      <c r="I110" s="8" t="s">
        <v>2</v>
      </c>
      <c r="J110" s="8" t="s">
        <v>681</v>
      </c>
    </row>
    <row r="111" spans="1:10" x14ac:dyDescent="0.25" outlineLevel="3" collapsed="1">
      <c r="A111" s="7" t="s">
        <v>17</v>
      </c>
      <c r="B111" s="7" t="s">
        <v>53</v>
      </c>
      <c r="C111" s="7" t="s">
        <v>2</v>
      </c>
      <c r="D111" s="7" t="s">
        <v>506</v>
      </c>
      <c r="E111" s="7" t="s">
        <v>682</v>
      </c>
      <c r="F111" s="7" t="s">
        <v>17</v>
      </c>
      <c r="G111" s="7">
        <v>1</v>
      </c>
      <c r="H111" s="7" t="s">
        <v>2</v>
      </c>
      <c r="I111" s="7" t="s">
        <v>2</v>
      </c>
      <c r="J111" s="7" t="s">
        <v>683</v>
      </c>
    </row>
    <row r="112" spans="1:10" x14ac:dyDescent="0.25" outlineLevel="3" collapsed="1">
      <c r="A112" s="7" t="s">
        <v>17</v>
      </c>
      <c r="B112" s="7" t="s">
        <v>20</v>
      </c>
      <c r="C112" s="7" t="s">
        <v>2</v>
      </c>
      <c r="D112" s="7"/>
      <c r="E112" s="7" t="s">
        <v>519</v>
      </c>
      <c r="F112" s="7" t="s">
        <v>17</v>
      </c>
      <c r="G112" s="7" t="s">
        <v>22</v>
      </c>
      <c r="H112" s="7" t="s">
        <v>2</v>
      </c>
      <c r="I112" s="7" t="s">
        <v>2</v>
      </c>
      <c r="J112" s="7" t="s">
        <v>684</v>
      </c>
    </row>
    <row r="113" spans="1:10" x14ac:dyDescent="0.25" outlineLevel="2" collapsed="1">
      <c r="A113" s="8" t="s">
        <v>17</v>
      </c>
      <c r="B113" s="9" t="s">
        <v>685</v>
      </c>
      <c r="C113" s="8" t="s">
        <v>2</v>
      </c>
      <c r="D113" s="8">
        <f>EXACT(G109,"Option 3 - Detailed assessment")</f>
      </c>
      <c r="E113" s="8" t="s">
        <v>680</v>
      </c>
      <c r="F113" s="8" t="s">
        <v>17</v>
      </c>
      <c r="G113" s="8" t="s">
        <v>2</v>
      </c>
      <c r="H113" s="8" t="s">
        <v>2</v>
      </c>
      <c r="I113" s="8" t="s">
        <v>2</v>
      </c>
      <c r="J113" s="8" t="s">
        <v>686</v>
      </c>
    </row>
    <row r="114" spans="1:10" x14ac:dyDescent="0.25" outlineLevel="3" collapsed="1">
      <c r="A114" s="8" t="s">
        <v>15</v>
      </c>
      <c r="B114" s="9" t="s">
        <v>687</v>
      </c>
      <c r="C114" s="8" t="s">
        <v>2</v>
      </c>
      <c r="D114" s="8"/>
      <c r="E114" s="8" t="s">
        <v>688</v>
      </c>
      <c r="F114" s="8" t="s">
        <v>15</v>
      </c>
      <c r="G114" s="8" t="s">
        <v>2</v>
      </c>
      <c r="H114" s="8" t="s">
        <v>2</v>
      </c>
      <c r="I114" s="8" t="s">
        <v>2</v>
      </c>
      <c r="J114" s="8" t="s">
        <v>689</v>
      </c>
    </row>
    <row r="115" spans="1:10" x14ac:dyDescent="0.25" outlineLevel="4" collapsed="1">
      <c r="A115" s="7" t="s">
        <v>15</v>
      </c>
      <c r="B115" s="7" t="s">
        <v>20</v>
      </c>
      <c r="C115" s="7" t="s">
        <v>2</v>
      </c>
      <c r="D115" s="7"/>
      <c r="E115" s="7" t="s">
        <v>690</v>
      </c>
      <c r="F115" s="7" t="s">
        <v>17</v>
      </c>
      <c r="G115" s="7" t="s">
        <v>22</v>
      </c>
      <c r="H115" s="7" t="s">
        <v>2</v>
      </c>
      <c r="I115" s="7" t="s">
        <v>2</v>
      </c>
      <c r="J115" s="7" t="s">
        <v>691</v>
      </c>
    </row>
    <row r="116" spans="1:10" x14ac:dyDescent="0.25" outlineLevel="4" collapsed="1">
      <c r="A116" s="7" t="s">
        <v>15</v>
      </c>
      <c r="B116" s="7" t="s">
        <v>20</v>
      </c>
      <c r="C116" s="7" t="s">
        <v>2</v>
      </c>
      <c r="D116" s="7"/>
      <c r="E116" s="7" t="s">
        <v>692</v>
      </c>
      <c r="F116" s="7" t="s">
        <v>17</v>
      </c>
      <c r="G116" s="7" t="s">
        <v>22</v>
      </c>
      <c r="H116" s="7" t="s">
        <v>2</v>
      </c>
      <c r="I116" s="7" t="s">
        <v>2</v>
      </c>
      <c r="J116" s="7" t="s">
        <v>693</v>
      </c>
    </row>
    <row r="117" spans="1:10" x14ac:dyDescent="0.25" outlineLevel="4" collapsed="1">
      <c r="A117" s="7" t="s">
        <v>15</v>
      </c>
      <c r="B117" s="7" t="s">
        <v>125</v>
      </c>
      <c r="C117" s="7" t="s">
        <v>2</v>
      </c>
      <c r="D117" s="7"/>
      <c r="E117" s="7" t="s">
        <v>694</v>
      </c>
      <c r="F117" s="7" t="s">
        <v>17</v>
      </c>
      <c r="G117" s="7" t="s">
        <v>1586</v>
      </c>
      <c r="H117" s="7" t="s">
        <v>2</v>
      </c>
      <c r="I117" s="7" t="s">
        <v>2</v>
      </c>
      <c r="J117" s="7" t="s">
        <v>696</v>
      </c>
    </row>
    <row r="118" spans="1:10" x14ac:dyDescent="0.25" outlineLevel="4" collapsed="1">
      <c r="A118" s="7" t="s">
        <v>15</v>
      </c>
      <c r="B118" s="7" t="s">
        <v>47</v>
      </c>
      <c r="C118" s="7" t="s">
        <v>2</v>
      </c>
      <c r="D118" s="7"/>
      <c r="E118" s="7" t="s">
        <v>697</v>
      </c>
      <c r="F118" s="7" t="s">
        <v>17</v>
      </c>
      <c r="G118" s="7" t="b">
        <v>1</v>
      </c>
      <c r="H118" s="7" t="s">
        <v>2</v>
      </c>
      <c r="I118" s="7" t="s">
        <v>2</v>
      </c>
      <c r="J118" s="7" t="s">
        <v>698</v>
      </c>
    </row>
    <row r="119" spans="1:10" x14ac:dyDescent="0.25" outlineLevel="4" collapsed="1">
      <c r="A119" s="7" t="s">
        <v>17</v>
      </c>
      <c r="B119" s="7" t="s">
        <v>20</v>
      </c>
      <c r="C119" s="7" t="s">
        <v>2</v>
      </c>
      <c r="D119" s="7">
        <f>EXACT(G118,true)</f>
      </c>
      <c r="E119" s="7" t="s">
        <v>699</v>
      </c>
      <c r="F119" s="7" t="s">
        <v>17</v>
      </c>
      <c r="G119" s="7" t="s">
        <v>22</v>
      </c>
      <c r="H119" s="7" t="s">
        <v>2</v>
      </c>
      <c r="I119" s="7" t="s">
        <v>2</v>
      </c>
      <c r="J119" s="7" t="s">
        <v>700</v>
      </c>
    </row>
    <row r="120" spans="1:10" x14ac:dyDescent="0.25" outlineLevel="4" collapsed="1">
      <c r="A120" s="7" t="s">
        <v>17</v>
      </c>
      <c r="B120" s="7" t="s">
        <v>53</v>
      </c>
      <c r="C120" s="7" t="s">
        <v>2</v>
      </c>
      <c r="D120" s="7">
        <f>EXACT(G118,false)</f>
      </c>
      <c r="E120" s="7" t="s">
        <v>655</v>
      </c>
      <c r="F120" s="7" t="s">
        <v>17</v>
      </c>
      <c r="G120" s="7">
        <v>1</v>
      </c>
      <c r="H120" s="7" t="s">
        <v>2</v>
      </c>
      <c r="I120" s="7" t="s">
        <v>2</v>
      </c>
      <c r="J120" s="7" t="s">
        <v>656</v>
      </c>
    </row>
    <row r="121" spans="1:10" x14ac:dyDescent="0.25" outlineLevel="3" collapsed="1">
      <c r="A121" s="7" t="s">
        <v>17</v>
      </c>
      <c r="B121" s="7" t="s">
        <v>53</v>
      </c>
      <c r="C121" s="7" t="s">
        <v>2</v>
      </c>
      <c r="D121" s="7" t="s">
        <v>506</v>
      </c>
      <c r="E121" s="7" t="s">
        <v>701</v>
      </c>
      <c r="F121" s="7" t="s">
        <v>17</v>
      </c>
      <c r="G121" s="7">
        <v>1</v>
      </c>
      <c r="H121" s="7" t="s">
        <v>2</v>
      </c>
      <c r="I121" s="7" t="s">
        <v>2</v>
      </c>
      <c r="J121" s="7" t="s">
        <v>683</v>
      </c>
    </row>
    <row r="122" spans="1:10" x14ac:dyDescent="0.25" outlineLevel="1" collapsed="1">
      <c r="A122" s="7" t="s">
        <v>17</v>
      </c>
      <c r="B122" s="7" t="s">
        <v>53</v>
      </c>
      <c r="C122" s="7" t="s">
        <v>2</v>
      </c>
      <c r="D122" s="7" t="s">
        <v>506</v>
      </c>
      <c r="E122" s="7" t="s">
        <v>702</v>
      </c>
      <c r="F122" s="7" t="s">
        <v>17</v>
      </c>
      <c r="G122" s="7">
        <v>1</v>
      </c>
      <c r="H122" s="7" t="s">
        <v>2</v>
      </c>
      <c r="I122" s="7" t="s">
        <v>2</v>
      </c>
      <c r="J122" s="7" t="s">
        <v>656</v>
      </c>
    </row>
  </sheetData>
  <mergeCells count="3">
    <mergeCell ref="A1:J1"/>
    <mergeCell ref="B2:J2"/>
    <mergeCell ref="B3:J3"/>
  </mergeCells>
  <dataValidations count="4">
    <dataValidation type="list" allowBlank="1" sqref="G100:I100">
      <formula1>'Enums'!C2759:C2760</formula1>
    </dataValidation>
    <dataValidation type="list" allowBlank="1" sqref="G109:I109">
      <formula1>'Enums'!C2761:C2762</formula1>
    </dataValidation>
    <dataValidation type="list" allowBlank="1" sqref="G19:I19">
      <formula1>'Enums'!C2751:C2752</formula1>
    </dataValidation>
    <dataValidation type="list" allowBlank="1" sqref="G67:I67">
      <formula1>'Enums'!C2753:C2754</formula1>
    </dataValidation>
  </dataValidations>
  <hyperlinks>
    <hyperlink ref="B6" r:id="rId1" location="#'Stove Details Unit Schema'!A1"/>
    <hyperlink ref="B18" r:id="rId2" location="#'Unadjusted Quantity of Safe Dr'!A1"/>
    <hyperlink ref="B21" r:id="rId3" location="#'Unadjusted Quantity of Safe 2'!A1"/>
    <hyperlink ref="B24" r:id="rId4" location="#'Project Water Supply Premis 2'!A1"/>
    <hyperlink ref="B27" r:id="rId5" location="#'Project Water Supply Premis 3'!A1"/>
    <hyperlink ref="B38" r:id="rId6" location="#'Unadjusted Quantity of Safe 3'!A1"/>
    <hyperlink ref="B39" r:id="rId7" location="#'Project Water Supply Premises'!A1"/>
    <hyperlink ref="B42" r:id="rId8" location="#'Project Water Supply Premis 4'!A1"/>
    <hyperlink ref="B55" r:id="rId9" location="#'Unadjusted Baseline Emission'!A1"/>
    <hyperlink ref="B60" r:id="rId10" location="#'Adjustment for behavior and Co'!A1"/>
    <hyperlink ref="B68" r:id="rId11" location="#'Adjusted quantity of safe drin'!A1"/>
    <hyperlink ref="B70" r:id="rId12" location="#'Adjusted quantity of safe d 2'!A1"/>
    <hyperlink ref="B76" r:id="rId13" location="#'Adjustment for ambition'!A1"/>
    <hyperlink ref="B82" r:id="rId14" location="#'Activity Emission'!A1"/>
    <hyperlink ref="B83" r:id="rId15" location="#'Emission by fuel'!A1"/>
    <hyperlink ref="B89" r:id="rId16" location="#'Emission by Electricity'!A1"/>
    <hyperlink ref="B98" r:id="rId17" location="#'Leakage Emission Calculation'!A1"/>
    <hyperlink ref="B99" r:id="rId18" location="#'Embodied Emissions'!A1"/>
    <hyperlink ref="B101" r:id="rId19" location="#'Deductions for Embodied Emissi'!A1"/>
    <hyperlink ref="B108" r:id="rId20" location="#'Market and Behavioral Leakage'!A1"/>
    <hyperlink ref="B110" r:id="rId21" location="#'Option 1 – Default 2% deductio'!A1"/>
    <hyperlink ref="B113" r:id="rId22" location="#'Option 3 - Detailed assessment'!A1"/>
    <hyperlink ref="B114" r:id="rId23" location="#'Leakage Emission Source Detail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1228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1228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1230</v>
      </c>
    </row>
    <row r="6" spans="1:10" x14ac:dyDescent="0.25">
      <c r="A6" s="5" t="s">
        <v>15</v>
      </c>
      <c r="B6" s="6" t="s">
        <v>1231</v>
      </c>
      <c r="C6" s="5" t="s">
        <v>2</v>
      </c>
      <c r="D6" s="5"/>
      <c r="E6" s="5" t="s">
        <v>1232</v>
      </c>
      <c r="F6" s="5" t="s">
        <v>15</v>
      </c>
      <c r="G6" s="5" t="s">
        <v>2</v>
      </c>
      <c r="H6" s="5" t="s">
        <v>2</v>
      </c>
      <c r="I6" s="5" t="s">
        <v>2</v>
      </c>
      <c r="J6" s="5" t="s">
        <v>1233</v>
      </c>
    </row>
    <row r="7" spans="1:10" x14ac:dyDescent="0.25" outlineLevel="1" collapsed="1">
      <c r="A7" s="7" t="s">
        <v>15</v>
      </c>
      <c r="B7" s="7" t="s">
        <v>20</v>
      </c>
      <c r="C7" s="7" t="s">
        <v>2</v>
      </c>
      <c r="D7" s="7"/>
      <c r="E7" s="7" t="s">
        <v>1234</v>
      </c>
      <c r="F7" s="7" t="s">
        <v>17</v>
      </c>
      <c r="G7" s="7" t="s">
        <v>22</v>
      </c>
      <c r="H7" s="7" t="s">
        <v>2</v>
      </c>
      <c r="I7" s="7" t="s">
        <v>2</v>
      </c>
      <c r="J7" s="7" t="s">
        <v>1235</v>
      </c>
    </row>
    <row r="8" spans="1:10" x14ac:dyDescent="0.25" outlineLevel="1" collapsed="1">
      <c r="A8" s="7" t="s">
        <v>15</v>
      </c>
      <c r="B8" s="7" t="s">
        <v>47</v>
      </c>
      <c r="C8" s="7" t="s">
        <v>2</v>
      </c>
      <c r="D8" s="7"/>
      <c r="E8" s="7" t="s">
        <v>1236</v>
      </c>
      <c r="F8" s="7" t="s">
        <v>17</v>
      </c>
      <c r="G8" s="7" t="b">
        <v>1</v>
      </c>
      <c r="H8" s="7" t="s">
        <v>2</v>
      </c>
      <c r="I8" s="7" t="s">
        <v>2</v>
      </c>
      <c r="J8" s="7" t="s">
        <v>1237</v>
      </c>
    </row>
    <row r="9" spans="1:10" x14ac:dyDescent="0.25" outlineLevel="1" collapsed="1">
      <c r="A9" s="7" t="s">
        <v>15</v>
      </c>
      <c r="B9" s="7" t="s">
        <v>20</v>
      </c>
      <c r="C9" s="7" t="s">
        <v>2</v>
      </c>
      <c r="D9" s="7"/>
      <c r="E9" s="7" t="s">
        <v>1238</v>
      </c>
      <c r="F9" s="7" t="s">
        <v>17</v>
      </c>
      <c r="G9" s="7" t="s">
        <v>22</v>
      </c>
      <c r="H9" s="7" t="s">
        <v>2</v>
      </c>
      <c r="I9" s="7" t="s">
        <v>2</v>
      </c>
      <c r="J9" s="7" t="s">
        <v>1239</v>
      </c>
    </row>
  </sheetData>
  <mergeCells count="3">
    <mergeCell ref="A1:J1"/>
    <mergeCell ref="B2:J2"/>
    <mergeCell ref="B3:J3"/>
  </mergeCells>
  <hyperlinks>
    <hyperlink ref="B6" r:id="rId1" location="#'GHG Detail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333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336</v>
      </c>
      <c r="C5" s="5" t="s">
        <v>2</v>
      </c>
      <c r="D5" s="5"/>
      <c r="E5" s="5" t="s">
        <v>337</v>
      </c>
      <c r="F5" s="5" t="s">
        <v>17</v>
      </c>
      <c r="G5" s="5" t="s">
        <v>2</v>
      </c>
      <c r="H5" s="5" t="s">
        <v>2</v>
      </c>
      <c r="I5" s="5" t="s">
        <v>2</v>
      </c>
      <c r="J5" s="5" t="s">
        <v>338</v>
      </c>
    </row>
    <row r="6" spans="1:10" x14ac:dyDescent="0.25" outlineLevel="1" collapsed="1">
      <c r="A6" s="7" t="s">
        <v>15</v>
      </c>
      <c r="B6" s="7" t="s">
        <v>44</v>
      </c>
      <c r="C6" s="10" t="s">
        <v>339</v>
      </c>
      <c r="D6" s="7"/>
      <c r="E6" s="7" t="s">
        <v>337</v>
      </c>
      <c r="F6" s="7" t="s">
        <v>17</v>
      </c>
      <c r="G6" s="7" t="s">
        <v>340</v>
      </c>
      <c r="H6" s="7" t="s">
        <v>2</v>
      </c>
      <c r="I6" s="7" t="s">
        <v>2</v>
      </c>
      <c r="J6" s="7" t="s">
        <v>338</v>
      </c>
    </row>
    <row r="7" spans="1:10" x14ac:dyDescent="0.25">
      <c r="A7" s="5" t="s">
        <v>15</v>
      </c>
      <c r="B7" s="5" t="s">
        <v>133</v>
      </c>
      <c r="C7" s="5" t="s">
        <v>341</v>
      </c>
      <c r="D7" s="5"/>
      <c r="E7" s="5" t="s">
        <v>342</v>
      </c>
      <c r="F7" s="5" t="s">
        <v>17</v>
      </c>
      <c r="G7" s="5" t="s">
        <v>1587</v>
      </c>
      <c r="H7" s="5" t="s">
        <v>2</v>
      </c>
      <c r="I7" s="5" t="s">
        <v>2</v>
      </c>
      <c r="J7" s="5" t="s">
        <v>344</v>
      </c>
    </row>
    <row r="8" spans="1:10" x14ac:dyDescent="0.25">
      <c r="A8" s="5" t="s">
        <v>15</v>
      </c>
      <c r="B8" s="5" t="s">
        <v>133</v>
      </c>
      <c r="C8" s="5" t="s">
        <v>268</v>
      </c>
      <c r="D8" s="5"/>
      <c r="E8" s="5" t="s">
        <v>345</v>
      </c>
      <c r="F8" s="5" t="s">
        <v>17</v>
      </c>
      <c r="G8" s="5" t="s">
        <v>1588</v>
      </c>
      <c r="H8" s="5" t="s">
        <v>2</v>
      </c>
      <c r="I8" s="5" t="s">
        <v>2</v>
      </c>
      <c r="J8" s="5" t="s">
        <v>347</v>
      </c>
    </row>
    <row r="9" spans="1:10" x14ac:dyDescent="0.25">
      <c r="A9" s="5" t="s">
        <v>15</v>
      </c>
      <c r="B9" s="5" t="s">
        <v>133</v>
      </c>
      <c r="C9" s="5" t="s">
        <v>348</v>
      </c>
      <c r="D9" s="5"/>
      <c r="E9" s="5" t="s">
        <v>349</v>
      </c>
      <c r="F9" s="5" t="s">
        <v>17</v>
      </c>
      <c r="G9" s="5" t="s">
        <v>1589</v>
      </c>
      <c r="H9" s="5" t="s">
        <v>2</v>
      </c>
      <c r="I9" s="5" t="s">
        <v>2</v>
      </c>
      <c r="J9" s="5" t="s">
        <v>351</v>
      </c>
    </row>
    <row r="10" spans="1:10" x14ac:dyDescent="0.25">
      <c r="A10" s="5" t="s">
        <v>15</v>
      </c>
      <c r="B10" s="5" t="s">
        <v>44</v>
      </c>
      <c r="C10" s="12" t="s">
        <v>352</v>
      </c>
      <c r="D10" s="5"/>
      <c r="E10" s="5" t="s">
        <v>353</v>
      </c>
      <c r="F10" s="5" t="s">
        <v>17</v>
      </c>
      <c r="G10" s="5" t="s">
        <v>354</v>
      </c>
      <c r="H10" s="5" t="s">
        <v>2</v>
      </c>
      <c r="I10" s="5" t="s">
        <v>2</v>
      </c>
      <c r="J10" s="5" t="s">
        <v>355</v>
      </c>
    </row>
    <row r="11" spans="1:10" x14ac:dyDescent="0.25">
      <c r="A11" s="5" t="s">
        <v>15</v>
      </c>
      <c r="B11" s="5" t="s">
        <v>356</v>
      </c>
      <c r="C11" s="5" t="s">
        <v>2</v>
      </c>
      <c r="D11" s="5"/>
      <c r="E11" s="5" t="s">
        <v>357</v>
      </c>
      <c r="F11" s="5" t="s">
        <v>17</v>
      </c>
      <c r="G11" s="5" t="s">
        <v>2</v>
      </c>
      <c r="H11" s="5" t="s">
        <v>2</v>
      </c>
      <c r="I11" s="5" t="s">
        <v>2</v>
      </c>
      <c r="J11" s="5" t="s">
        <v>335</v>
      </c>
    </row>
    <row r="12" spans="1:10" x14ac:dyDescent="0.25">
      <c r="A12" s="5" t="s">
        <v>15</v>
      </c>
      <c r="B12" s="5" t="s">
        <v>133</v>
      </c>
      <c r="C12" s="5" t="s">
        <v>358</v>
      </c>
      <c r="D12" s="5"/>
      <c r="E12" s="5" t="s">
        <v>359</v>
      </c>
      <c r="F12" s="5" t="s">
        <v>17</v>
      </c>
      <c r="G12" s="5" t="s">
        <v>1590</v>
      </c>
      <c r="H12" s="5" t="s">
        <v>2</v>
      </c>
      <c r="I12" s="5" t="s">
        <v>2</v>
      </c>
      <c r="J12" s="5" t="s">
        <v>361</v>
      </c>
    </row>
    <row r="13" spans="1:10" x14ac:dyDescent="0.25">
      <c r="A13" s="5" t="s">
        <v>15</v>
      </c>
      <c r="B13" s="5" t="s">
        <v>133</v>
      </c>
      <c r="C13" s="5" t="s">
        <v>362</v>
      </c>
      <c r="D13" s="5"/>
      <c r="E13" s="5" t="s">
        <v>363</v>
      </c>
      <c r="F13" s="5" t="s">
        <v>17</v>
      </c>
      <c r="G13" s="5" t="s">
        <v>1591</v>
      </c>
      <c r="H13" s="5" t="s">
        <v>2</v>
      </c>
      <c r="I13" s="5" t="s">
        <v>2</v>
      </c>
      <c r="J13" s="5" t="s">
        <v>365</v>
      </c>
    </row>
  </sheetData>
  <mergeCells count="3">
    <mergeCell ref="A1:J1"/>
    <mergeCell ref="B2:J2"/>
    <mergeCell ref="B3:J3"/>
  </mergeCells>
  <dataValidations count="2">
    <dataValidation type="list" allowBlank="1" sqref="G10:I10">
      <formula1>'Enums'!C2675:C2676</formula1>
    </dataValidation>
    <dataValidation type="list" allowBlank="1" sqref="G6:I6">
      <formula1>'Enums'!C2422:C2674</formula1>
    </dataValidation>
  </dataValidations>
  <hyperlinks>
    <hyperlink ref="B5" r:id="rId1" location="#'Country 2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1361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44</v>
      </c>
      <c r="C5" s="12" t="s">
        <v>1363</v>
      </c>
      <c r="D5" s="5"/>
      <c r="E5" s="5" t="s">
        <v>231</v>
      </c>
      <c r="F5" s="5" t="s">
        <v>17</v>
      </c>
      <c r="G5" s="5" t="s">
        <v>251</v>
      </c>
      <c r="H5" s="5" t="s">
        <v>2</v>
      </c>
      <c r="I5" s="5" t="s">
        <v>2</v>
      </c>
      <c r="J5" s="5" t="s">
        <v>232</v>
      </c>
    </row>
    <row r="6" spans="1:10" x14ac:dyDescent="0.25">
      <c r="A6" s="5" t="s">
        <v>17</v>
      </c>
      <c r="B6" s="5" t="s">
        <v>394</v>
      </c>
      <c r="C6" s="12" t="s">
        <v>395</v>
      </c>
      <c r="D6" s="5">
        <f>EXACT(G5,"HWT, IWT")</f>
      </c>
      <c r="E6" s="13" t="s">
        <v>1364</v>
      </c>
      <c r="F6" s="5" t="s">
        <v>17</v>
      </c>
      <c r="G6" s="5" t="s">
        <v>2</v>
      </c>
      <c r="H6" s="5" t="s">
        <v>2</v>
      </c>
      <c r="I6" s="5" t="s">
        <v>2</v>
      </c>
      <c r="J6" s="5" t="s">
        <v>400</v>
      </c>
    </row>
    <row r="7" spans="1:10" x14ac:dyDescent="0.25">
      <c r="A7" s="5" t="s">
        <v>17</v>
      </c>
      <c r="B7" s="6" t="s">
        <v>1365</v>
      </c>
      <c r="C7" s="5" t="s">
        <v>2</v>
      </c>
      <c r="D7" s="5">
        <f>EXACT(G5,"CWT, CWS")</f>
      </c>
      <c r="E7" s="5" t="s">
        <v>1366</v>
      </c>
      <c r="F7" s="5" t="s">
        <v>17</v>
      </c>
      <c r="G7" s="5" t="s">
        <v>2</v>
      </c>
      <c r="H7" s="5" t="s">
        <v>2</v>
      </c>
      <c r="I7" s="5" t="s">
        <v>2</v>
      </c>
      <c r="J7" s="5" t="s">
        <v>439</v>
      </c>
    </row>
    <row r="8" spans="1:10" x14ac:dyDescent="0.25" outlineLevel="1" collapsed="1">
      <c r="A8" s="7" t="s">
        <v>15</v>
      </c>
      <c r="B8" s="7" t="s">
        <v>20</v>
      </c>
      <c r="C8" s="7" t="s">
        <v>2</v>
      </c>
      <c r="D8" s="7"/>
      <c r="E8" s="7" t="s">
        <v>1367</v>
      </c>
      <c r="F8" s="7" t="s">
        <v>17</v>
      </c>
      <c r="G8" s="7" t="s">
        <v>22</v>
      </c>
      <c r="H8" s="7" t="s">
        <v>2</v>
      </c>
      <c r="I8" s="7" t="s">
        <v>2</v>
      </c>
      <c r="J8" s="7" t="s">
        <v>1368</v>
      </c>
    </row>
    <row r="9" spans="1:10" x14ac:dyDescent="0.25" outlineLevel="1" collapsed="1">
      <c r="A9" s="7" t="s">
        <v>15</v>
      </c>
      <c r="B9" s="7" t="s">
        <v>20</v>
      </c>
      <c r="C9" s="7" t="s">
        <v>2</v>
      </c>
      <c r="D9" s="7"/>
      <c r="E9" s="7" t="s">
        <v>1281</v>
      </c>
      <c r="F9" s="7" t="s">
        <v>17</v>
      </c>
      <c r="G9" s="7" t="s">
        <v>22</v>
      </c>
      <c r="H9" s="7" t="s">
        <v>2</v>
      </c>
      <c r="I9" s="7" t="s">
        <v>2</v>
      </c>
      <c r="J9" s="7" t="s">
        <v>1283</v>
      </c>
    </row>
    <row r="10" spans="1:10" x14ac:dyDescent="0.25" outlineLevel="1" collapsed="1">
      <c r="A10" s="7" t="s">
        <v>15</v>
      </c>
      <c r="B10" s="7" t="s">
        <v>20</v>
      </c>
      <c r="C10" s="7" t="s">
        <v>2</v>
      </c>
      <c r="D10" s="7"/>
      <c r="E10" s="7" t="s">
        <v>1369</v>
      </c>
      <c r="F10" s="7" t="s">
        <v>17</v>
      </c>
      <c r="G10" s="7" t="s">
        <v>22</v>
      </c>
      <c r="H10" s="7" t="s">
        <v>2</v>
      </c>
      <c r="I10" s="7" t="s">
        <v>2</v>
      </c>
      <c r="J10" s="7" t="s">
        <v>1370</v>
      </c>
    </row>
    <row r="11" spans="1:10" x14ac:dyDescent="0.25" outlineLevel="1" collapsed="1">
      <c r="A11" s="7" t="s">
        <v>15</v>
      </c>
      <c r="B11" s="7" t="s">
        <v>20</v>
      </c>
      <c r="C11" s="7" t="s">
        <v>2</v>
      </c>
      <c r="D11" s="7"/>
      <c r="E11" s="7" t="s">
        <v>1371</v>
      </c>
      <c r="F11" s="7" t="s">
        <v>17</v>
      </c>
      <c r="G11" s="7" t="s">
        <v>22</v>
      </c>
      <c r="H11" s="7" t="s">
        <v>2</v>
      </c>
      <c r="I11" s="7" t="s">
        <v>2</v>
      </c>
      <c r="J11" s="7" t="s">
        <v>1372</v>
      </c>
    </row>
    <row r="12" spans="1:10" x14ac:dyDescent="0.25" outlineLevel="1" collapsed="1">
      <c r="A12" s="7" t="s">
        <v>15</v>
      </c>
      <c r="B12" s="7" t="s">
        <v>125</v>
      </c>
      <c r="C12" s="7" t="s">
        <v>2</v>
      </c>
      <c r="D12" s="7"/>
      <c r="E12" s="7" t="s">
        <v>1373</v>
      </c>
      <c r="F12" s="7" t="s">
        <v>17</v>
      </c>
      <c r="G12" s="7" t="s">
        <v>1592</v>
      </c>
      <c r="H12" s="7" t="s">
        <v>2</v>
      </c>
      <c r="I12" s="7" t="s">
        <v>2</v>
      </c>
      <c r="J12" s="7" t="s">
        <v>1375</v>
      </c>
    </row>
  </sheetData>
  <mergeCells count="3">
    <mergeCell ref="A1:J1"/>
    <mergeCell ref="B2:J2"/>
    <mergeCell ref="B3:J3"/>
  </mergeCells>
  <dataValidations count="1">
    <dataValidation type="list" allowBlank="1" sqref="G5:I5">
      <formula1>'Enums'!C2677:C2678</formula1>
    </dataValidation>
  </dataValidations>
  <hyperlinks>
    <hyperlink ref="B7" r:id="rId1" location="#'Maintenance Plan for CWTCW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639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641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642</v>
      </c>
    </row>
    <row r="6" spans="1:10" x14ac:dyDescent="0.25">
      <c r="A6" s="5" t="s">
        <v>15</v>
      </c>
      <c r="B6" s="5" t="s">
        <v>53</v>
      </c>
      <c r="C6" s="5" t="s">
        <v>2</v>
      </c>
      <c r="D6" s="5"/>
      <c r="E6" s="5" t="s">
        <v>643</v>
      </c>
      <c r="F6" s="5" t="s">
        <v>17</v>
      </c>
      <c r="G6" s="5">
        <v>1</v>
      </c>
      <c r="H6" s="5" t="s">
        <v>2</v>
      </c>
      <c r="I6" s="5" t="s">
        <v>2</v>
      </c>
      <c r="J6" s="5" t="s">
        <v>644</v>
      </c>
    </row>
    <row r="7" spans="1:10" x14ac:dyDescent="0.25">
      <c r="A7" s="5" t="s">
        <v>15</v>
      </c>
      <c r="B7" s="5" t="s">
        <v>53</v>
      </c>
      <c r="C7" s="5" t="s">
        <v>2</v>
      </c>
      <c r="D7" s="5"/>
      <c r="E7" s="5" t="s">
        <v>645</v>
      </c>
      <c r="F7" s="5" t="s">
        <v>17</v>
      </c>
      <c r="G7" s="5">
        <v>1</v>
      </c>
      <c r="H7" s="5" t="s">
        <v>2</v>
      </c>
      <c r="I7" s="5" t="s">
        <v>2</v>
      </c>
      <c r="J7" s="5" t="s">
        <v>646</v>
      </c>
    </row>
    <row r="8" spans="1:10" x14ac:dyDescent="0.25">
      <c r="A8" s="5" t="s">
        <v>15</v>
      </c>
      <c r="B8" s="5" t="s">
        <v>53</v>
      </c>
      <c r="C8" s="5" t="s">
        <v>2</v>
      </c>
      <c r="D8" s="5"/>
      <c r="E8" s="5" t="s">
        <v>647</v>
      </c>
      <c r="F8" s="5" t="s">
        <v>17</v>
      </c>
      <c r="G8" s="5">
        <v>1</v>
      </c>
      <c r="H8" s="5" t="s">
        <v>2</v>
      </c>
      <c r="I8" s="5" t="s">
        <v>2</v>
      </c>
      <c r="J8" s="5" t="s">
        <v>648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1593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1139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1140</v>
      </c>
    </row>
    <row r="6" spans="1:10" x14ac:dyDescent="0.25">
      <c r="A6" s="5" t="s">
        <v>15</v>
      </c>
      <c r="B6" s="5" t="s">
        <v>20</v>
      </c>
      <c r="C6" s="5" t="s">
        <v>2</v>
      </c>
      <c r="D6" s="5"/>
      <c r="E6" s="5" t="s">
        <v>1141</v>
      </c>
      <c r="F6" s="5" t="s">
        <v>17</v>
      </c>
      <c r="G6" s="5" t="s">
        <v>22</v>
      </c>
      <c r="H6" s="5" t="s">
        <v>2</v>
      </c>
      <c r="I6" s="5" t="s">
        <v>2</v>
      </c>
      <c r="J6" s="5" t="s">
        <v>1142</v>
      </c>
    </row>
    <row r="7" spans="1:10" x14ac:dyDescent="0.25">
      <c r="A7" s="5" t="s">
        <v>15</v>
      </c>
      <c r="B7" s="5" t="s">
        <v>20</v>
      </c>
      <c r="C7" s="5" t="s">
        <v>2</v>
      </c>
      <c r="D7" s="5"/>
      <c r="E7" s="5" t="s">
        <v>9</v>
      </c>
      <c r="F7" s="5" t="s">
        <v>17</v>
      </c>
      <c r="G7" s="5" t="s">
        <v>22</v>
      </c>
      <c r="H7" s="5" t="s">
        <v>2</v>
      </c>
      <c r="I7" s="5" t="s">
        <v>2</v>
      </c>
      <c r="J7" s="5" t="s">
        <v>1143</v>
      </c>
    </row>
    <row r="8" spans="1:10" x14ac:dyDescent="0.25">
      <c r="A8" s="5" t="s">
        <v>15</v>
      </c>
      <c r="B8" s="5" t="s">
        <v>20</v>
      </c>
      <c r="C8" s="5" t="s">
        <v>2</v>
      </c>
      <c r="D8" s="5"/>
      <c r="E8" s="5" t="s">
        <v>1144</v>
      </c>
      <c r="F8" s="5" t="s">
        <v>17</v>
      </c>
      <c r="G8" s="5" t="s">
        <v>22</v>
      </c>
      <c r="H8" s="5" t="s">
        <v>2</v>
      </c>
      <c r="I8" s="5" t="s">
        <v>2</v>
      </c>
      <c r="J8" s="5" t="s">
        <v>1145</v>
      </c>
    </row>
    <row r="9" spans="1:10" x14ac:dyDescent="0.25">
      <c r="A9" s="5" t="s">
        <v>15</v>
      </c>
      <c r="B9" s="5" t="s">
        <v>20</v>
      </c>
      <c r="C9" s="5" t="s">
        <v>2</v>
      </c>
      <c r="D9" s="5"/>
      <c r="E9" s="5" t="s">
        <v>1146</v>
      </c>
      <c r="F9" s="5" t="s">
        <v>17</v>
      </c>
      <c r="G9" s="5" t="s">
        <v>22</v>
      </c>
      <c r="H9" s="5" t="s">
        <v>2</v>
      </c>
      <c r="I9" s="5" t="s">
        <v>2</v>
      </c>
      <c r="J9" s="5" t="s">
        <v>1147</v>
      </c>
    </row>
    <row r="10" spans="1:10" x14ac:dyDescent="0.25">
      <c r="A10" s="5" t="s">
        <v>15</v>
      </c>
      <c r="B10" s="5" t="s">
        <v>20</v>
      </c>
      <c r="C10" s="5" t="s">
        <v>2</v>
      </c>
      <c r="D10" s="5"/>
      <c r="E10" s="5" t="s">
        <v>1148</v>
      </c>
      <c r="F10" s="5" t="s">
        <v>17</v>
      </c>
      <c r="G10" s="5" t="s">
        <v>22</v>
      </c>
      <c r="H10" s="5" t="s">
        <v>2</v>
      </c>
      <c r="I10" s="5" t="s">
        <v>2</v>
      </c>
      <c r="J10" s="5" t="s">
        <v>1149</v>
      </c>
    </row>
    <row r="11" spans="1:10" x14ac:dyDescent="0.25">
      <c r="A11" s="5" t="s">
        <v>15</v>
      </c>
      <c r="B11" s="5" t="s">
        <v>20</v>
      </c>
      <c r="C11" s="5" t="s">
        <v>2</v>
      </c>
      <c r="D11" s="5"/>
      <c r="E11" s="5" t="s">
        <v>1150</v>
      </c>
      <c r="F11" s="5" t="s">
        <v>17</v>
      </c>
      <c r="G11" s="5" t="s">
        <v>22</v>
      </c>
      <c r="H11" s="5" t="s">
        <v>2</v>
      </c>
      <c r="I11" s="5" t="s">
        <v>2</v>
      </c>
      <c r="J11" s="5" t="s">
        <v>1151</v>
      </c>
    </row>
    <row r="12" spans="1:10" x14ac:dyDescent="0.25">
      <c r="A12" s="5" t="s">
        <v>15</v>
      </c>
      <c r="B12" s="5" t="s">
        <v>20</v>
      </c>
      <c r="C12" s="5" t="s">
        <v>2</v>
      </c>
      <c r="D12" s="5"/>
      <c r="E12" s="5" t="s">
        <v>1152</v>
      </c>
      <c r="F12" s="5" t="s">
        <v>17</v>
      </c>
      <c r="G12" s="5" t="s">
        <v>22</v>
      </c>
      <c r="H12" s="5" t="s">
        <v>2</v>
      </c>
      <c r="I12" s="5" t="s">
        <v>2</v>
      </c>
      <c r="J12" s="5" t="s">
        <v>1153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953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823</v>
      </c>
      <c r="C5" s="5" t="s">
        <v>2</v>
      </c>
      <c r="D5" s="5"/>
      <c r="E5" s="5" t="s">
        <v>956</v>
      </c>
      <c r="F5" s="5" t="s">
        <v>17</v>
      </c>
      <c r="G5" s="5" t="s">
        <v>2</v>
      </c>
      <c r="H5" s="5" t="s">
        <v>2</v>
      </c>
      <c r="I5" s="5" t="s">
        <v>2</v>
      </c>
      <c r="J5" s="5" t="s">
        <v>957</v>
      </c>
    </row>
    <row r="6" spans="1:10" x14ac:dyDescent="0.25" outlineLevel="1" collapsed="1">
      <c r="A6" s="7" t="s">
        <v>15</v>
      </c>
      <c r="B6" s="7" t="s">
        <v>44</v>
      </c>
      <c r="C6" s="10" t="s">
        <v>826</v>
      </c>
      <c r="D6" s="7"/>
      <c r="E6" s="7" t="s">
        <v>827</v>
      </c>
      <c r="F6" s="7" t="s">
        <v>17</v>
      </c>
      <c r="G6" s="7" t="s">
        <v>15</v>
      </c>
      <c r="H6" s="7" t="s">
        <v>2</v>
      </c>
      <c r="I6" s="7" t="s">
        <v>2</v>
      </c>
      <c r="J6" s="7" t="s">
        <v>828</v>
      </c>
    </row>
    <row r="7" spans="1:10" x14ac:dyDescent="0.25" outlineLevel="1" collapsed="1">
      <c r="A7" s="7" t="s">
        <v>17</v>
      </c>
      <c r="B7" s="7" t="s">
        <v>20</v>
      </c>
      <c r="C7" s="7" t="s">
        <v>2</v>
      </c>
      <c r="D7" s="7"/>
      <c r="E7" s="7" t="s">
        <v>76</v>
      </c>
      <c r="F7" s="7" t="s">
        <v>17</v>
      </c>
      <c r="G7" s="7" t="s">
        <v>22</v>
      </c>
      <c r="H7" s="7" t="s">
        <v>2</v>
      </c>
      <c r="I7" s="7" t="s">
        <v>2</v>
      </c>
      <c r="J7" s="7" t="s">
        <v>78</v>
      </c>
    </row>
    <row r="8" spans="1:10" x14ac:dyDescent="0.25">
      <c r="A8" s="5" t="s">
        <v>15</v>
      </c>
      <c r="B8" s="6" t="s">
        <v>823</v>
      </c>
      <c r="C8" s="5" t="s">
        <v>2</v>
      </c>
      <c r="D8" s="5"/>
      <c r="E8" s="5" t="s">
        <v>958</v>
      </c>
      <c r="F8" s="5" t="s">
        <v>17</v>
      </c>
      <c r="G8" s="5" t="s">
        <v>2</v>
      </c>
      <c r="H8" s="5" t="s">
        <v>2</v>
      </c>
      <c r="I8" s="5" t="s">
        <v>2</v>
      </c>
      <c r="J8" s="5" t="s">
        <v>959</v>
      </c>
    </row>
    <row r="9" spans="1:10" x14ac:dyDescent="0.25" outlineLevel="1" collapsed="1">
      <c r="A9" s="7" t="s">
        <v>15</v>
      </c>
      <c r="B9" s="7" t="s">
        <v>44</v>
      </c>
      <c r="C9" s="10" t="s">
        <v>826</v>
      </c>
      <c r="D9" s="7"/>
      <c r="E9" s="7" t="s">
        <v>827</v>
      </c>
      <c r="F9" s="7" t="s">
        <v>17</v>
      </c>
      <c r="G9" s="7" t="s">
        <v>15</v>
      </c>
      <c r="H9" s="7" t="s">
        <v>2</v>
      </c>
      <c r="I9" s="7" t="s">
        <v>2</v>
      </c>
      <c r="J9" s="7" t="s">
        <v>828</v>
      </c>
    </row>
    <row r="10" spans="1:10" x14ac:dyDescent="0.25" outlineLevel="1" collapsed="1">
      <c r="A10" s="7" t="s">
        <v>17</v>
      </c>
      <c r="B10" s="7" t="s">
        <v>20</v>
      </c>
      <c r="C10" s="7" t="s">
        <v>2</v>
      </c>
      <c r="D10" s="7"/>
      <c r="E10" s="7" t="s">
        <v>76</v>
      </c>
      <c r="F10" s="7" t="s">
        <v>17</v>
      </c>
      <c r="G10" s="7" t="s">
        <v>22</v>
      </c>
      <c r="H10" s="7" t="s">
        <v>2</v>
      </c>
      <c r="I10" s="7" t="s">
        <v>2</v>
      </c>
      <c r="J10" s="7" t="s">
        <v>78</v>
      </c>
    </row>
    <row r="11" spans="1:10" x14ac:dyDescent="0.25">
      <c r="A11" s="5" t="s">
        <v>15</v>
      </c>
      <c r="B11" s="6" t="s">
        <v>823</v>
      </c>
      <c r="C11" s="5" t="s">
        <v>2</v>
      </c>
      <c r="D11" s="5"/>
      <c r="E11" s="5" t="s">
        <v>960</v>
      </c>
      <c r="F11" s="5" t="s">
        <v>17</v>
      </c>
      <c r="G11" s="5" t="s">
        <v>2</v>
      </c>
      <c r="H11" s="5" t="s">
        <v>2</v>
      </c>
      <c r="I11" s="5" t="s">
        <v>2</v>
      </c>
      <c r="J11" s="5" t="s">
        <v>961</v>
      </c>
    </row>
    <row r="12" spans="1:10" x14ac:dyDescent="0.25" outlineLevel="1" collapsed="1">
      <c r="A12" s="7" t="s">
        <v>15</v>
      </c>
      <c r="B12" s="7" t="s">
        <v>44</v>
      </c>
      <c r="C12" s="10" t="s">
        <v>826</v>
      </c>
      <c r="D12" s="7"/>
      <c r="E12" s="7" t="s">
        <v>827</v>
      </c>
      <c r="F12" s="7" t="s">
        <v>17</v>
      </c>
      <c r="G12" s="7" t="s">
        <v>15</v>
      </c>
      <c r="H12" s="7" t="s">
        <v>2</v>
      </c>
      <c r="I12" s="7" t="s">
        <v>2</v>
      </c>
      <c r="J12" s="7" t="s">
        <v>828</v>
      </c>
    </row>
    <row r="13" spans="1:10" x14ac:dyDescent="0.25" outlineLevel="1" collapsed="1">
      <c r="A13" s="7" t="s">
        <v>17</v>
      </c>
      <c r="B13" s="7" t="s">
        <v>20</v>
      </c>
      <c r="C13" s="7" t="s">
        <v>2</v>
      </c>
      <c r="D13" s="7"/>
      <c r="E13" s="7" t="s">
        <v>76</v>
      </c>
      <c r="F13" s="7" t="s">
        <v>17</v>
      </c>
      <c r="G13" s="7" t="s">
        <v>22</v>
      </c>
      <c r="H13" s="7" t="s">
        <v>2</v>
      </c>
      <c r="I13" s="7" t="s">
        <v>2</v>
      </c>
      <c r="J13" s="7" t="s">
        <v>78</v>
      </c>
    </row>
    <row r="14" spans="1:10" x14ac:dyDescent="0.25">
      <c r="A14" s="5" t="s">
        <v>15</v>
      </c>
      <c r="B14" s="6" t="s">
        <v>823</v>
      </c>
      <c r="C14" s="5" t="s">
        <v>2</v>
      </c>
      <c r="D14" s="5"/>
      <c r="E14" s="5" t="s">
        <v>962</v>
      </c>
      <c r="F14" s="5" t="s">
        <v>17</v>
      </c>
      <c r="G14" s="5" t="s">
        <v>2</v>
      </c>
      <c r="H14" s="5" t="s">
        <v>2</v>
      </c>
      <c r="I14" s="5" t="s">
        <v>2</v>
      </c>
      <c r="J14" s="5" t="s">
        <v>963</v>
      </c>
    </row>
    <row r="15" spans="1:10" x14ac:dyDescent="0.25" outlineLevel="1" collapsed="1">
      <c r="A15" s="7" t="s">
        <v>15</v>
      </c>
      <c r="B15" s="7" t="s">
        <v>44</v>
      </c>
      <c r="C15" s="10" t="s">
        <v>826</v>
      </c>
      <c r="D15" s="7"/>
      <c r="E15" s="7" t="s">
        <v>827</v>
      </c>
      <c r="F15" s="7" t="s">
        <v>17</v>
      </c>
      <c r="G15" s="7" t="s">
        <v>15</v>
      </c>
      <c r="H15" s="7" t="s">
        <v>2</v>
      </c>
      <c r="I15" s="7" t="s">
        <v>2</v>
      </c>
      <c r="J15" s="7" t="s">
        <v>828</v>
      </c>
    </row>
    <row r="16" spans="1:10" x14ac:dyDescent="0.25" outlineLevel="1" collapsed="1">
      <c r="A16" s="7" t="s">
        <v>17</v>
      </c>
      <c r="B16" s="7" t="s">
        <v>20</v>
      </c>
      <c r="C16" s="7" t="s">
        <v>2</v>
      </c>
      <c r="D16" s="7"/>
      <c r="E16" s="7" t="s">
        <v>76</v>
      </c>
      <c r="F16" s="7" t="s">
        <v>17</v>
      </c>
      <c r="G16" s="7" t="s">
        <v>22</v>
      </c>
      <c r="H16" s="7" t="s">
        <v>2</v>
      </c>
      <c r="I16" s="7" t="s">
        <v>2</v>
      </c>
      <c r="J16" s="7" t="s">
        <v>78</v>
      </c>
    </row>
    <row r="17" spans="1:10" x14ac:dyDescent="0.25">
      <c r="A17" s="5" t="s">
        <v>15</v>
      </c>
      <c r="B17" s="6" t="s">
        <v>823</v>
      </c>
      <c r="C17" s="5" t="s">
        <v>2</v>
      </c>
      <c r="D17" s="5"/>
      <c r="E17" s="5" t="s">
        <v>964</v>
      </c>
      <c r="F17" s="5" t="s">
        <v>17</v>
      </c>
      <c r="G17" s="5" t="s">
        <v>2</v>
      </c>
      <c r="H17" s="5" t="s">
        <v>2</v>
      </c>
      <c r="I17" s="5" t="s">
        <v>2</v>
      </c>
      <c r="J17" s="5" t="s">
        <v>965</v>
      </c>
    </row>
    <row r="18" spans="1:10" x14ac:dyDescent="0.25" outlineLevel="1" collapsed="1">
      <c r="A18" s="7" t="s">
        <v>15</v>
      </c>
      <c r="B18" s="7" t="s">
        <v>44</v>
      </c>
      <c r="C18" s="10" t="s">
        <v>826</v>
      </c>
      <c r="D18" s="7"/>
      <c r="E18" s="7" t="s">
        <v>827</v>
      </c>
      <c r="F18" s="7" t="s">
        <v>17</v>
      </c>
      <c r="G18" s="7" t="s">
        <v>15</v>
      </c>
      <c r="H18" s="7" t="s">
        <v>2</v>
      </c>
      <c r="I18" s="7" t="s">
        <v>2</v>
      </c>
      <c r="J18" s="7" t="s">
        <v>828</v>
      </c>
    </row>
    <row r="19" spans="1:10" x14ac:dyDescent="0.25" outlineLevel="1" collapsed="1">
      <c r="A19" s="7" t="s">
        <v>17</v>
      </c>
      <c r="B19" s="7" t="s">
        <v>20</v>
      </c>
      <c r="C19" s="7" t="s">
        <v>2</v>
      </c>
      <c r="D19" s="7"/>
      <c r="E19" s="7" t="s">
        <v>76</v>
      </c>
      <c r="F19" s="7" t="s">
        <v>17</v>
      </c>
      <c r="G19" s="7" t="s">
        <v>22</v>
      </c>
      <c r="H19" s="7" t="s">
        <v>2</v>
      </c>
      <c r="I19" s="7" t="s">
        <v>2</v>
      </c>
      <c r="J19" s="7" t="s">
        <v>78</v>
      </c>
    </row>
    <row r="20" spans="1:10" x14ac:dyDescent="0.25">
      <c r="A20" s="5" t="s">
        <v>15</v>
      </c>
      <c r="B20" s="6" t="s">
        <v>823</v>
      </c>
      <c r="C20" s="5" t="s">
        <v>2</v>
      </c>
      <c r="D20" s="5"/>
      <c r="E20" s="5" t="s">
        <v>966</v>
      </c>
      <c r="F20" s="5" t="s">
        <v>17</v>
      </c>
      <c r="G20" s="5" t="s">
        <v>2</v>
      </c>
      <c r="H20" s="5" t="s">
        <v>2</v>
      </c>
      <c r="I20" s="5" t="s">
        <v>2</v>
      </c>
      <c r="J20" s="5" t="s">
        <v>967</v>
      </c>
    </row>
    <row r="21" spans="1:10" x14ac:dyDescent="0.25" outlineLevel="1" collapsed="1">
      <c r="A21" s="7" t="s">
        <v>15</v>
      </c>
      <c r="B21" s="7" t="s">
        <v>44</v>
      </c>
      <c r="C21" s="10" t="s">
        <v>826</v>
      </c>
      <c r="D21" s="7"/>
      <c r="E21" s="7" t="s">
        <v>827</v>
      </c>
      <c r="F21" s="7" t="s">
        <v>17</v>
      </c>
      <c r="G21" s="7" t="s">
        <v>15</v>
      </c>
      <c r="H21" s="7" t="s">
        <v>2</v>
      </c>
      <c r="I21" s="7" t="s">
        <v>2</v>
      </c>
      <c r="J21" s="7" t="s">
        <v>828</v>
      </c>
    </row>
    <row r="22" spans="1:10" x14ac:dyDescent="0.25" outlineLevel="1" collapsed="1">
      <c r="A22" s="7" t="s">
        <v>17</v>
      </c>
      <c r="B22" s="7" t="s">
        <v>20</v>
      </c>
      <c r="C22" s="7" t="s">
        <v>2</v>
      </c>
      <c r="D22" s="7"/>
      <c r="E22" s="7" t="s">
        <v>76</v>
      </c>
      <c r="F22" s="7" t="s">
        <v>17</v>
      </c>
      <c r="G22" s="7" t="s">
        <v>22</v>
      </c>
      <c r="H22" s="7" t="s">
        <v>2</v>
      </c>
      <c r="I22" s="7" t="s">
        <v>2</v>
      </c>
      <c r="J22" s="7" t="s">
        <v>78</v>
      </c>
    </row>
    <row r="23" spans="1:10" x14ac:dyDescent="0.25">
      <c r="A23" s="5" t="s">
        <v>15</v>
      </c>
      <c r="B23" s="6" t="s">
        <v>823</v>
      </c>
      <c r="C23" s="5" t="s">
        <v>2</v>
      </c>
      <c r="D23" s="5"/>
      <c r="E23" s="5" t="s">
        <v>968</v>
      </c>
      <c r="F23" s="5" t="s">
        <v>17</v>
      </c>
      <c r="G23" s="5" t="s">
        <v>2</v>
      </c>
      <c r="H23" s="5" t="s">
        <v>2</v>
      </c>
      <c r="I23" s="5" t="s">
        <v>2</v>
      </c>
      <c r="J23" s="5" t="s">
        <v>969</v>
      </c>
    </row>
    <row r="24" spans="1:10" x14ac:dyDescent="0.25" outlineLevel="1" collapsed="1">
      <c r="A24" s="7" t="s">
        <v>15</v>
      </c>
      <c r="B24" s="7" t="s">
        <v>44</v>
      </c>
      <c r="C24" s="10" t="s">
        <v>826</v>
      </c>
      <c r="D24" s="7"/>
      <c r="E24" s="7" t="s">
        <v>827</v>
      </c>
      <c r="F24" s="7" t="s">
        <v>17</v>
      </c>
      <c r="G24" s="7" t="s">
        <v>15</v>
      </c>
      <c r="H24" s="7" t="s">
        <v>2</v>
      </c>
      <c r="I24" s="7" t="s">
        <v>2</v>
      </c>
      <c r="J24" s="7" t="s">
        <v>828</v>
      </c>
    </row>
    <row r="25" spans="1:10" x14ac:dyDescent="0.25" outlineLevel="1" collapsed="1">
      <c r="A25" s="7" t="s">
        <v>17</v>
      </c>
      <c r="B25" s="7" t="s">
        <v>20</v>
      </c>
      <c r="C25" s="7" t="s">
        <v>2</v>
      </c>
      <c r="D25" s="7"/>
      <c r="E25" s="7" t="s">
        <v>76</v>
      </c>
      <c r="F25" s="7" t="s">
        <v>17</v>
      </c>
      <c r="G25" s="7" t="s">
        <v>22</v>
      </c>
      <c r="H25" s="7" t="s">
        <v>2</v>
      </c>
      <c r="I25" s="7" t="s">
        <v>2</v>
      </c>
      <c r="J25" s="7" t="s">
        <v>78</v>
      </c>
    </row>
    <row r="26" spans="1:10" x14ac:dyDescent="0.25">
      <c r="A26" s="5" t="s">
        <v>15</v>
      </c>
      <c r="B26" s="6" t="s">
        <v>823</v>
      </c>
      <c r="C26" s="5" t="s">
        <v>2</v>
      </c>
      <c r="D26" s="5"/>
      <c r="E26" s="5" t="s">
        <v>970</v>
      </c>
      <c r="F26" s="5" t="s">
        <v>17</v>
      </c>
      <c r="G26" s="5" t="s">
        <v>2</v>
      </c>
      <c r="H26" s="5" t="s">
        <v>2</v>
      </c>
      <c r="I26" s="5" t="s">
        <v>2</v>
      </c>
      <c r="J26" s="5" t="s">
        <v>971</v>
      </c>
    </row>
    <row r="27" spans="1:10" x14ac:dyDescent="0.25" outlineLevel="1" collapsed="1">
      <c r="A27" s="7" t="s">
        <v>15</v>
      </c>
      <c r="B27" s="7" t="s">
        <v>44</v>
      </c>
      <c r="C27" s="10" t="s">
        <v>826</v>
      </c>
      <c r="D27" s="7"/>
      <c r="E27" s="7" t="s">
        <v>827</v>
      </c>
      <c r="F27" s="7" t="s">
        <v>17</v>
      </c>
      <c r="G27" s="7" t="s">
        <v>15</v>
      </c>
      <c r="H27" s="7" t="s">
        <v>2</v>
      </c>
      <c r="I27" s="7" t="s">
        <v>2</v>
      </c>
      <c r="J27" s="7" t="s">
        <v>828</v>
      </c>
    </row>
    <row r="28" spans="1:10" x14ac:dyDescent="0.25" outlineLevel="1" collapsed="1">
      <c r="A28" s="7" t="s">
        <v>17</v>
      </c>
      <c r="B28" s="7" t="s">
        <v>20</v>
      </c>
      <c r="C28" s="7" t="s">
        <v>2</v>
      </c>
      <c r="D28" s="7"/>
      <c r="E28" s="7" t="s">
        <v>76</v>
      </c>
      <c r="F28" s="7" t="s">
        <v>17</v>
      </c>
      <c r="G28" s="7" t="s">
        <v>22</v>
      </c>
      <c r="H28" s="7" t="s">
        <v>2</v>
      </c>
      <c r="I28" s="7" t="s">
        <v>2</v>
      </c>
      <c r="J28" s="7" t="s">
        <v>78</v>
      </c>
    </row>
    <row r="29" spans="1:10" x14ac:dyDescent="0.25">
      <c r="A29" s="5" t="s">
        <v>15</v>
      </c>
      <c r="B29" s="6" t="s">
        <v>823</v>
      </c>
      <c r="C29" s="5" t="s">
        <v>2</v>
      </c>
      <c r="D29" s="5"/>
      <c r="E29" s="5" t="s">
        <v>972</v>
      </c>
      <c r="F29" s="5" t="s">
        <v>17</v>
      </c>
      <c r="G29" s="5" t="s">
        <v>2</v>
      </c>
      <c r="H29" s="5" t="s">
        <v>2</v>
      </c>
      <c r="I29" s="5" t="s">
        <v>2</v>
      </c>
      <c r="J29" s="5" t="s">
        <v>973</v>
      </c>
    </row>
    <row r="30" spans="1:10" x14ac:dyDescent="0.25" outlineLevel="1" collapsed="1">
      <c r="A30" s="7" t="s">
        <v>15</v>
      </c>
      <c r="B30" s="7" t="s">
        <v>44</v>
      </c>
      <c r="C30" s="10" t="s">
        <v>826</v>
      </c>
      <c r="D30" s="7"/>
      <c r="E30" s="7" t="s">
        <v>827</v>
      </c>
      <c r="F30" s="7" t="s">
        <v>17</v>
      </c>
      <c r="G30" s="7" t="s">
        <v>15</v>
      </c>
      <c r="H30" s="7" t="s">
        <v>2</v>
      </c>
      <c r="I30" s="7" t="s">
        <v>2</v>
      </c>
      <c r="J30" s="7" t="s">
        <v>828</v>
      </c>
    </row>
    <row r="31" spans="1:10" x14ac:dyDescent="0.25" outlineLevel="1" collapsed="1">
      <c r="A31" s="7" t="s">
        <v>17</v>
      </c>
      <c r="B31" s="7" t="s">
        <v>20</v>
      </c>
      <c r="C31" s="7" t="s">
        <v>2</v>
      </c>
      <c r="D31" s="7"/>
      <c r="E31" s="7" t="s">
        <v>76</v>
      </c>
      <c r="F31" s="7" t="s">
        <v>17</v>
      </c>
      <c r="G31" s="7" t="s">
        <v>22</v>
      </c>
      <c r="H31" s="7" t="s">
        <v>2</v>
      </c>
      <c r="I31" s="7" t="s">
        <v>2</v>
      </c>
      <c r="J31" s="7" t="s">
        <v>78</v>
      </c>
    </row>
    <row r="32" spans="1:10" x14ac:dyDescent="0.25">
      <c r="A32" s="5" t="s">
        <v>15</v>
      </c>
      <c r="B32" s="6" t="s">
        <v>823</v>
      </c>
      <c r="C32" s="5" t="s">
        <v>2</v>
      </c>
      <c r="D32" s="5"/>
      <c r="E32" s="5" t="s">
        <v>974</v>
      </c>
      <c r="F32" s="5" t="s">
        <v>17</v>
      </c>
      <c r="G32" s="5" t="s">
        <v>2</v>
      </c>
      <c r="H32" s="5" t="s">
        <v>2</v>
      </c>
      <c r="I32" s="5" t="s">
        <v>2</v>
      </c>
      <c r="J32" s="5" t="s">
        <v>975</v>
      </c>
    </row>
    <row r="33" spans="1:10" x14ac:dyDescent="0.25" outlineLevel="1" collapsed="1">
      <c r="A33" s="7" t="s">
        <v>15</v>
      </c>
      <c r="B33" s="7" t="s">
        <v>44</v>
      </c>
      <c r="C33" s="10" t="s">
        <v>826</v>
      </c>
      <c r="D33" s="7"/>
      <c r="E33" s="7" t="s">
        <v>827</v>
      </c>
      <c r="F33" s="7" t="s">
        <v>17</v>
      </c>
      <c r="G33" s="7" t="s">
        <v>15</v>
      </c>
      <c r="H33" s="7" t="s">
        <v>2</v>
      </c>
      <c r="I33" s="7" t="s">
        <v>2</v>
      </c>
      <c r="J33" s="7" t="s">
        <v>828</v>
      </c>
    </row>
    <row r="34" spans="1:10" x14ac:dyDescent="0.25" outlineLevel="1" collapsed="1">
      <c r="A34" s="7" t="s">
        <v>17</v>
      </c>
      <c r="B34" s="7" t="s">
        <v>20</v>
      </c>
      <c r="C34" s="7" t="s">
        <v>2</v>
      </c>
      <c r="D34" s="7"/>
      <c r="E34" s="7" t="s">
        <v>76</v>
      </c>
      <c r="F34" s="7" t="s">
        <v>17</v>
      </c>
      <c r="G34" s="7" t="s">
        <v>22</v>
      </c>
      <c r="H34" s="7" t="s">
        <v>2</v>
      </c>
      <c r="I34" s="7" t="s">
        <v>2</v>
      </c>
      <c r="J34" s="7" t="s">
        <v>78</v>
      </c>
    </row>
    <row r="35" spans="1:10" x14ac:dyDescent="0.25">
      <c r="A35" s="5" t="s">
        <v>15</v>
      </c>
      <c r="B35" s="6" t="s">
        <v>823</v>
      </c>
      <c r="C35" s="5" t="s">
        <v>2</v>
      </c>
      <c r="D35" s="5"/>
      <c r="E35" s="5" t="s">
        <v>976</v>
      </c>
      <c r="F35" s="5" t="s">
        <v>17</v>
      </c>
      <c r="G35" s="5" t="s">
        <v>2</v>
      </c>
      <c r="H35" s="5" t="s">
        <v>2</v>
      </c>
      <c r="I35" s="5" t="s">
        <v>2</v>
      </c>
      <c r="J35" s="5" t="s">
        <v>977</v>
      </c>
    </row>
    <row r="36" spans="1:10" x14ac:dyDescent="0.25" outlineLevel="1" collapsed="1">
      <c r="A36" s="7" t="s">
        <v>15</v>
      </c>
      <c r="B36" s="7" t="s">
        <v>44</v>
      </c>
      <c r="C36" s="10" t="s">
        <v>826</v>
      </c>
      <c r="D36" s="7"/>
      <c r="E36" s="7" t="s">
        <v>827</v>
      </c>
      <c r="F36" s="7" t="s">
        <v>17</v>
      </c>
      <c r="G36" s="7" t="s">
        <v>15</v>
      </c>
      <c r="H36" s="7" t="s">
        <v>2</v>
      </c>
      <c r="I36" s="7" t="s">
        <v>2</v>
      </c>
      <c r="J36" s="7" t="s">
        <v>828</v>
      </c>
    </row>
    <row r="37" spans="1:10" x14ac:dyDescent="0.25" outlineLevel="1" collapsed="1">
      <c r="A37" s="7" t="s">
        <v>17</v>
      </c>
      <c r="B37" s="7" t="s">
        <v>20</v>
      </c>
      <c r="C37" s="7" t="s">
        <v>2</v>
      </c>
      <c r="D37" s="7"/>
      <c r="E37" s="7" t="s">
        <v>76</v>
      </c>
      <c r="F37" s="7" t="s">
        <v>17</v>
      </c>
      <c r="G37" s="7" t="s">
        <v>22</v>
      </c>
      <c r="H37" s="7" t="s">
        <v>2</v>
      </c>
      <c r="I37" s="7" t="s">
        <v>2</v>
      </c>
      <c r="J37" s="7" t="s">
        <v>78</v>
      </c>
    </row>
    <row r="38" spans="1:10" x14ac:dyDescent="0.25">
      <c r="A38" s="5" t="s">
        <v>15</v>
      </c>
      <c r="B38" s="6" t="s">
        <v>823</v>
      </c>
      <c r="C38" s="5" t="s">
        <v>2</v>
      </c>
      <c r="D38" s="5"/>
      <c r="E38" s="5" t="s">
        <v>978</v>
      </c>
      <c r="F38" s="5" t="s">
        <v>17</v>
      </c>
      <c r="G38" s="5" t="s">
        <v>2</v>
      </c>
      <c r="H38" s="5" t="s">
        <v>2</v>
      </c>
      <c r="I38" s="5" t="s">
        <v>2</v>
      </c>
      <c r="J38" s="5" t="s">
        <v>979</v>
      </c>
    </row>
    <row r="39" spans="1:10" x14ac:dyDescent="0.25" outlineLevel="1" collapsed="1">
      <c r="A39" s="7" t="s">
        <v>15</v>
      </c>
      <c r="B39" s="7" t="s">
        <v>44</v>
      </c>
      <c r="C39" s="10" t="s">
        <v>826</v>
      </c>
      <c r="D39" s="7"/>
      <c r="E39" s="7" t="s">
        <v>827</v>
      </c>
      <c r="F39" s="7" t="s">
        <v>17</v>
      </c>
      <c r="G39" s="7" t="s">
        <v>15</v>
      </c>
      <c r="H39" s="7" t="s">
        <v>2</v>
      </c>
      <c r="I39" s="7" t="s">
        <v>2</v>
      </c>
      <c r="J39" s="7" t="s">
        <v>828</v>
      </c>
    </row>
    <row r="40" spans="1:10" x14ac:dyDescent="0.25" outlineLevel="1" collapsed="1">
      <c r="A40" s="7" t="s">
        <v>17</v>
      </c>
      <c r="B40" s="7" t="s">
        <v>20</v>
      </c>
      <c r="C40" s="7" t="s">
        <v>2</v>
      </c>
      <c r="D40" s="7"/>
      <c r="E40" s="7" t="s">
        <v>76</v>
      </c>
      <c r="F40" s="7" t="s">
        <v>17</v>
      </c>
      <c r="G40" s="7" t="s">
        <v>22</v>
      </c>
      <c r="H40" s="7" t="s">
        <v>2</v>
      </c>
      <c r="I40" s="7" t="s">
        <v>2</v>
      </c>
      <c r="J40" s="7" t="s">
        <v>78</v>
      </c>
    </row>
    <row r="41" spans="1:10" x14ac:dyDescent="0.25">
      <c r="A41" s="5" t="s">
        <v>15</v>
      </c>
      <c r="B41" s="6" t="s">
        <v>823</v>
      </c>
      <c r="C41" s="5" t="s">
        <v>2</v>
      </c>
      <c r="D41" s="5"/>
      <c r="E41" s="5" t="s">
        <v>980</v>
      </c>
      <c r="F41" s="5" t="s">
        <v>17</v>
      </c>
      <c r="G41" s="5" t="s">
        <v>2</v>
      </c>
      <c r="H41" s="5" t="s">
        <v>2</v>
      </c>
      <c r="I41" s="5" t="s">
        <v>2</v>
      </c>
      <c r="J41" s="5" t="s">
        <v>981</v>
      </c>
    </row>
    <row r="42" spans="1:10" x14ac:dyDescent="0.25" outlineLevel="1" collapsed="1">
      <c r="A42" s="7" t="s">
        <v>15</v>
      </c>
      <c r="B42" s="7" t="s">
        <v>44</v>
      </c>
      <c r="C42" s="10" t="s">
        <v>826</v>
      </c>
      <c r="D42" s="7"/>
      <c r="E42" s="7" t="s">
        <v>827</v>
      </c>
      <c r="F42" s="7" t="s">
        <v>17</v>
      </c>
      <c r="G42" s="7" t="s">
        <v>15</v>
      </c>
      <c r="H42" s="7" t="s">
        <v>2</v>
      </c>
      <c r="I42" s="7" t="s">
        <v>2</v>
      </c>
      <c r="J42" s="7" t="s">
        <v>828</v>
      </c>
    </row>
    <row r="43" spans="1:10" x14ac:dyDescent="0.25" outlineLevel="1" collapsed="1">
      <c r="A43" s="7" t="s">
        <v>17</v>
      </c>
      <c r="B43" s="7" t="s">
        <v>20</v>
      </c>
      <c r="C43" s="7" t="s">
        <v>2</v>
      </c>
      <c r="D43" s="7"/>
      <c r="E43" s="7" t="s">
        <v>76</v>
      </c>
      <c r="F43" s="7" t="s">
        <v>17</v>
      </c>
      <c r="G43" s="7" t="s">
        <v>22</v>
      </c>
      <c r="H43" s="7" t="s">
        <v>2</v>
      </c>
      <c r="I43" s="7" t="s">
        <v>2</v>
      </c>
      <c r="J43" s="7" t="s">
        <v>78</v>
      </c>
    </row>
    <row r="44" spans="1:10" x14ac:dyDescent="0.25">
      <c r="A44" s="5" t="s">
        <v>15</v>
      </c>
      <c r="B44" s="6" t="s">
        <v>823</v>
      </c>
      <c r="C44" s="5" t="s">
        <v>2</v>
      </c>
      <c r="D44" s="5"/>
      <c r="E44" s="5" t="s">
        <v>982</v>
      </c>
      <c r="F44" s="5" t="s">
        <v>17</v>
      </c>
      <c r="G44" s="5" t="s">
        <v>2</v>
      </c>
      <c r="H44" s="5" t="s">
        <v>2</v>
      </c>
      <c r="I44" s="5" t="s">
        <v>2</v>
      </c>
      <c r="J44" s="5" t="s">
        <v>983</v>
      </c>
    </row>
    <row r="45" spans="1:10" x14ac:dyDescent="0.25" outlineLevel="1" collapsed="1">
      <c r="A45" s="7" t="s">
        <v>15</v>
      </c>
      <c r="B45" s="7" t="s">
        <v>44</v>
      </c>
      <c r="C45" s="10" t="s">
        <v>826</v>
      </c>
      <c r="D45" s="7"/>
      <c r="E45" s="7" t="s">
        <v>827</v>
      </c>
      <c r="F45" s="7" t="s">
        <v>17</v>
      </c>
      <c r="G45" s="7" t="s">
        <v>15</v>
      </c>
      <c r="H45" s="7" t="s">
        <v>2</v>
      </c>
      <c r="I45" s="7" t="s">
        <v>2</v>
      </c>
      <c r="J45" s="7" t="s">
        <v>828</v>
      </c>
    </row>
    <row r="46" spans="1:10" x14ac:dyDescent="0.25" outlineLevel="1" collapsed="1">
      <c r="A46" s="7" t="s">
        <v>17</v>
      </c>
      <c r="B46" s="7" t="s">
        <v>20</v>
      </c>
      <c r="C46" s="7" t="s">
        <v>2</v>
      </c>
      <c r="D46" s="7"/>
      <c r="E46" s="7" t="s">
        <v>76</v>
      </c>
      <c r="F46" s="7" t="s">
        <v>17</v>
      </c>
      <c r="G46" s="7" t="s">
        <v>22</v>
      </c>
      <c r="H46" s="7" t="s">
        <v>2</v>
      </c>
      <c r="I46" s="7" t="s">
        <v>2</v>
      </c>
      <c r="J46" s="7" t="s">
        <v>78</v>
      </c>
    </row>
  </sheetData>
  <mergeCells count="3">
    <mergeCell ref="A1:J1"/>
    <mergeCell ref="B2:J2"/>
    <mergeCell ref="B3:J3"/>
  </mergeCells>
  <dataValidations count="14">
    <dataValidation type="list" allowBlank="1" sqref="G12:I12">
      <formula1>'Enums'!C2707:C2708</formula1>
    </dataValidation>
    <dataValidation type="list" allowBlank="1" sqref="G15:I15">
      <formula1>'Enums'!C2707:C2708</formula1>
    </dataValidation>
    <dataValidation type="list" allowBlank="1" sqref="G18:I18">
      <formula1>'Enums'!C2707:C2708</formula1>
    </dataValidation>
    <dataValidation type="list" allowBlank="1" sqref="G21:I21">
      <formula1>'Enums'!C2707:C2708</formula1>
    </dataValidation>
    <dataValidation type="list" allowBlank="1" sqref="G24:I24">
      <formula1>'Enums'!C2707:C2708</formula1>
    </dataValidation>
    <dataValidation type="list" allowBlank="1" sqref="G27:I27">
      <formula1>'Enums'!C2707:C2708</formula1>
    </dataValidation>
    <dataValidation type="list" allowBlank="1" sqref="G30:I30">
      <formula1>'Enums'!C2707:C2708</formula1>
    </dataValidation>
    <dataValidation type="list" allowBlank="1" sqref="G33:I33">
      <formula1>'Enums'!C2707:C2708</formula1>
    </dataValidation>
    <dataValidation type="list" allowBlank="1" sqref="G36:I36">
      <formula1>'Enums'!C2707:C2708</formula1>
    </dataValidation>
    <dataValidation type="list" allowBlank="1" sqref="G39:I39">
      <formula1>'Enums'!C2707:C2708</formula1>
    </dataValidation>
    <dataValidation type="list" allowBlank="1" sqref="G42:I42">
      <formula1>'Enums'!C2707:C2708</formula1>
    </dataValidation>
    <dataValidation type="list" allowBlank="1" sqref="G45:I45">
      <formula1>'Enums'!C2707:C2708</formula1>
    </dataValidation>
    <dataValidation type="list" allowBlank="1" sqref="G6:I6">
      <formula1>'Enums'!C2707:C2708</formula1>
    </dataValidation>
    <dataValidation type="list" allowBlank="1" sqref="G9:I9">
      <formula1>'Enums'!C2707:C2708</formula1>
    </dataValidation>
  </dataValidations>
  <hyperlinks>
    <hyperlink ref="B5" r:id="rId1" location="#'Yes or no with comments'!A1"/>
    <hyperlink ref="B8" r:id="rId2" location="#'Yes or no with comments'!A1"/>
    <hyperlink ref="B11" r:id="rId3" location="#'Yes or no with comments'!A1"/>
    <hyperlink ref="B14" r:id="rId4" location="#'Yes or no with comments'!A1"/>
    <hyperlink ref="B17" r:id="rId5" location="#'Yes or no with comments'!A1"/>
    <hyperlink ref="B20" r:id="rId6" location="#'Yes or no with comments'!A1"/>
    <hyperlink ref="B23" r:id="rId7" location="#'Yes or no with comments'!A1"/>
    <hyperlink ref="B26" r:id="rId8" location="#'Yes or no with comments'!A1"/>
    <hyperlink ref="B29" r:id="rId9" location="#'Yes or no with comments'!A1"/>
    <hyperlink ref="B32" r:id="rId10" location="#'Yes or no with comments'!A1"/>
    <hyperlink ref="B35" r:id="rId11" location="#'Yes or no with comments'!A1"/>
    <hyperlink ref="B38" r:id="rId12" location="#'Yes or no with comments'!A1"/>
    <hyperlink ref="B41" r:id="rId13" location="#'Yes or no with comments'!A1"/>
    <hyperlink ref="B44" r:id="rId14" location="#'Yes or no with comm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184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133</v>
      </c>
      <c r="C5" s="5" t="s">
        <v>187</v>
      </c>
      <c r="D5" s="5"/>
      <c r="E5" s="5" t="s">
        <v>21</v>
      </c>
      <c r="F5" s="5" t="s">
        <v>17</v>
      </c>
      <c r="G5" s="5" t="s">
        <v>1594</v>
      </c>
      <c r="H5" s="5" t="s">
        <v>2</v>
      </c>
      <c r="I5" s="5" t="s">
        <v>2</v>
      </c>
      <c r="J5" s="5" t="s">
        <v>23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823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44</v>
      </c>
      <c r="C5" s="12" t="s">
        <v>826</v>
      </c>
      <c r="D5" s="5"/>
      <c r="E5" s="5" t="s">
        <v>827</v>
      </c>
      <c r="F5" s="5" t="s">
        <v>17</v>
      </c>
      <c r="G5" s="5" t="s">
        <v>15</v>
      </c>
      <c r="H5" s="5" t="s">
        <v>2</v>
      </c>
      <c r="I5" s="5" t="s">
        <v>2</v>
      </c>
      <c r="J5" s="5" t="s">
        <v>828</v>
      </c>
    </row>
    <row r="6" spans="1:10" x14ac:dyDescent="0.25">
      <c r="A6" s="5" t="s">
        <v>17</v>
      </c>
      <c r="B6" s="5" t="s">
        <v>20</v>
      </c>
      <c r="C6" s="5" t="s">
        <v>2</v>
      </c>
      <c r="D6" s="5"/>
      <c r="E6" s="5" t="s">
        <v>76</v>
      </c>
      <c r="F6" s="5" t="s">
        <v>17</v>
      </c>
      <c r="G6" s="5" t="s">
        <v>22</v>
      </c>
      <c r="H6" s="5" t="s">
        <v>2</v>
      </c>
      <c r="I6" s="5" t="s">
        <v>2</v>
      </c>
      <c r="J6" s="5" t="s">
        <v>78</v>
      </c>
    </row>
  </sheetData>
  <mergeCells count="3">
    <mergeCell ref="A1:J1"/>
    <mergeCell ref="B2:J2"/>
    <mergeCell ref="B3:J3"/>
  </mergeCells>
  <dataValidations count="1">
    <dataValidation type="list" allowBlank="1" sqref="G5:I5">
      <formula1>'Enums'!C2707:C2708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1595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1075</v>
      </c>
      <c r="C5" s="5" t="s">
        <v>2</v>
      </c>
      <c r="D5" s="5"/>
      <c r="E5" s="5" t="s">
        <v>1073</v>
      </c>
      <c r="F5" s="5" t="s">
        <v>15</v>
      </c>
      <c r="G5" s="5" t="s">
        <v>2</v>
      </c>
      <c r="H5" s="5" t="s">
        <v>2</v>
      </c>
      <c r="I5" s="5" t="s">
        <v>2</v>
      </c>
      <c r="J5" s="5" t="s">
        <v>1074</v>
      </c>
    </row>
    <row r="6" spans="1:10" x14ac:dyDescent="0.25" outlineLevel="1" collapsed="1">
      <c r="A6" s="7" t="s">
        <v>15</v>
      </c>
      <c r="B6" s="7" t="s">
        <v>356</v>
      </c>
      <c r="C6" s="7" t="s">
        <v>2</v>
      </c>
      <c r="D6" s="7"/>
      <c r="E6" s="7" t="s">
        <v>432</v>
      </c>
      <c r="F6" s="7" t="s">
        <v>17</v>
      </c>
      <c r="G6" s="7" t="s">
        <v>2</v>
      </c>
      <c r="H6" s="7" t="s">
        <v>2</v>
      </c>
      <c r="I6" s="7" t="s">
        <v>2</v>
      </c>
      <c r="J6" s="7" t="s">
        <v>433</v>
      </c>
    </row>
    <row r="7" spans="1:10" x14ac:dyDescent="0.25" outlineLevel="1" collapsed="1">
      <c r="A7" s="8" t="s">
        <v>15</v>
      </c>
      <c r="B7" s="9" t="s">
        <v>1076</v>
      </c>
      <c r="C7" s="8" t="s">
        <v>2</v>
      </c>
      <c r="D7" s="8"/>
      <c r="E7" s="8" t="s">
        <v>1073</v>
      </c>
      <c r="F7" s="8" t="s">
        <v>15</v>
      </c>
      <c r="G7" s="8" t="s">
        <v>2</v>
      </c>
      <c r="H7" s="8" t="s">
        <v>2</v>
      </c>
      <c r="I7" s="8" t="s">
        <v>2</v>
      </c>
      <c r="J7" s="8" t="s">
        <v>1077</v>
      </c>
    </row>
    <row r="8" spans="1:10" x14ac:dyDescent="0.25" outlineLevel="2" collapsed="1">
      <c r="A8" s="7" t="s">
        <v>15</v>
      </c>
      <c r="B8" s="7" t="s">
        <v>20</v>
      </c>
      <c r="C8" s="7" t="s">
        <v>2</v>
      </c>
      <c r="D8" s="7"/>
      <c r="E8" s="7" t="s">
        <v>1078</v>
      </c>
      <c r="F8" s="7" t="s">
        <v>17</v>
      </c>
      <c r="G8" s="7" t="s">
        <v>22</v>
      </c>
      <c r="H8" s="7" t="s">
        <v>2</v>
      </c>
      <c r="I8" s="7" t="s">
        <v>2</v>
      </c>
      <c r="J8" s="7" t="s">
        <v>1079</v>
      </c>
    </row>
    <row r="9" spans="1:10" x14ac:dyDescent="0.25" outlineLevel="2" collapsed="1">
      <c r="A9" s="7" t="s">
        <v>15</v>
      </c>
      <c r="B9" s="7" t="s">
        <v>133</v>
      </c>
      <c r="C9" s="7" t="s">
        <v>1065</v>
      </c>
      <c r="D9" s="7"/>
      <c r="E9" s="7" t="s">
        <v>1080</v>
      </c>
      <c r="F9" s="7" t="s">
        <v>17</v>
      </c>
      <c r="G9" s="7" t="s">
        <v>1596</v>
      </c>
      <c r="H9" s="7" t="s">
        <v>2</v>
      </c>
      <c r="I9" s="7" t="s">
        <v>2</v>
      </c>
      <c r="J9" s="7" t="s">
        <v>1082</v>
      </c>
    </row>
    <row r="10" spans="1:10" x14ac:dyDescent="0.25" outlineLevel="2" collapsed="1">
      <c r="A10" s="7" t="s">
        <v>15</v>
      </c>
      <c r="B10" s="7" t="s">
        <v>20</v>
      </c>
      <c r="C10" s="7" t="s">
        <v>2</v>
      </c>
      <c r="D10" s="7"/>
      <c r="E10" s="7" t="s">
        <v>1083</v>
      </c>
      <c r="F10" s="7" t="s">
        <v>17</v>
      </c>
      <c r="G10" s="7" t="s">
        <v>22</v>
      </c>
      <c r="H10" s="7" t="s">
        <v>2</v>
      </c>
      <c r="I10" s="7" t="s">
        <v>2</v>
      </c>
      <c r="J10" s="7" t="s">
        <v>1084</v>
      </c>
    </row>
  </sheetData>
  <mergeCells count="3">
    <mergeCell ref="A1:J1"/>
    <mergeCell ref="B2:J2"/>
    <mergeCell ref="B3:J3"/>
  </mergeCells>
  <hyperlinks>
    <hyperlink ref="B5" r:id="rId1" location="#'Baseline Treatment Method - 2'!A1"/>
    <hyperlink ref="B7" r:id="rId2" location="#'Baseline Treatment Method - I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910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823</v>
      </c>
      <c r="C5" s="5" t="s">
        <v>2</v>
      </c>
      <c r="D5" s="5"/>
      <c r="E5" s="5" t="s">
        <v>913</v>
      </c>
      <c r="F5" s="5" t="s">
        <v>17</v>
      </c>
      <c r="G5" s="5" t="s">
        <v>2</v>
      </c>
      <c r="H5" s="5" t="s">
        <v>2</v>
      </c>
      <c r="I5" s="5" t="s">
        <v>2</v>
      </c>
      <c r="J5" s="5" t="s">
        <v>914</v>
      </c>
    </row>
    <row r="6" spans="1:10" x14ac:dyDescent="0.25" outlineLevel="1" collapsed="1">
      <c r="A6" s="7" t="s">
        <v>15</v>
      </c>
      <c r="B6" s="7" t="s">
        <v>44</v>
      </c>
      <c r="C6" s="10" t="s">
        <v>826</v>
      </c>
      <c r="D6" s="7"/>
      <c r="E6" s="7" t="s">
        <v>827</v>
      </c>
      <c r="F6" s="7" t="s">
        <v>17</v>
      </c>
      <c r="G6" s="7" t="s">
        <v>15</v>
      </c>
      <c r="H6" s="7" t="s">
        <v>2</v>
      </c>
      <c r="I6" s="7" t="s">
        <v>2</v>
      </c>
      <c r="J6" s="7" t="s">
        <v>828</v>
      </c>
    </row>
    <row r="7" spans="1:10" x14ac:dyDescent="0.25" outlineLevel="1" collapsed="1">
      <c r="A7" s="7" t="s">
        <v>17</v>
      </c>
      <c r="B7" s="7" t="s">
        <v>20</v>
      </c>
      <c r="C7" s="7" t="s">
        <v>2</v>
      </c>
      <c r="D7" s="7"/>
      <c r="E7" s="7" t="s">
        <v>76</v>
      </c>
      <c r="F7" s="7" t="s">
        <v>17</v>
      </c>
      <c r="G7" s="7" t="s">
        <v>22</v>
      </c>
      <c r="H7" s="7" t="s">
        <v>2</v>
      </c>
      <c r="I7" s="7" t="s">
        <v>2</v>
      </c>
      <c r="J7" s="7" t="s">
        <v>78</v>
      </c>
    </row>
    <row r="8" spans="1:10" x14ac:dyDescent="0.25">
      <c r="A8" s="5" t="s">
        <v>15</v>
      </c>
      <c r="B8" s="6" t="s">
        <v>823</v>
      </c>
      <c r="C8" s="5" t="s">
        <v>2</v>
      </c>
      <c r="D8" s="5"/>
      <c r="E8" s="5" t="s">
        <v>915</v>
      </c>
      <c r="F8" s="5" t="s">
        <v>17</v>
      </c>
      <c r="G8" s="5" t="s">
        <v>2</v>
      </c>
      <c r="H8" s="5" t="s">
        <v>2</v>
      </c>
      <c r="I8" s="5" t="s">
        <v>2</v>
      </c>
      <c r="J8" s="5" t="s">
        <v>916</v>
      </c>
    </row>
    <row r="9" spans="1:10" x14ac:dyDescent="0.25" outlineLevel="1" collapsed="1">
      <c r="A9" s="7" t="s">
        <v>15</v>
      </c>
      <c r="B9" s="7" t="s">
        <v>44</v>
      </c>
      <c r="C9" s="10" t="s">
        <v>826</v>
      </c>
      <c r="D9" s="7"/>
      <c r="E9" s="7" t="s">
        <v>827</v>
      </c>
      <c r="F9" s="7" t="s">
        <v>17</v>
      </c>
      <c r="G9" s="7" t="s">
        <v>15</v>
      </c>
      <c r="H9" s="7" t="s">
        <v>2</v>
      </c>
      <c r="I9" s="7" t="s">
        <v>2</v>
      </c>
      <c r="J9" s="7" t="s">
        <v>828</v>
      </c>
    </row>
    <row r="10" spans="1:10" x14ac:dyDescent="0.25" outlineLevel="1" collapsed="1">
      <c r="A10" s="7" t="s">
        <v>17</v>
      </c>
      <c r="B10" s="7" t="s">
        <v>20</v>
      </c>
      <c r="C10" s="7" t="s">
        <v>2</v>
      </c>
      <c r="D10" s="7"/>
      <c r="E10" s="7" t="s">
        <v>76</v>
      </c>
      <c r="F10" s="7" t="s">
        <v>17</v>
      </c>
      <c r="G10" s="7" t="s">
        <v>22</v>
      </c>
      <c r="H10" s="7" t="s">
        <v>2</v>
      </c>
      <c r="I10" s="7" t="s">
        <v>2</v>
      </c>
      <c r="J10" s="7" t="s">
        <v>78</v>
      </c>
    </row>
    <row r="11" spans="1:10" x14ac:dyDescent="0.25">
      <c r="A11" s="5" t="s">
        <v>15</v>
      </c>
      <c r="B11" s="6" t="s">
        <v>823</v>
      </c>
      <c r="C11" s="5" t="s">
        <v>2</v>
      </c>
      <c r="D11" s="5"/>
      <c r="E11" s="5" t="s">
        <v>917</v>
      </c>
      <c r="F11" s="5" t="s">
        <v>17</v>
      </c>
      <c r="G11" s="5" t="s">
        <v>2</v>
      </c>
      <c r="H11" s="5" t="s">
        <v>2</v>
      </c>
      <c r="I11" s="5" t="s">
        <v>2</v>
      </c>
      <c r="J11" s="5" t="s">
        <v>918</v>
      </c>
    </row>
    <row r="12" spans="1:10" x14ac:dyDescent="0.25" outlineLevel="1" collapsed="1">
      <c r="A12" s="7" t="s">
        <v>15</v>
      </c>
      <c r="B12" s="7" t="s">
        <v>44</v>
      </c>
      <c r="C12" s="10" t="s">
        <v>826</v>
      </c>
      <c r="D12" s="7"/>
      <c r="E12" s="7" t="s">
        <v>827</v>
      </c>
      <c r="F12" s="7" t="s">
        <v>17</v>
      </c>
      <c r="G12" s="7" t="s">
        <v>15</v>
      </c>
      <c r="H12" s="7" t="s">
        <v>2</v>
      </c>
      <c r="I12" s="7" t="s">
        <v>2</v>
      </c>
      <c r="J12" s="7" t="s">
        <v>828</v>
      </c>
    </row>
    <row r="13" spans="1:10" x14ac:dyDescent="0.25" outlineLevel="1" collapsed="1">
      <c r="A13" s="7" t="s">
        <v>17</v>
      </c>
      <c r="B13" s="7" t="s">
        <v>20</v>
      </c>
      <c r="C13" s="7" t="s">
        <v>2</v>
      </c>
      <c r="D13" s="7"/>
      <c r="E13" s="7" t="s">
        <v>76</v>
      </c>
      <c r="F13" s="7" t="s">
        <v>17</v>
      </c>
      <c r="G13" s="7" t="s">
        <v>22</v>
      </c>
      <c r="H13" s="7" t="s">
        <v>2</v>
      </c>
      <c r="I13" s="7" t="s">
        <v>2</v>
      </c>
      <c r="J13" s="7" t="s">
        <v>78</v>
      </c>
    </row>
    <row r="14" spans="1:10" x14ac:dyDescent="0.25">
      <c r="A14" s="5" t="s">
        <v>15</v>
      </c>
      <c r="B14" s="6" t="s">
        <v>823</v>
      </c>
      <c r="C14" s="5" t="s">
        <v>2</v>
      </c>
      <c r="D14" s="5"/>
      <c r="E14" s="5" t="s">
        <v>919</v>
      </c>
      <c r="F14" s="5" t="s">
        <v>17</v>
      </c>
      <c r="G14" s="5" t="s">
        <v>2</v>
      </c>
      <c r="H14" s="5" t="s">
        <v>2</v>
      </c>
      <c r="I14" s="5" t="s">
        <v>2</v>
      </c>
      <c r="J14" s="5" t="s">
        <v>920</v>
      </c>
    </row>
    <row r="15" spans="1:10" x14ac:dyDescent="0.25" outlineLevel="1" collapsed="1">
      <c r="A15" s="7" t="s">
        <v>15</v>
      </c>
      <c r="B15" s="7" t="s">
        <v>44</v>
      </c>
      <c r="C15" s="10" t="s">
        <v>826</v>
      </c>
      <c r="D15" s="7"/>
      <c r="E15" s="7" t="s">
        <v>827</v>
      </c>
      <c r="F15" s="7" t="s">
        <v>17</v>
      </c>
      <c r="G15" s="7" t="s">
        <v>15</v>
      </c>
      <c r="H15" s="7" t="s">
        <v>2</v>
      </c>
      <c r="I15" s="7" t="s">
        <v>2</v>
      </c>
      <c r="J15" s="7" t="s">
        <v>828</v>
      </c>
    </row>
    <row r="16" spans="1:10" x14ac:dyDescent="0.25" outlineLevel="1" collapsed="1">
      <c r="A16" s="7" t="s">
        <v>17</v>
      </c>
      <c r="B16" s="7" t="s">
        <v>20</v>
      </c>
      <c r="C16" s="7" t="s">
        <v>2</v>
      </c>
      <c r="D16" s="7"/>
      <c r="E16" s="7" t="s">
        <v>76</v>
      </c>
      <c r="F16" s="7" t="s">
        <v>17</v>
      </c>
      <c r="G16" s="7" t="s">
        <v>22</v>
      </c>
      <c r="H16" s="7" t="s">
        <v>2</v>
      </c>
      <c r="I16" s="7" t="s">
        <v>2</v>
      </c>
      <c r="J16" s="7" t="s">
        <v>78</v>
      </c>
    </row>
    <row r="17" spans="1:10" x14ac:dyDescent="0.25">
      <c r="A17" s="5" t="s">
        <v>15</v>
      </c>
      <c r="B17" s="6" t="s">
        <v>823</v>
      </c>
      <c r="C17" s="5" t="s">
        <v>2</v>
      </c>
      <c r="D17" s="5"/>
      <c r="E17" s="5" t="s">
        <v>921</v>
      </c>
      <c r="F17" s="5" t="s">
        <v>17</v>
      </c>
      <c r="G17" s="5" t="s">
        <v>2</v>
      </c>
      <c r="H17" s="5" t="s">
        <v>2</v>
      </c>
      <c r="I17" s="5" t="s">
        <v>2</v>
      </c>
      <c r="J17" s="5" t="s">
        <v>922</v>
      </c>
    </row>
    <row r="18" spans="1:10" x14ac:dyDescent="0.25" outlineLevel="1" collapsed="1">
      <c r="A18" s="7" t="s">
        <v>15</v>
      </c>
      <c r="B18" s="7" t="s">
        <v>44</v>
      </c>
      <c r="C18" s="10" t="s">
        <v>826</v>
      </c>
      <c r="D18" s="7"/>
      <c r="E18" s="7" t="s">
        <v>827</v>
      </c>
      <c r="F18" s="7" t="s">
        <v>17</v>
      </c>
      <c r="G18" s="7" t="s">
        <v>15</v>
      </c>
      <c r="H18" s="7" t="s">
        <v>2</v>
      </c>
      <c r="I18" s="7" t="s">
        <v>2</v>
      </c>
      <c r="J18" s="7" t="s">
        <v>828</v>
      </c>
    </row>
    <row r="19" spans="1:10" x14ac:dyDescent="0.25" outlineLevel="1" collapsed="1">
      <c r="A19" s="7" t="s">
        <v>17</v>
      </c>
      <c r="B19" s="7" t="s">
        <v>20</v>
      </c>
      <c r="C19" s="7" t="s">
        <v>2</v>
      </c>
      <c r="D19" s="7"/>
      <c r="E19" s="7" t="s">
        <v>76</v>
      </c>
      <c r="F19" s="7" t="s">
        <v>17</v>
      </c>
      <c r="G19" s="7" t="s">
        <v>22</v>
      </c>
      <c r="H19" s="7" t="s">
        <v>2</v>
      </c>
      <c r="I19" s="7" t="s">
        <v>2</v>
      </c>
      <c r="J19" s="7" t="s">
        <v>78</v>
      </c>
    </row>
    <row r="20" spans="1:10" x14ac:dyDescent="0.25">
      <c r="A20" s="5" t="s">
        <v>15</v>
      </c>
      <c r="B20" s="6" t="s">
        <v>823</v>
      </c>
      <c r="C20" s="5" t="s">
        <v>2</v>
      </c>
      <c r="D20" s="5"/>
      <c r="E20" s="5" t="s">
        <v>923</v>
      </c>
      <c r="F20" s="5" t="s">
        <v>17</v>
      </c>
      <c r="G20" s="5" t="s">
        <v>2</v>
      </c>
      <c r="H20" s="5" t="s">
        <v>2</v>
      </c>
      <c r="I20" s="5" t="s">
        <v>2</v>
      </c>
      <c r="J20" s="5" t="s">
        <v>924</v>
      </c>
    </row>
    <row r="21" spans="1:10" x14ac:dyDescent="0.25" outlineLevel="1" collapsed="1">
      <c r="A21" s="7" t="s">
        <v>15</v>
      </c>
      <c r="B21" s="7" t="s">
        <v>44</v>
      </c>
      <c r="C21" s="10" t="s">
        <v>826</v>
      </c>
      <c r="D21" s="7"/>
      <c r="E21" s="7" t="s">
        <v>827</v>
      </c>
      <c r="F21" s="7" t="s">
        <v>17</v>
      </c>
      <c r="G21" s="7" t="s">
        <v>15</v>
      </c>
      <c r="H21" s="7" t="s">
        <v>2</v>
      </c>
      <c r="I21" s="7" t="s">
        <v>2</v>
      </c>
      <c r="J21" s="7" t="s">
        <v>828</v>
      </c>
    </row>
    <row r="22" spans="1:10" x14ac:dyDescent="0.25" outlineLevel="1" collapsed="1">
      <c r="A22" s="7" t="s">
        <v>17</v>
      </c>
      <c r="B22" s="7" t="s">
        <v>20</v>
      </c>
      <c r="C22" s="7" t="s">
        <v>2</v>
      </c>
      <c r="D22" s="7"/>
      <c r="E22" s="7" t="s">
        <v>76</v>
      </c>
      <c r="F22" s="7" t="s">
        <v>17</v>
      </c>
      <c r="G22" s="7" t="s">
        <v>22</v>
      </c>
      <c r="H22" s="7" t="s">
        <v>2</v>
      </c>
      <c r="I22" s="7" t="s">
        <v>2</v>
      </c>
      <c r="J22" s="7" t="s">
        <v>78</v>
      </c>
    </row>
    <row r="23" spans="1:10" x14ac:dyDescent="0.25">
      <c r="A23" s="5" t="s">
        <v>15</v>
      </c>
      <c r="B23" s="6" t="s">
        <v>823</v>
      </c>
      <c r="C23" s="5" t="s">
        <v>2</v>
      </c>
      <c r="D23" s="5"/>
      <c r="E23" s="5" t="s">
        <v>925</v>
      </c>
      <c r="F23" s="5" t="s">
        <v>17</v>
      </c>
      <c r="G23" s="5" t="s">
        <v>2</v>
      </c>
      <c r="H23" s="5" t="s">
        <v>2</v>
      </c>
      <c r="I23" s="5" t="s">
        <v>2</v>
      </c>
      <c r="J23" s="5" t="s">
        <v>926</v>
      </c>
    </row>
    <row r="24" spans="1:10" x14ac:dyDescent="0.25" outlineLevel="1" collapsed="1">
      <c r="A24" s="7" t="s">
        <v>15</v>
      </c>
      <c r="B24" s="7" t="s">
        <v>44</v>
      </c>
      <c r="C24" s="10" t="s">
        <v>826</v>
      </c>
      <c r="D24" s="7"/>
      <c r="E24" s="7" t="s">
        <v>827</v>
      </c>
      <c r="F24" s="7" t="s">
        <v>17</v>
      </c>
      <c r="G24" s="7" t="s">
        <v>15</v>
      </c>
      <c r="H24" s="7" t="s">
        <v>2</v>
      </c>
      <c r="I24" s="7" t="s">
        <v>2</v>
      </c>
      <c r="J24" s="7" t="s">
        <v>828</v>
      </c>
    </row>
    <row r="25" spans="1:10" x14ac:dyDescent="0.25" outlineLevel="1" collapsed="1">
      <c r="A25" s="7" t="s">
        <v>17</v>
      </c>
      <c r="B25" s="7" t="s">
        <v>20</v>
      </c>
      <c r="C25" s="7" t="s">
        <v>2</v>
      </c>
      <c r="D25" s="7"/>
      <c r="E25" s="7" t="s">
        <v>76</v>
      </c>
      <c r="F25" s="7" t="s">
        <v>17</v>
      </c>
      <c r="G25" s="7" t="s">
        <v>22</v>
      </c>
      <c r="H25" s="7" t="s">
        <v>2</v>
      </c>
      <c r="I25" s="7" t="s">
        <v>2</v>
      </c>
      <c r="J25" s="7" t="s">
        <v>78</v>
      </c>
    </row>
    <row r="26" spans="1:10" x14ac:dyDescent="0.25">
      <c r="A26" s="5" t="s">
        <v>15</v>
      </c>
      <c r="B26" s="6" t="s">
        <v>823</v>
      </c>
      <c r="C26" s="5" t="s">
        <v>2</v>
      </c>
      <c r="D26" s="5"/>
      <c r="E26" s="5" t="s">
        <v>927</v>
      </c>
      <c r="F26" s="5" t="s">
        <v>17</v>
      </c>
      <c r="G26" s="5" t="s">
        <v>2</v>
      </c>
      <c r="H26" s="5" t="s">
        <v>2</v>
      </c>
      <c r="I26" s="5" t="s">
        <v>2</v>
      </c>
      <c r="J26" s="5" t="s">
        <v>928</v>
      </c>
    </row>
    <row r="27" spans="1:10" x14ac:dyDescent="0.25" outlineLevel="1" collapsed="1">
      <c r="A27" s="7" t="s">
        <v>15</v>
      </c>
      <c r="B27" s="7" t="s">
        <v>44</v>
      </c>
      <c r="C27" s="10" t="s">
        <v>826</v>
      </c>
      <c r="D27" s="7"/>
      <c r="E27" s="7" t="s">
        <v>827</v>
      </c>
      <c r="F27" s="7" t="s">
        <v>17</v>
      </c>
      <c r="G27" s="7" t="s">
        <v>15</v>
      </c>
      <c r="H27" s="7" t="s">
        <v>2</v>
      </c>
      <c r="I27" s="7" t="s">
        <v>2</v>
      </c>
      <c r="J27" s="7" t="s">
        <v>828</v>
      </c>
    </row>
    <row r="28" spans="1:10" x14ac:dyDescent="0.25" outlineLevel="1" collapsed="1">
      <c r="A28" s="7" t="s">
        <v>17</v>
      </c>
      <c r="B28" s="7" t="s">
        <v>20</v>
      </c>
      <c r="C28" s="7" t="s">
        <v>2</v>
      </c>
      <c r="D28" s="7"/>
      <c r="E28" s="7" t="s">
        <v>76</v>
      </c>
      <c r="F28" s="7" t="s">
        <v>17</v>
      </c>
      <c r="G28" s="7" t="s">
        <v>22</v>
      </c>
      <c r="H28" s="7" t="s">
        <v>2</v>
      </c>
      <c r="I28" s="7" t="s">
        <v>2</v>
      </c>
      <c r="J28" s="7" t="s">
        <v>78</v>
      </c>
    </row>
  </sheetData>
  <mergeCells count="3">
    <mergeCell ref="A1:J1"/>
    <mergeCell ref="B2:J2"/>
    <mergeCell ref="B3:J3"/>
  </mergeCells>
  <dataValidations count="8">
    <dataValidation type="list" allowBlank="1" sqref="G12:I12">
      <formula1>'Enums'!C2707:C2708</formula1>
    </dataValidation>
    <dataValidation type="list" allowBlank="1" sqref="G15:I15">
      <formula1>'Enums'!C2707:C2708</formula1>
    </dataValidation>
    <dataValidation type="list" allowBlank="1" sqref="G18:I18">
      <formula1>'Enums'!C2707:C2708</formula1>
    </dataValidation>
    <dataValidation type="list" allowBlank="1" sqref="G21:I21">
      <formula1>'Enums'!C2707:C2708</formula1>
    </dataValidation>
    <dataValidation type="list" allowBlank="1" sqref="G24:I24">
      <formula1>'Enums'!C2707:C2708</formula1>
    </dataValidation>
    <dataValidation type="list" allowBlank="1" sqref="G27:I27">
      <formula1>'Enums'!C2707:C2708</formula1>
    </dataValidation>
    <dataValidation type="list" allowBlank="1" sqref="G6:I6">
      <formula1>'Enums'!C2707:C2708</formula1>
    </dataValidation>
    <dataValidation type="list" allowBlank="1" sqref="G9:I9">
      <formula1>'Enums'!C2707:C2708</formula1>
    </dataValidation>
  </dataValidations>
  <hyperlinks>
    <hyperlink ref="B5" r:id="rId1" location="#'Yes or no with comments'!A1"/>
    <hyperlink ref="B8" r:id="rId2" location="#'Yes or no with comments'!A1"/>
    <hyperlink ref="B11" r:id="rId3" location="#'Yes or no with comments'!A1"/>
    <hyperlink ref="B14" r:id="rId4" location="#'Yes or no with comments'!A1"/>
    <hyperlink ref="B17" r:id="rId5" location="#'Yes or no with comments'!A1"/>
    <hyperlink ref="B20" r:id="rId6" location="#'Yes or no with comments'!A1"/>
    <hyperlink ref="B23" r:id="rId7" location="#'Yes or no with comments'!A1"/>
    <hyperlink ref="B26" r:id="rId8" location="#'Yes or no with comm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5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1597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194</v>
      </c>
      <c r="C5" s="5" t="s">
        <v>2</v>
      </c>
      <c r="D5" s="5"/>
      <c r="E5" s="5" t="s">
        <v>1215</v>
      </c>
      <c r="F5" s="5" t="s">
        <v>17</v>
      </c>
      <c r="G5" s="5">
        <v>1</v>
      </c>
      <c r="H5" s="5" t="s">
        <v>2</v>
      </c>
      <c r="I5" s="5" t="s">
        <v>2</v>
      </c>
      <c r="J5" s="5" t="s">
        <v>1216</v>
      </c>
    </row>
    <row r="6" spans="1:10" x14ac:dyDescent="0.25">
      <c r="A6" s="5" t="s">
        <v>15</v>
      </c>
      <c r="B6" s="5" t="s">
        <v>194</v>
      </c>
      <c r="C6" s="5" t="s">
        <v>2</v>
      </c>
      <c r="D6" s="5"/>
      <c r="E6" s="5" t="s">
        <v>1217</v>
      </c>
      <c r="F6" s="5" t="s">
        <v>17</v>
      </c>
      <c r="G6" s="5">
        <v>1</v>
      </c>
      <c r="H6" s="5" t="s">
        <v>2</v>
      </c>
      <c r="I6" s="5" t="s">
        <v>2</v>
      </c>
      <c r="J6" s="5" t="s">
        <v>1218</v>
      </c>
    </row>
    <row r="7" spans="1:10" x14ac:dyDescent="0.25">
      <c r="A7" s="5" t="s">
        <v>15</v>
      </c>
      <c r="B7" s="5" t="s">
        <v>47</v>
      </c>
      <c r="C7" s="5" t="s">
        <v>2</v>
      </c>
      <c r="D7" s="5"/>
      <c r="E7" s="5" t="s">
        <v>1219</v>
      </c>
      <c r="F7" s="5" t="s">
        <v>17</v>
      </c>
      <c r="G7" s="5" t="b">
        <v>1</v>
      </c>
      <c r="H7" s="5" t="s">
        <v>2</v>
      </c>
      <c r="I7" s="5" t="s">
        <v>2</v>
      </c>
      <c r="J7" s="5" t="s">
        <v>1220</v>
      </c>
    </row>
    <row r="8" spans="1:10" x14ac:dyDescent="0.25">
      <c r="A8" s="5" t="s">
        <v>15</v>
      </c>
      <c r="B8" s="5" t="s">
        <v>47</v>
      </c>
      <c r="C8" s="5" t="s">
        <v>2</v>
      </c>
      <c r="D8" s="5"/>
      <c r="E8" s="5" t="s">
        <v>1221</v>
      </c>
      <c r="F8" s="5" t="s">
        <v>17</v>
      </c>
      <c r="G8" s="5" t="b">
        <v>1</v>
      </c>
      <c r="H8" s="5" t="s">
        <v>2</v>
      </c>
      <c r="I8" s="5" t="s">
        <v>2</v>
      </c>
      <c r="J8" s="5" t="s">
        <v>1222</v>
      </c>
    </row>
    <row r="9" spans="1:10" x14ac:dyDescent="0.25">
      <c r="A9" s="5" t="s">
        <v>15</v>
      </c>
      <c r="B9" s="5" t="s">
        <v>20</v>
      </c>
      <c r="C9" s="5" t="s">
        <v>2</v>
      </c>
      <c r="D9" s="5"/>
      <c r="E9" s="5" t="s">
        <v>1223</v>
      </c>
      <c r="F9" s="5" t="s">
        <v>17</v>
      </c>
      <c r="G9" s="5" t="s">
        <v>22</v>
      </c>
      <c r="H9" s="5" t="s">
        <v>2</v>
      </c>
      <c r="I9" s="5" t="s">
        <v>2</v>
      </c>
      <c r="J9" s="5" t="s">
        <v>1224</v>
      </c>
    </row>
    <row r="10" spans="1:10" x14ac:dyDescent="0.25">
      <c r="A10" s="5" t="s">
        <v>15</v>
      </c>
      <c r="B10" s="6" t="s">
        <v>1225</v>
      </c>
      <c r="C10" s="5" t="s">
        <v>2</v>
      </c>
      <c r="D10" s="5"/>
      <c r="E10" s="5" t="s">
        <v>1226</v>
      </c>
      <c r="F10" s="5" t="s">
        <v>17</v>
      </c>
      <c r="G10" s="5" t="s">
        <v>2</v>
      </c>
      <c r="H10" s="5" t="s">
        <v>2</v>
      </c>
      <c r="I10" s="5" t="s">
        <v>2</v>
      </c>
      <c r="J10" s="5" t="s">
        <v>1227</v>
      </c>
    </row>
    <row r="11" spans="1:10" x14ac:dyDescent="0.25" outlineLevel="1" collapsed="1">
      <c r="A11" s="8" t="s">
        <v>15</v>
      </c>
      <c r="B11" s="9" t="s">
        <v>1228</v>
      </c>
      <c r="C11" s="8" t="s">
        <v>2</v>
      </c>
      <c r="D11" s="8"/>
      <c r="E11" s="8" t="s">
        <v>1228</v>
      </c>
      <c r="F11" s="8" t="s">
        <v>15</v>
      </c>
      <c r="G11" s="8" t="s">
        <v>2</v>
      </c>
      <c r="H11" s="8" t="s">
        <v>2</v>
      </c>
      <c r="I11" s="8" t="s">
        <v>2</v>
      </c>
      <c r="J11" s="8" t="s">
        <v>1229</v>
      </c>
    </row>
    <row r="12" spans="1:10" x14ac:dyDescent="0.25" outlineLevel="2" collapsed="1">
      <c r="A12" s="7" t="s">
        <v>15</v>
      </c>
      <c r="B12" s="7" t="s">
        <v>20</v>
      </c>
      <c r="C12" s="7" t="s">
        <v>2</v>
      </c>
      <c r="D12" s="7"/>
      <c r="E12" s="7" t="s">
        <v>1228</v>
      </c>
      <c r="F12" s="7" t="s">
        <v>17</v>
      </c>
      <c r="G12" s="7" t="s">
        <v>22</v>
      </c>
      <c r="H12" s="7" t="s">
        <v>2</v>
      </c>
      <c r="I12" s="7" t="s">
        <v>2</v>
      </c>
      <c r="J12" s="7" t="s">
        <v>1230</v>
      </c>
    </row>
    <row r="13" spans="1:10" x14ac:dyDescent="0.25" outlineLevel="2" collapsed="1">
      <c r="A13" s="8" t="s">
        <v>15</v>
      </c>
      <c r="B13" s="9" t="s">
        <v>1231</v>
      </c>
      <c r="C13" s="8" t="s">
        <v>2</v>
      </c>
      <c r="D13" s="8"/>
      <c r="E13" s="8" t="s">
        <v>1232</v>
      </c>
      <c r="F13" s="8" t="s">
        <v>15</v>
      </c>
      <c r="G13" s="8" t="s">
        <v>2</v>
      </c>
      <c r="H13" s="8" t="s">
        <v>2</v>
      </c>
      <c r="I13" s="8" t="s">
        <v>2</v>
      </c>
      <c r="J13" s="8" t="s">
        <v>1233</v>
      </c>
    </row>
    <row r="14" spans="1:10" x14ac:dyDescent="0.25" outlineLevel="3" collapsed="1">
      <c r="A14" s="7" t="s">
        <v>15</v>
      </c>
      <c r="B14" s="7" t="s">
        <v>20</v>
      </c>
      <c r="C14" s="7" t="s">
        <v>2</v>
      </c>
      <c r="D14" s="7"/>
      <c r="E14" s="7" t="s">
        <v>1234</v>
      </c>
      <c r="F14" s="7" t="s">
        <v>17</v>
      </c>
      <c r="G14" s="7" t="s">
        <v>22</v>
      </c>
      <c r="H14" s="7" t="s">
        <v>2</v>
      </c>
      <c r="I14" s="7" t="s">
        <v>2</v>
      </c>
      <c r="J14" s="7" t="s">
        <v>1235</v>
      </c>
    </row>
    <row r="15" spans="1:10" x14ac:dyDescent="0.25" outlineLevel="3" collapsed="1">
      <c r="A15" s="7" t="s">
        <v>15</v>
      </c>
      <c r="B15" s="7" t="s">
        <v>47</v>
      </c>
      <c r="C15" s="7" t="s">
        <v>2</v>
      </c>
      <c r="D15" s="7"/>
      <c r="E15" s="7" t="s">
        <v>1236</v>
      </c>
      <c r="F15" s="7" t="s">
        <v>17</v>
      </c>
      <c r="G15" s="7" t="b">
        <v>1</v>
      </c>
      <c r="H15" s="7" t="s">
        <v>2</v>
      </c>
      <c r="I15" s="7" t="s">
        <v>2</v>
      </c>
      <c r="J15" s="7" t="s">
        <v>1237</v>
      </c>
    </row>
    <row r="16" spans="1:10" x14ac:dyDescent="0.25" outlineLevel="3" collapsed="1">
      <c r="A16" s="7" t="s">
        <v>15</v>
      </c>
      <c r="B16" s="7" t="s">
        <v>20</v>
      </c>
      <c r="C16" s="7" t="s">
        <v>2</v>
      </c>
      <c r="D16" s="7"/>
      <c r="E16" s="7" t="s">
        <v>1238</v>
      </c>
      <c r="F16" s="7" t="s">
        <v>17</v>
      </c>
      <c r="G16" s="7" t="s">
        <v>22</v>
      </c>
      <c r="H16" s="7" t="s">
        <v>2</v>
      </c>
      <c r="I16" s="7" t="s">
        <v>2</v>
      </c>
      <c r="J16" s="7" t="s">
        <v>1239</v>
      </c>
    </row>
    <row r="17" spans="1:10" x14ac:dyDescent="0.25">
      <c r="A17" s="5" t="s">
        <v>15</v>
      </c>
      <c r="B17" s="6" t="s">
        <v>1240</v>
      </c>
      <c r="C17" s="5" t="s">
        <v>2</v>
      </c>
      <c r="D17" s="5"/>
      <c r="E17" s="5" t="s">
        <v>1241</v>
      </c>
      <c r="F17" s="5" t="s">
        <v>17</v>
      </c>
      <c r="G17" s="5" t="s">
        <v>2</v>
      </c>
      <c r="H17" s="5" t="s">
        <v>2</v>
      </c>
      <c r="I17" s="5" t="s">
        <v>2</v>
      </c>
      <c r="J17" s="5" t="s">
        <v>1242</v>
      </c>
    </row>
    <row r="18" spans="1:10" x14ac:dyDescent="0.25" outlineLevel="1" collapsed="1">
      <c r="A18" s="8" t="s">
        <v>15</v>
      </c>
      <c r="B18" s="9" t="s">
        <v>1228</v>
      </c>
      <c r="C18" s="8" t="s">
        <v>2</v>
      </c>
      <c r="D18" s="8"/>
      <c r="E18" s="8" t="s">
        <v>1228</v>
      </c>
      <c r="F18" s="8" t="s">
        <v>15</v>
      </c>
      <c r="G18" s="8" t="s">
        <v>2</v>
      </c>
      <c r="H18" s="8" t="s">
        <v>2</v>
      </c>
      <c r="I18" s="8" t="s">
        <v>2</v>
      </c>
      <c r="J18" s="8" t="s">
        <v>1243</v>
      </c>
    </row>
    <row r="19" spans="1:10" x14ac:dyDescent="0.25" outlineLevel="2" collapsed="1">
      <c r="A19" s="7" t="s">
        <v>15</v>
      </c>
      <c r="B19" s="7" t="s">
        <v>20</v>
      </c>
      <c r="C19" s="7" t="s">
        <v>2</v>
      </c>
      <c r="D19" s="7"/>
      <c r="E19" s="7" t="s">
        <v>1228</v>
      </c>
      <c r="F19" s="7" t="s">
        <v>17</v>
      </c>
      <c r="G19" s="7" t="s">
        <v>22</v>
      </c>
      <c r="H19" s="7" t="s">
        <v>2</v>
      </c>
      <c r="I19" s="7" t="s">
        <v>2</v>
      </c>
      <c r="J19" s="7" t="s">
        <v>1230</v>
      </c>
    </row>
    <row r="20" spans="1:10" x14ac:dyDescent="0.25" outlineLevel="2" collapsed="1">
      <c r="A20" s="8" t="s">
        <v>15</v>
      </c>
      <c r="B20" s="9" t="s">
        <v>1231</v>
      </c>
      <c r="C20" s="8" t="s">
        <v>2</v>
      </c>
      <c r="D20" s="8"/>
      <c r="E20" s="8" t="s">
        <v>1232</v>
      </c>
      <c r="F20" s="8" t="s">
        <v>15</v>
      </c>
      <c r="G20" s="8" t="s">
        <v>2</v>
      </c>
      <c r="H20" s="8" t="s">
        <v>2</v>
      </c>
      <c r="I20" s="8" t="s">
        <v>2</v>
      </c>
      <c r="J20" s="8" t="s">
        <v>1233</v>
      </c>
    </row>
    <row r="21" spans="1:10" x14ac:dyDescent="0.25" outlineLevel="3" collapsed="1">
      <c r="A21" s="7" t="s">
        <v>15</v>
      </c>
      <c r="B21" s="7" t="s">
        <v>20</v>
      </c>
      <c r="C21" s="7" t="s">
        <v>2</v>
      </c>
      <c r="D21" s="7"/>
      <c r="E21" s="7" t="s">
        <v>1234</v>
      </c>
      <c r="F21" s="7" t="s">
        <v>17</v>
      </c>
      <c r="G21" s="7" t="s">
        <v>22</v>
      </c>
      <c r="H21" s="7" t="s">
        <v>2</v>
      </c>
      <c r="I21" s="7" t="s">
        <v>2</v>
      </c>
      <c r="J21" s="7" t="s">
        <v>1235</v>
      </c>
    </row>
    <row r="22" spans="1:10" x14ac:dyDescent="0.25" outlineLevel="3" collapsed="1">
      <c r="A22" s="7" t="s">
        <v>15</v>
      </c>
      <c r="B22" s="7" t="s">
        <v>47</v>
      </c>
      <c r="C22" s="7" t="s">
        <v>2</v>
      </c>
      <c r="D22" s="7"/>
      <c r="E22" s="7" t="s">
        <v>1236</v>
      </c>
      <c r="F22" s="7" t="s">
        <v>17</v>
      </c>
      <c r="G22" s="7" t="b">
        <v>1</v>
      </c>
      <c r="H22" s="7" t="s">
        <v>2</v>
      </c>
      <c r="I22" s="7" t="s">
        <v>2</v>
      </c>
      <c r="J22" s="7" t="s">
        <v>1237</v>
      </c>
    </row>
    <row r="23" spans="1:10" x14ac:dyDescent="0.25" outlineLevel="3" collapsed="1">
      <c r="A23" s="7" t="s">
        <v>15</v>
      </c>
      <c r="B23" s="7" t="s">
        <v>20</v>
      </c>
      <c r="C23" s="7" t="s">
        <v>2</v>
      </c>
      <c r="D23" s="7"/>
      <c r="E23" s="7" t="s">
        <v>1238</v>
      </c>
      <c r="F23" s="7" t="s">
        <v>17</v>
      </c>
      <c r="G23" s="7" t="s">
        <v>22</v>
      </c>
      <c r="H23" s="7" t="s">
        <v>2</v>
      </c>
      <c r="I23" s="7" t="s">
        <v>2</v>
      </c>
      <c r="J23" s="7" t="s">
        <v>1239</v>
      </c>
    </row>
    <row r="24" spans="1:10" x14ac:dyDescent="0.25">
      <c r="A24" s="5" t="s">
        <v>15</v>
      </c>
      <c r="B24" s="6" t="s">
        <v>1244</v>
      </c>
      <c r="C24" s="5" t="s">
        <v>2</v>
      </c>
      <c r="D24" s="5"/>
      <c r="E24" s="5" t="s">
        <v>1245</v>
      </c>
      <c r="F24" s="5" t="s">
        <v>17</v>
      </c>
      <c r="G24" s="5" t="s">
        <v>1246</v>
      </c>
      <c r="H24" s="5" t="s">
        <v>2</v>
      </c>
      <c r="I24" s="5" t="s">
        <v>2</v>
      </c>
      <c r="J24" s="5" t="s">
        <v>1247</v>
      </c>
    </row>
    <row r="25" spans="1:10" x14ac:dyDescent="0.25" outlineLevel="1" collapsed="1">
      <c r="A25" s="8" t="s">
        <v>15</v>
      </c>
      <c r="B25" s="9" t="s">
        <v>1228</v>
      </c>
      <c r="C25" s="8" t="s">
        <v>2</v>
      </c>
      <c r="D25" s="8"/>
      <c r="E25" s="8" t="s">
        <v>1228</v>
      </c>
      <c r="F25" s="8" t="s">
        <v>15</v>
      </c>
      <c r="G25" s="8" t="s">
        <v>2</v>
      </c>
      <c r="H25" s="8" t="s">
        <v>2</v>
      </c>
      <c r="I25" s="8" t="s">
        <v>2</v>
      </c>
      <c r="J25" s="8" t="s">
        <v>1229</v>
      </c>
    </row>
    <row r="26" spans="1:10" x14ac:dyDescent="0.25" outlineLevel="2" collapsed="1">
      <c r="A26" s="7" t="s">
        <v>15</v>
      </c>
      <c r="B26" s="7" t="s">
        <v>20</v>
      </c>
      <c r="C26" s="7" t="s">
        <v>2</v>
      </c>
      <c r="D26" s="7"/>
      <c r="E26" s="7" t="s">
        <v>1228</v>
      </c>
      <c r="F26" s="7" t="s">
        <v>17</v>
      </c>
      <c r="G26" s="7" t="s">
        <v>22</v>
      </c>
      <c r="H26" s="7" t="s">
        <v>2</v>
      </c>
      <c r="I26" s="7" t="s">
        <v>2</v>
      </c>
      <c r="J26" s="7" t="s">
        <v>1230</v>
      </c>
    </row>
    <row r="27" spans="1:10" x14ac:dyDescent="0.25" outlineLevel="2" collapsed="1">
      <c r="A27" s="8" t="s">
        <v>15</v>
      </c>
      <c r="B27" s="9" t="s">
        <v>1231</v>
      </c>
      <c r="C27" s="8" t="s">
        <v>2</v>
      </c>
      <c r="D27" s="8"/>
      <c r="E27" s="8" t="s">
        <v>1232</v>
      </c>
      <c r="F27" s="8" t="s">
        <v>15</v>
      </c>
      <c r="G27" s="8" t="s">
        <v>2</v>
      </c>
      <c r="H27" s="8" t="s">
        <v>2</v>
      </c>
      <c r="I27" s="8" t="s">
        <v>2</v>
      </c>
      <c r="J27" s="8" t="s">
        <v>1233</v>
      </c>
    </row>
    <row r="28" spans="1:10" x14ac:dyDescent="0.25" outlineLevel="3" collapsed="1">
      <c r="A28" s="7" t="s">
        <v>15</v>
      </c>
      <c r="B28" s="7" t="s">
        <v>20</v>
      </c>
      <c r="C28" s="7" t="s">
        <v>2</v>
      </c>
      <c r="D28" s="7"/>
      <c r="E28" s="7" t="s">
        <v>1234</v>
      </c>
      <c r="F28" s="7" t="s">
        <v>17</v>
      </c>
      <c r="G28" s="7" t="s">
        <v>22</v>
      </c>
      <c r="H28" s="7" t="s">
        <v>2</v>
      </c>
      <c r="I28" s="7" t="s">
        <v>2</v>
      </c>
      <c r="J28" s="7" t="s">
        <v>1235</v>
      </c>
    </row>
    <row r="29" spans="1:10" x14ac:dyDescent="0.25" outlineLevel="3" collapsed="1">
      <c r="A29" s="7" t="s">
        <v>15</v>
      </c>
      <c r="B29" s="7" t="s">
        <v>47</v>
      </c>
      <c r="C29" s="7" t="s">
        <v>2</v>
      </c>
      <c r="D29" s="7"/>
      <c r="E29" s="7" t="s">
        <v>1236</v>
      </c>
      <c r="F29" s="7" t="s">
        <v>17</v>
      </c>
      <c r="G29" s="7" t="b">
        <v>1</v>
      </c>
      <c r="H29" s="7" t="s">
        <v>2</v>
      </c>
      <c r="I29" s="7" t="s">
        <v>2</v>
      </c>
      <c r="J29" s="7" t="s">
        <v>1237</v>
      </c>
    </row>
    <row r="30" spans="1:10" x14ac:dyDescent="0.25" outlineLevel="3" collapsed="1">
      <c r="A30" s="7" t="s">
        <v>15</v>
      </c>
      <c r="B30" s="7" t="s">
        <v>20</v>
      </c>
      <c r="C30" s="7" t="s">
        <v>2</v>
      </c>
      <c r="D30" s="7"/>
      <c r="E30" s="7" t="s">
        <v>1238</v>
      </c>
      <c r="F30" s="7" t="s">
        <v>17</v>
      </c>
      <c r="G30" s="7" t="s">
        <v>22</v>
      </c>
      <c r="H30" s="7" t="s">
        <v>2</v>
      </c>
      <c r="I30" s="7" t="s">
        <v>2</v>
      </c>
      <c r="J30" s="7" t="s">
        <v>1239</v>
      </c>
    </row>
    <row r="31" spans="1:10" x14ac:dyDescent="0.25">
      <c r="A31" s="5" t="s">
        <v>15</v>
      </c>
      <c r="B31" s="6" t="s">
        <v>1248</v>
      </c>
      <c r="C31" s="5" t="s">
        <v>2</v>
      </c>
      <c r="D31" s="5"/>
      <c r="E31" s="5" t="s">
        <v>1249</v>
      </c>
      <c r="F31" s="5" t="s">
        <v>17</v>
      </c>
      <c r="G31" s="5" t="s">
        <v>2</v>
      </c>
      <c r="H31" s="5" t="s">
        <v>2</v>
      </c>
      <c r="I31" s="5" t="s">
        <v>2</v>
      </c>
      <c r="J31" s="5" t="s">
        <v>1250</v>
      </c>
    </row>
    <row r="32" spans="1:10" x14ac:dyDescent="0.25" outlineLevel="1" collapsed="1">
      <c r="A32" s="7" t="s">
        <v>15</v>
      </c>
      <c r="B32" s="7" t="s">
        <v>133</v>
      </c>
      <c r="C32" s="7" t="s">
        <v>1114</v>
      </c>
      <c r="D32" s="7"/>
      <c r="E32" s="7" t="s">
        <v>1251</v>
      </c>
      <c r="F32" s="7" t="s">
        <v>17</v>
      </c>
      <c r="G32" s="7" t="s">
        <v>1598</v>
      </c>
      <c r="H32" s="7" t="s">
        <v>2</v>
      </c>
      <c r="I32" s="7" t="s">
        <v>2</v>
      </c>
      <c r="J32" s="7" t="s">
        <v>1253</v>
      </c>
    </row>
    <row r="33" spans="1:10" x14ac:dyDescent="0.25" outlineLevel="1" collapsed="1">
      <c r="A33" s="7" t="s">
        <v>15</v>
      </c>
      <c r="B33" s="7" t="s">
        <v>133</v>
      </c>
      <c r="C33" s="7" t="s">
        <v>1114</v>
      </c>
      <c r="D33" s="7"/>
      <c r="E33" s="7" t="s">
        <v>1254</v>
      </c>
      <c r="F33" s="7" t="s">
        <v>17</v>
      </c>
      <c r="G33" s="7" t="s">
        <v>1599</v>
      </c>
      <c r="H33" s="7" t="s">
        <v>2</v>
      </c>
      <c r="I33" s="7" t="s">
        <v>2</v>
      </c>
      <c r="J33" s="7" t="s">
        <v>1256</v>
      </c>
    </row>
    <row r="34" spans="1:10" x14ac:dyDescent="0.25" outlineLevel="1" collapsed="1">
      <c r="A34" s="7" t="s">
        <v>15</v>
      </c>
      <c r="B34" s="7" t="s">
        <v>133</v>
      </c>
      <c r="C34" s="7" t="s">
        <v>1114</v>
      </c>
      <c r="D34" s="7"/>
      <c r="E34" s="7" t="s">
        <v>1257</v>
      </c>
      <c r="F34" s="7" t="s">
        <v>17</v>
      </c>
      <c r="G34" s="7" t="s">
        <v>1600</v>
      </c>
      <c r="H34" s="7" t="s">
        <v>2</v>
      </c>
      <c r="I34" s="7" t="s">
        <v>2</v>
      </c>
      <c r="J34" s="7" t="s">
        <v>1259</v>
      </c>
    </row>
    <row r="35" spans="1:10" x14ac:dyDescent="0.25" outlineLevel="1" collapsed="1">
      <c r="A35" s="7" t="s">
        <v>15</v>
      </c>
      <c r="B35" s="7" t="s">
        <v>133</v>
      </c>
      <c r="C35" s="7" t="s">
        <v>1114</v>
      </c>
      <c r="D35" s="7"/>
      <c r="E35" s="7" t="s">
        <v>1260</v>
      </c>
      <c r="F35" s="7" t="s">
        <v>17</v>
      </c>
      <c r="G35" s="7" t="s">
        <v>1601</v>
      </c>
      <c r="H35" s="7" t="s">
        <v>2</v>
      </c>
      <c r="I35" s="7" t="s">
        <v>2</v>
      </c>
      <c r="J35" s="7" t="s">
        <v>1262</v>
      </c>
    </row>
    <row r="36" spans="1:10" x14ac:dyDescent="0.25" outlineLevel="1" collapsed="1">
      <c r="A36" s="7" t="s">
        <v>15</v>
      </c>
      <c r="B36" s="7" t="s">
        <v>133</v>
      </c>
      <c r="C36" s="7" t="s">
        <v>1114</v>
      </c>
      <c r="D36" s="7"/>
      <c r="E36" s="7" t="s">
        <v>1263</v>
      </c>
      <c r="F36" s="7" t="s">
        <v>17</v>
      </c>
      <c r="G36" s="7" t="s">
        <v>1602</v>
      </c>
      <c r="H36" s="7" t="s">
        <v>2</v>
      </c>
      <c r="I36" s="7" t="s">
        <v>2</v>
      </c>
      <c r="J36" s="7" t="s">
        <v>1265</v>
      </c>
    </row>
    <row r="37" spans="1:10" x14ac:dyDescent="0.25" outlineLevel="1" collapsed="1">
      <c r="A37" s="7" t="s">
        <v>15</v>
      </c>
      <c r="B37" s="7" t="s">
        <v>133</v>
      </c>
      <c r="C37" s="7" t="s">
        <v>1114</v>
      </c>
      <c r="D37" s="7"/>
      <c r="E37" s="7" t="s">
        <v>1266</v>
      </c>
      <c r="F37" s="7" t="s">
        <v>17</v>
      </c>
      <c r="G37" s="7" t="s">
        <v>1603</v>
      </c>
      <c r="H37" s="7" t="s">
        <v>2</v>
      </c>
      <c r="I37" s="7" t="s">
        <v>2</v>
      </c>
      <c r="J37" s="7" t="s">
        <v>1268</v>
      </c>
    </row>
    <row r="38" spans="1:10" x14ac:dyDescent="0.25" outlineLevel="1" collapsed="1">
      <c r="A38" s="7" t="s">
        <v>15</v>
      </c>
      <c r="B38" s="7" t="s">
        <v>133</v>
      </c>
      <c r="C38" s="7" t="s">
        <v>1114</v>
      </c>
      <c r="D38" s="7"/>
      <c r="E38" s="7" t="s">
        <v>1269</v>
      </c>
      <c r="F38" s="7" t="s">
        <v>17</v>
      </c>
      <c r="G38" s="7" t="s">
        <v>1604</v>
      </c>
      <c r="H38" s="7" t="s">
        <v>2</v>
      </c>
      <c r="I38" s="7" t="s">
        <v>2</v>
      </c>
      <c r="J38" s="7" t="s">
        <v>1271</v>
      </c>
    </row>
    <row r="39" spans="1:10" x14ac:dyDescent="0.25" outlineLevel="1" collapsed="1">
      <c r="A39" s="7" t="s">
        <v>15</v>
      </c>
      <c r="B39" s="7" t="s">
        <v>133</v>
      </c>
      <c r="C39" s="7" t="s">
        <v>1114</v>
      </c>
      <c r="D39" s="7"/>
      <c r="E39" s="7" t="s">
        <v>1272</v>
      </c>
      <c r="F39" s="7" t="s">
        <v>17</v>
      </c>
      <c r="G39" s="7" t="s">
        <v>1605</v>
      </c>
      <c r="H39" s="7" t="s">
        <v>2</v>
      </c>
      <c r="I39" s="7" t="s">
        <v>2</v>
      </c>
      <c r="J39" s="7" t="s">
        <v>1274</v>
      </c>
    </row>
    <row r="40" spans="1:10" x14ac:dyDescent="0.25">
      <c r="A40" s="5" t="s">
        <v>15</v>
      </c>
      <c r="B40" s="5" t="s">
        <v>125</v>
      </c>
      <c r="C40" s="5" t="s">
        <v>2</v>
      </c>
      <c r="D40" s="5"/>
      <c r="E40" s="5" t="s">
        <v>1192</v>
      </c>
      <c r="F40" s="5" t="s">
        <v>17</v>
      </c>
      <c r="G40" s="5" t="s">
        <v>1606</v>
      </c>
      <c r="H40" s="5" t="s">
        <v>2</v>
      </c>
      <c r="I40" s="5" t="s">
        <v>2</v>
      </c>
      <c r="J40" s="5" t="s">
        <v>1194</v>
      </c>
    </row>
    <row r="41" spans="1:10" x14ac:dyDescent="0.25">
      <c r="A41" s="5" t="s">
        <v>15</v>
      </c>
      <c r="B41" s="6" t="s">
        <v>1276</v>
      </c>
      <c r="C41" s="5" t="s">
        <v>2</v>
      </c>
      <c r="D41" s="5"/>
      <c r="E41" s="5" t="s">
        <v>1276</v>
      </c>
      <c r="F41" s="5" t="s">
        <v>17</v>
      </c>
      <c r="G41" s="5" t="s">
        <v>2</v>
      </c>
      <c r="H41" s="5" t="s">
        <v>2</v>
      </c>
      <c r="I41" s="5" t="s">
        <v>2</v>
      </c>
      <c r="J41" s="5" t="s">
        <v>1277</v>
      </c>
    </row>
    <row r="42" spans="1:10" x14ac:dyDescent="0.25" outlineLevel="1" collapsed="1">
      <c r="A42" s="7" t="s">
        <v>15</v>
      </c>
      <c r="B42" s="7" t="s">
        <v>133</v>
      </c>
      <c r="C42" s="7" t="s">
        <v>1114</v>
      </c>
      <c r="D42" s="7"/>
      <c r="E42" s="7" t="s">
        <v>1278</v>
      </c>
      <c r="F42" s="7" t="s">
        <v>17</v>
      </c>
      <c r="G42" s="7" t="s">
        <v>1607</v>
      </c>
      <c r="H42" s="7" t="s">
        <v>2</v>
      </c>
      <c r="I42" s="7" t="s">
        <v>2</v>
      </c>
      <c r="J42" s="7" t="s">
        <v>1280</v>
      </c>
    </row>
    <row r="43" spans="1:10" x14ac:dyDescent="0.25" outlineLevel="1" collapsed="1">
      <c r="A43" s="7" t="s">
        <v>15</v>
      </c>
      <c r="B43" s="7" t="s">
        <v>133</v>
      </c>
      <c r="C43" s="7" t="s">
        <v>1114</v>
      </c>
      <c r="D43" s="7"/>
      <c r="E43" s="7" t="s">
        <v>1281</v>
      </c>
      <c r="F43" s="7" t="s">
        <v>17</v>
      </c>
      <c r="G43" s="7" t="s">
        <v>1608</v>
      </c>
      <c r="H43" s="7" t="s">
        <v>2</v>
      </c>
      <c r="I43" s="7" t="s">
        <v>2</v>
      </c>
      <c r="J43" s="7" t="s">
        <v>1283</v>
      </c>
    </row>
    <row r="44" spans="1:10" x14ac:dyDescent="0.25" outlineLevel="1" collapsed="1">
      <c r="A44" s="7" t="s">
        <v>15</v>
      </c>
      <c r="B44" s="7" t="s">
        <v>133</v>
      </c>
      <c r="C44" s="7" t="s">
        <v>1114</v>
      </c>
      <c r="D44" s="7"/>
      <c r="E44" s="7" t="s">
        <v>1284</v>
      </c>
      <c r="F44" s="7" t="s">
        <v>17</v>
      </c>
      <c r="G44" s="7" t="s">
        <v>1609</v>
      </c>
      <c r="H44" s="7" t="s">
        <v>2</v>
      </c>
      <c r="I44" s="7" t="s">
        <v>2</v>
      </c>
      <c r="J44" s="7" t="s">
        <v>1286</v>
      </c>
    </row>
    <row r="45" spans="1:10" x14ac:dyDescent="0.25" outlineLevel="1" collapsed="1">
      <c r="A45" s="7" t="s">
        <v>15</v>
      </c>
      <c r="B45" s="7" t="s">
        <v>125</v>
      </c>
      <c r="C45" s="7" t="s">
        <v>2</v>
      </c>
      <c r="D45" s="7"/>
      <c r="E45" s="7" t="s">
        <v>1287</v>
      </c>
      <c r="F45" s="7" t="s">
        <v>17</v>
      </c>
      <c r="G45" s="7" t="s">
        <v>1610</v>
      </c>
      <c r="H45" s="7" t="s">
        <v>2</v>
      </c>
      <c r="I45" s="7" t="s">
        <v>2</v>
      </c>
      <c r="J45" s="7" t="s">
        <v>1289</v>
      </c>
    </row>
    <row r="46" spans="1:10" x14ac:dyDescent="0.25" outlineLevel="1" collapsed="1">
      <c r="A46" s="7" t="s">
        <v>15</v>
      </c>
      <c r="B46" s="7" t="s">
        <v>133</v>
      </c>
      <c r="C46" s="7" t="s">
        <v>1114</v>
      </c>
      <c r="D46" s="7"/>
      <c r="E46" s="7" t="s">
        <v>1290</v>
      </c>
      <c r="F46" s="7" t="s">
        <v>17</v>
      </c>
      <c r="G46" s="7" t="s">
        <v>1611</v>
      </c>
      <c r="H46" s="7" t="s">
        <v>2</v>
      </c>
      <c r="I46" s="7" t="s">
        <v>2</v>
      </c>
      <c r="J46" s="7" t="s">
        <v>1292</v>
      </c>
    </row>
    <row r="47" spans="1:10" x14ac:dyDescent="0.25">
      <c r="A47" s="5" t="s">
        <v>15</v>
      </c>
      <c r="B47" s="6" t="s">
        <v>1293</v>
      </c>
      <c r="C47" s="5" t="s">
        <v>2</v>
      </c>
      <c r="D47" s="5"/>
      <c r="E47" s="5" t="s">
        <v>1293</v>
      </c>
      <c r="F47" s="5" t="s">
        <v>17</v>
      </c>
      <c r="G47" s="5" t="s">
        <v>2</v>
      </c>
      <c r="H47" s="5" t="s">
        <v>2</v>
      </c>
      <c r="I47" s="5" t="s">
        <v>2</v>
      </c>
      <c r="J47" s="5" t="s">
        <v>1294</v>
      </c>
    </row>
    <row r="48" spans="1:10" x14ac:dyDescent="0.25" outlineLevel="1" collapsed="1">
      <c r="A48" s="7" t="s">
        <v>15</v>
      </c>
      <c r="B48" s="7" t="s">
        <v>44</v>
      </c>
      <c r="C48" s="10" t="s">
        <v>1295</v>
      </c>
      <c r="D48" s="7"/>
      <c r="E48" s="7" t="s">
        <v>1296</v>
      </c>
      <c r="F48" s="7" t="s">
        <v>17</v>
      </c>
      <c r="G48" s="7" t="s">
        <v>1297</v>
      </c>
      <c r="H48" s="7" t="s">
        <v>2</v>
      </c>
      <c r="I48" s="7" t="s">
        <v>2</v>
      </c>
      <c r="J48" s="7" t="s">
        <v>1298</v>
      </c>
    </row>
    <row r="49" spans="1:10" x14ac:dyDescent="0.25" outlineLevel="1" collapsed="1">
      <c r="A49" s="7" t="s">
        <v>15</v>
      </c>
      <c r="B49" s="7" t="s">
        <v>133</v>
      </c>
      <c r="C49" s="7" t="s">
        <v>1114</v>
      </c>
      <c r="D49" s="7"/>
      <c r="E49" s="7" t="s">
        <v>1299</v>
      </c>
      <c r="F49" s="7" t="s">
        <v>17</v>
      </c>
      <c r="G49" s="7" t="s">
        <v>1612</v>
      </c>
      <c r="H49" s="7" t="s">
        <v>2</v>
      </c>
      <c r="I49" s="7" t="s">
        <v>2</v>
      </c>
      <c r="J49" s="7" t="s">
        <v>1301</v>
      </c>
    </row>
    <row r="50" spans="1:10" x14ac:dyDescent="0.25" outlineLevel="1" collapsed="1">
      <c r="A50" s="7" t="s">
        <v>15</v>
      </c>
      <c r="B50" s="7" t="s">
        <v>133</v>
      </c>
      <c r="C50" s="7" t="s">
        <v>1114</v>
      </c>
      <c r="D50" s="7"/>
      <c r="E50" s="7" t="s">
        <v>1302</v>
      </c>
      <c r="F50" s="7" t="s">
        <v>17</v>
      </c>
      <c r="G50" s="7" t="s">
        <v>1613</v>
      </c>
      <c r="H50" s="7" t="s">
        <v>2</v>
      </c>
      <c r="I50" s="7" t="s">
        <v>2</v>
      </c>
      <c r="J50" s="7" t="s">
        <v>1304</v>
      </c>
    </row>
    <row r="51" spans="1:10" x14ac:dyDescent="0.25" outlineLevel="1" collapsed="1">
      <c r="A51" s="7" t="s">
        <v>15</v>
      </c>
      <c r="B51" s="7" t="s">
        <v>133</v>
      </c>
      <c r="C51" s="7" t="s">
        <v>1114</v>
      </c>
      <c r="D51" s="7"/>
      <c r="E51" s="7" t="s">
        <v>1305</v>
      </c>
      <c r="F51" s="7" t="s">
        <v>17</v>
      </c>
      <c r="G51" s="7" t="s">
        <v>1614</v>
      </c>
      <c r="H51" s="7" t="s">
        <v>2</v>
      </c>
      <c r="I51" s="7" t="s">
        <v>2</v>
      </c>
      <c r="J51" s="7" t="s">
        <v>1307</v>
      </c>
    </row>
    <row r="52" spans="1:10" x14ac:dyDescent="0.25" outlineLevel="1" collapsed="1">
      <c r="A52" s="7" t="s">
        <v>15</v>
      </c>
      <c r="B52" s="7" t="s">
        <v>133</v>
      </c>
      <c r="C52" s="7" t="s">
        <v>1114</v>
      </c>
      <c r="D52" s="7"/>
      <c r="E52" s="7" t="s">
        <v>1308</v>
      </c>
      <c r="F52" s="7" t="s">
        <v>17</v>
      </c>
      <c r="G52" s="7" t="s">
        <v>1615</v>
      </c>
      <c r="H52" s="7" t="s">
        <v>2</v>
      </c>
      <c r="I52" s="7" t="s">
        <v>2</v>
      </c>
      <c r="J52" s="7" t="s">
        <v>1310</v>
      </c>
    </row>
    <row r="53" spans="1:10" x14ac:dyDescent="0.25" outlineLevel="1" collapsed="1">
      <c r="A53" s="7" t="s">
        <v>15</v>
      </c>
      <c r="B53" s="7" t="s">
        <v>125</v>
      </c>
      <c r="C53" s="7" t="s">
        <v>2</v>
      </c>
      <c r="D53" s="7"/>
      <c r="E53" s="7" t="s">
        <v>1311</v>
      </c>
      <c r="F53" s="7" t="s">
        <v>17</v>
      </c>
      <c r="G53" s="7" t="s">
        <v>1616</v>
      </c>
      <c r="H53" s="7" t="s">
        <v>2</v>
      </c>
      <c r="I53" s="7" t="s">
        <v>2</v>
      </c>
      <c r="J53" s="7" t="s">
        <v>1313</v>
      </c>
    </row>
  </sheetData>
  <mergeCells count="3">
    <mergeCell ref="A1:J1"/>
    <mergeCell ref="B2:J2"/>
    <mergeCell ref="B3:J3"/>
  </mergeCells>
  <dataValidations count="1">
    <dataValidation type="list" allowBlank="1" sqref="G48:I48">
      <formula1>'Enums'!C2747:C2750</formula1>
    </dataValidation>
  </dataValidations>
  <hyperlinks>
    <hyperlink ref="B10" r:id="rId1" location="#'Baseline Scenario - Sources'!A1"/>
    <hyperlink ref="B11" r:id="rId2" location="#'Source'!A1"/>
    <hyperlink ref="B13" r:id="rId3" location="#'GHG Details'!A1"/>
    <hyperlink ref="B17" r:id="rId4" location="#'Project Scenario - Sources'!A1"/>
    <hyperlink ref="B18" r:id="rId5" location="#'Source'!A1"/>
    <hyperlink ref="B20" r:id="rId6" location="#'GHG Details'!A1"/>
    <hyperlink ref="B24" r:id="rId7" location="#'Leakage Emissions - Sources'!A1"/>
    <hyperlink ref="B25" r:id="rId8" location="#'Source'!A1"/>
    <hyperlink ref="B27" r:id="rId9" location="#'GHG Details'!A1"/>
    <hyperlink ref="B31" r:id="rId10" location="#'Demonstration Additionality'!A1"/>
    <hyperlink ref="B41" r:id="rId11" location="#'Maintenance and Operation Plan'!A1"/>
    <hyperlink ref="B47" r:id="rId12" location="#'Hygiene Campaign Plan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929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823</v>
      </c>
      <c r="C5" s="5" t="s">
        <v>2</v>
      </c>
      <c r="D5" s="5"/>
      <c r="E5" s="5" t="s">
        <v>932</v>
      </c>
      <c r="F5" s="5" t="s">
        <v>17</v>
      </c>
      <c r="G5" s="5" t="s">
        <v>2</v>
      </c>
      <c r="H5" s="5" t="s">
        <v>2</v>
      </c>
      <c r="I5" s="5" t="s">
        <v>2</v>
      </c>
      <c r="J5" s="5" t="s">
        <v>933</v>
      </c>
    </row>
    <row r="6" spans="1:10" x14ac:dyDescent="0.25" outlineLevel="1" collapsed="1">
      <c r="A6" s="7" t="s">
        <v>15</v>
      </c>
      <c r="B6" s="7" t="s">
        <v>44</v>
      </c>
      <c r="C6" s="10" t="s">
        <v>826</v>
      </c>
      <c r="D6" s="7"/>
      <c r="E6" s="7" t="s">
        <v>827</v>
      </c>
      <c r="F6" s="7" t="s">
        <v>17</v>
      </c>
      <c r="G6" s="7" t="s">
        <v>15</v>
      </c>
      <c r="H6" s="7" t="s">
        <v>2</v>
      </c>
      <c r="I6" s="7" t="s">
        <v>2</v>
      </c>
      <c r="J6" s="7" t="s">
        <v>828</v>
      </c>
    </row>
    <row r="7" spans="1:10" x14ac:dyDescent="0.25" outlineLevel="1" collapsed="1">
      <c r="A7" s="7" t="s">
        <v>17</v>
      </c>
      <c r="B7" s="7" t="s">
        <v>20</v>
      </c>
      <c r="C7" s="7" t="s">
        <v>2</v>
      </c>
      <c r="D7" s="7"/>
      <c r="E7" s="7" t="s">
        <v>76</v>
      </c>
      <c r="F7" s="7" t="s">
        <v>17</v>
      </c>
      <c r="G7" s="7" t="s">
        <v>22</v>
      </c>
      <c r="H7" s="7" t="s">
        <v>2</v>
      </c>
      <c r="I7" s="7" t="s">
        <v>2</v>
      </c>
      <c r="J7" s="7" t="s">
        <v>78</v>
      </c>
    </row>
    <row r="8" spans="1:10" x14ac:dyDescent="0.25">
      <c r="A8" s="5" t="s">
        <v>15</v>
      </c>
      <c r="B8" s="6" t="s">
        <v>823</v>
      </c>
      <c r="C8" s="5" t="s">
        <v>2</v>
      </c>
      <c r="D8" s="5"/>
      <c r="E8" s="5" t="s">
        <v>934</v>
      </c>
      <c r="F8" s="5" t="s">
        <v>17</v>
      </c>
      <c r="G8" s="5" t="s">
        <v>2</v>
      </c>
      <c r="H8" s="5" t="s">
        <v>2</v>
      </c>
      <c r="I8" s="5" t="s">
        <v>2</v>
      </c>
      <c r="J8" s="5" t="s">
        <v>935</v>
      </c>
    </row>
    <row r="9" spans="1:10" x14ac:dyDescent="0.25" outlineLevel="1" collapsed="1">
      <c r="A9" s="7" t="s">
        <v>15</v>
      </c>
      <c r="B9" s="7" t="s">
        <v>44</v>
      </c>
      <c r="C9" s="10" t="s">
        <v>826</v>
      </c>
      <c r="D9" s="7"/>
      <c r="E9" s="7" t="s">
        <v>827</v>
      </c>
      <c r="F9" s="7" t="s">
        <v>17</v>
      </c>
      <c r="G9" s="7" t="s">
        <v>15</v>
      </c>
      <c r="H9" s="7" t="s">
        <v>2</v>
      </c>
      <c r="I9" s="7" t="s">
        <v>2</v>
      </c>
      <c r="J9" s="7" t="s">
        <v>828</v>
      </c>
    </row>
    <row r="10" spans="1:10" x14ac:dyDescent="0.25" outlineLevel="1" collapsed="1">
      <c r="A10" s="7" t="s">
        <v>17</v>
      </c>
      <c r="B10" s="7" t="s">
        <v>20</v>
      </c>
      <c r="C10" s="7" t="s">
        <v>2</v>
      </c>
      <c r="D10" s="7"/>
      <c r="E10" s="7" t="s">
        <v>76</v>
      </c>
      <c r="F10" s="7" t="s">
        <v>17</v>
      </c>
      <c r="G10" s="7" t="s">
        <v>22</v>
      </c>
      <c r="H10" s="7" t="s">
        <v>2</v>
      </c>
      <c r="I10" s="7" t="s">
        <v>2</v>
      </c>
      <c r="J10" s="7" t="s">
        <v>78</v>
      </c>
    </row>
    <row r="11" spans="1:10" x14ac:dyDescent="0.25">
      <c r="A11" s="5" t="s">
        <v>15</v>
      </c>
      <c r="B11" s="6" t="s">
        <v>823</v>
      </c>
      <c r="C11" s="5" t="s">
        <v>2</v>
      </c>
      <c r="D11" s="5"/>
      <c r="E11" s="5" t="s">
        <v>936</v>
      </c>
      <c r="F11" s="5" t="s">
        <v>17</v>
      </c>
      <c r="G11" s="5" t="s">
        <v>2</v>
      </c>
      <c r="H11" s="5" t="s">
        <v>2</v>
      </c>
      <c r="I11" s="5" t="s">
        <v>2</v>
      </c>
      <c r="J11" s="5" t="s">
        <v>937</v>
      </c>
    </row>
    <row r="12" spans="1:10" x14ac:dyDescent="0.25" outlineLevel="1" collapsed="1">
      <c r="A12" s="7" t="s">
        <v>15</v>
      </c>
      <c r="B12" s="7" t="s">
        <v>44</v>
      </c>
      <c r="C12" s="10" t="s">
        <v>826</v>
      </c>
      <c r="D12" s="7"/>
      <c r="E12" s="7" t="s">
        <v>827</v>
      </c>
      <c r="F12" s="7" t="s">
        <v>17</v>
      </c>
      <c r="G12" s="7" t="s">
        <v>15</v>
      </c>
      <c r="H12" s="7" t="s">
        <v>2</v>
      </c>
      <c r="I12" s="7" t="s">
        <v>2</v>
      </c>
      <c r="J12" s="7" t="s">
        <v>828</v>
      </c>
    </row>
    <row r="13" spans="1:10" x14ac:dyDescent="0.25" outlineLevel="1" collapsed="1">
      <c r="A13" s="7" t="s">
        <v>17</v>
      </c>
      <c r="B13" s="7" t="s">
        <v>20</v>
      </c>
      <c r="C13" s="7" t="s">
        <v>2</v>
      </c>
      <c r="D13" s="7"/>
      <c r="E13" s="7" t="s">
        <v>76</v>
      </c>
      <c r="F13" s="7" t="s">
        <v>17</v>
      </c>
      <c r="G13" s="7" t="s">
        <v>22</v>
      </c>
      <c r="H13" s="7" t="s">
        <v>2</v>
      </c>
      <c r="I13" s="7" t="s">
        <v>2</v>
      </c>
      <c r="J13" s="7" t="s">
        <v>78</v>
      </c>
    </row>
    <row r="14" spans="1:10" x14ac:dyDescent="0.25">
      <c r="A14" s="5" t="s">
        <v>15</v>
      </c>
      <c r="B14" s="6" t="s">
        <v>823</v>
      </c>
      <c r="C14" s="5" t="s">
        <v>2</v>
      </c>
      <c r="D14" s="5"/>
      <c r="E14" s="5" t="s">
        <v>938</v>
      </c>
      <c r="F14" s="5" t="s">
        <v>17</v>
      </c>
      <c r="G14" s="5" t="s">
        <v>2</v>
      </c>
      <c r="H14" s="5" t="s">
        <v>2</v>
      </c>
      <c r="I14" s="5" t="s">
        <v>2</v>
      </c>
      <c r="J14" s="5" t="s">
        <v>939</v>
      </c>
    </row>
    <row r="15" spans="1:10" x14ac:dyDescent="0.25" outlineLevel="1" collapsed="1">
      <c r="A15" s="7" t="s">
        <v>15</v>
      </c>
      <c r="B15" s="7" t="s">
        <v>44</v>
      </c>
      <c r="C15" s="10" t="s">
        <v>826</v>
      </c>
      <c r="D15" s="7"/>
      <c r="E15" s="7" t="s">
        <v>827</v>
      </c>
      <c r="F15" s="7" t="s">
        <v>17</v>
      </c>
      <c r="G15" s="7" t="s">
        <v>15</v>
      </c>
      <c r="H15" s="7" t="s">
        <v>2</v>
      </c>
      <c r="I15" s="7" t="s">
        <v>2</v>
      </c>
      <c r="J15" s="7" t="s">
        <v>828</v>
      </c>
    </row>
    <row r="16" spans="1:10" x14ac:dyDescent="0.25" outlineLevel="1" collapsed="1">
      <c r="A16" s="7" t="s">
        <v>17</v>
      </c>
      <c r="B16" s="7" t="s">
        <v>20</v>
      </c>
      <c r="C16" s="7" t="s">
        <v>2</v>
      </c>
      <c r="D16" s="7"/>
      <c r="E16" s="7" t="s">
        <v>76</v>
      </c>
      <c r="F16" s="7" t="s">
        <v>17</v>
      </c>
      <c r="G16" s="7" t="s">
        <v>22</v>
      </c>
      <c r="H16" s="7" t="s">
        <v>2</v>
      </c>
      <c r="I16" s="7" t="s">
        <v>2</v>
      </c>
      <c r="J16" s="7" t="s">
        <v>78</v>
      </c>
    </row>
  </sheetData>
  <mergeCells count="3">
    <mergeCell ref="A1:J1"/>
    <mergeCell ref="B2:J2"/>
    <mergeCell ref="B3:J3"/>
  </mergeCells>
  <dataValidations count="4">
    <dataValidation type="list" allowBlank="1" sqref="G12:I12">
      <formula1>'Enums'!C2707:C2708</formula1>
    </dataValidation>
    <dataValidation type="list" allowBlank="1" sqref="G15:I15">
      <formula1>'Enums'!C2707:C2708</formula1>
    </dataValidation>
    <dataValidation type="list" allowBlank="1" sqref="G6:I6">
      <formula1>'Enums'!C2707:C2708</formula1>
    </dataValidation>
    <dataValidation type="list" allowBlank="1" sqref="G9:I9">
      <formula1>'Enums'!C2707:C2708</formula1>
    </dataValidation>
  </dataValidations>
  <hyperlinks>
    <hyperlink ref="B5" r:id="rId1" location="#'Yes or no with comments'!A1"/>
    <hyperlink ref="B8" r:id="rId2" location="#'Yes or no with comments'!A1"/>
    <hyperlink ref="B11" r:id="rId3" location="#'Yes or no with comments'!A1"/>
    <hyperlink ref="B14" r:id="rId4" location="#'Yes or no with comm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1617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1050</v>
      </c>
      <c r="C5" s="5" t="s">
        <v>2</v>
      </c>
      <c r="D5" s="5"/>
      <c r="E5" s="5" t="s">
        <v>1052</v>
      </c>
      <c r="F5" s="5" t="s">
        <v>15</v>
      </c>
      <c r="G5" s="5" t="s">
        <v>2</v>
      </c>
      <c r="H5" s="5" t="s">
        <v>2</v>
      </c>
      <c r="I5" s="5" t="s">
        <v>2</v>
      </c>
      <c r="J5" s="5" t="s">
        <v>1053</v>
      </c>
    </row>
    <row r="6" spans="1:10" x14ac:dyDescent="0.25" outlineLevel="1" collapsed="1">
      <c r="A6" s="7" t="s">
        <v>15</v>
      </c>
      <c r="B6" s="7" t="s">
        <v>356</v>
      </c>
      <c r="C6" s="7" t="s">
        <v>2</v>
      </c>
      <c r="D6" s="7"/>
      <c r="E6" s="7" t="s">
        <v>432</v>
      </c>
      <c r="F6" s="7" t="s">
        <v>17</v>
      </c>
      <c r="G6" s="7" t="s">
        <v>2</v>
      </c>
      <c r="H6" s="7" t="s">
        <v>2</v>
      </c>
      <c r="I6" s="7" t="s">
        <v>2</v>
      </c>
      <c r="J6" s="7" t="s">
        <v>433</v>
      </c>
    </row>
    <row r="7" spans="1:10" x14ac:dyDescent="0.25" outlineLevel="1" collapsed="1">
      <c r="A7" s="8" t="s">
        <v>15</v>
      </c>
      <c r="B7" s="9" t="s">
        <v>1054</v>
      </c>
      <c r="C7" s="8" t="s">
        <v>2</v>
      </c>
      <c r="D7" s="8"/>
      <c r="E7" s="8" t="s">
        <v>1055</v>
      </c>
      <c r="F7" s="8" t="s">
        <v>15</v>
      </c>
      <c r="G7" s="8" t="s">
        <v>2</v>
      </c>
      <c r="H7" s="8" t="s">
        <v>2</v>
      </c>
      <c r="I7" s="8" t="s">
        <v>2</v>
      </c>
      <c r="J7" s="8" t="s">
        <v>1056</v>
      </c>
    </row>
    <row r="8" spans="1:10" x14ac:dyDescent="0.25" outlineLevel="2" collapsed="1">
      <c r="A8" s="7" t="s">
        <v>15</v>
      </c>
      <c r="B8" s="7" t="s">
        <v>53</v>
      </c>
      <c r="C8" s="7" t="s">
        <v>2</v>
      </c>
      <c r="D8" s="7"/>
      <c r="E8" s="7" t="s">
        <v>1057</v>
      </c>
      <c r="F8" s="7" t="s">
        <v>17</v>
      </c>
      <c r="G8" s="7">
        <v>1</v>
      </c>
      <c r="H8" s="7" t="s">
        <v>2</v>
      </c>
      <c r="I8" s="7" t="s">
        <v>2</v>
      </c>
      <c r="J8" s="7" t="s">
        <v>1058</v>
      </c>
    </row>
    <row r="9" spans="1:10" x14ac:dyDescent="0.25" outlineLevel="2" collapsed="1">
      <c r="A9" s="7" t="s">
        <v>15</v>
      </c>
      <c r="B9" s="7" t="s">
        <v>53</v>
      </c>
      <c r="C9" s="7" t="s">
        <v>2</v>
      </c>
      <c r="D9" s="7"/>
      <c r="E9" s="7" t="s">
        <v>1059</v>
      </c>
      <c r="F9" s="7" t="s">
        <v>17</v>
      </c>
      <c r="G9" s="7">
        <v>1</v>
      </c>
      <c r="H9" s="7" t="s">
        <v>2</v>
      </c>
      <c r="I9" s="7" t="s">
        <v>2</v>
      </c>
      <c r="J9" s="7" t="s">
        <v>1060</v>
      </c>
    </row>
    <row r="10" spans="1:10" x14ac:dyDescent="0.25" outlineLevel="1" collapsed="1">
      <c r="A10" s="8" t="s">
        <v>15</v>
      </c>
      <c r="B10" s="9" t="s">
        <v>1061</v>
      </c>
      <c r="C10" s="8" t="s">
        <v>2</v>
      </c>
      <c r="D10" s="8"/>
      <c r="E10" s="8" t="s">
        <v>1061</v>
      </c>
      <c r="F10" s="8" t="s">
        <v>15</v>
      </c>
      <c r="G10" s="8" t="s">
        <v>2</v>
      </c>
      <c r="H10" s="8" t="s">
        <v>2</v>
      </c>
      <c r="I10" s="8" t="s">
        <v>2</v>
      </c>
      <c r="J10" s="8" t="s">
        <v>1062</v>
      </c>
    </row>
    <row r="11" spans="1:10" x14ac:dyDescent="0.25" outlineLevel="2" collapsed="1">
      <c r="A11" s="7" t="s">
        <v>15</v>
      </c>
      <c r="B11" s="7" t="s">
        <v>20</v>
      </c>
      <c r="C11" s="7" t="s">
        <v>2</v>
      </c>
      <c r="D11" s="7"/>
      <c r="E11" s="7" t="s">
        <v>1063</v>
      </c>
      <c r="F11" s="7" t="s">
        <v>17</v>
      </c>
      <c r="G11" s="7" t="s">
        <v>22</v>
      </c>
      <c r="H11" s="7" t="s">
        <v>2</v>
      </c>
      <c r="I11" s="7" t="s">
        <v>2</v>
      </c>
      <c r="J11" s="7" t="s">
        <v>1064</v>
      </c>
    </row>
    <row r="12" spans="1:10" x14ac:dyDescent="0.25" outlineLevel="2" collapsed="1">
      <c r="A12" s="7" t="s">
        <v>15</v>
      </c>
      <c r="B12" s="7" t="s">
        <v>133</v>
      </c>
      <c r="C12" s="7" t="s">
        <v>1065</v>
      </c>
      <c r="D12" s="7"/>
      <c r="E12" s="7" t="s">
        <v>1066</v>
      </c>
      <c r="F12" s="7" t="s">
        <v>17</v>
      </c>
      <c r="G12" s="7" t="s">
        <v>1618</v>
      </c>
      <c r="H12" s="7" t="s">
        <v>2</v>
      </c>
      <c r="I12" s="7" t="s">
        <v>2</v>
      </c>
      <c r="J12" s="7" t="s">
        <v>1068</v>
      </c>
    </row>
    <row r="13" spans="1:10" x14ac:dyDescent="0.25" outlineLevel="1" collapsed="1">
      <c r="A13" s="7" t="s">
        <v>15</v>
      </c>
      <c r="B13" s="7" t="s">
        <v>125</v>
      </c>
      <c r="C13" s="7" t="s">
        <v>2</v>
      </c>
      <c r="D13" s="7"/>
      <c r="E13" s="7" t="s">
        <v>1069</v>
      </c>
      <c r="F13" s="7" t="s">
        <v>17</v>
      </c>
      <c r="G13" s="7" t="s">
        <v>1619</v>
      </c>
      <c r="H13" s="7" t="s">
        <v>2</v>
      </c>
      <c r="I13" s="7" t="s">
        <v>2</v>
      </c>
      <c r="J13" s="7" t="s">
        <v>1071</v>
      </c>
    </row>
  </sheetData>
  <mergeCells count="3">
    <mergeCell ref="A1:J1"/>
    <mergeCell ref="B2:J2"/>
    <mergeCell ref="B3:J3"/>
  </mergeCells>
  <hyperlinks>
    <hyperlink ref="B5" r:id="rId1" location="#'Baseline Water Sources'!A1"/>
    <hyperlink ref="B7" r:id="rId2" location="#'Water Source Details Percentag'!A1"/>
    <hyperlink ref="B10" r:id="rId3" location="#'Water Source Type Detail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207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135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210</v>
      </c>
    </row>
    <row r="6" spans="1:10" x14ac:dyDescent="0.25">
      <c r="A6" s="5" t="s">
        <v>15</v>
      </c>
      <c r="B6" s="5" t="s">
        <v>160</v>
      </c>
      <c r="C6" s="5" t="s">
        <v>2</v>
      </c>
      <c r="D6" s="5"/>
      <c r="E6" s="5" t="s">
        <v>211</v>
      </c>
      <c r="F6" s="5" t="s">
        <v>17</v>
      </c>
      <c r="G6" s="5" t="s">
        <v>162</v>
      </c>
      <c r="H6" s="5" t="s">
        <v>2</v>
      </c>
      <c r="I6" s="5" t="s">
        <v>2</v>
      </c>
      <c r="J6" s="5" t="s">
        <v>212</v>
      </c>
    </row>
    <row r="7" spans="1:10" x14ac:dyDescent="0.25">
      <c r="A7" s="5" t="s">
        <v>15</v>
      </c>
      <c r="B7" s="5" t="s">
        <v>20</v>
      </c>
      <c r="C7" s="5" t="s">
        <v>2</v>
      </c>
      <c r="D7" s="5"/>
      <c r="E7" s="5" t="s">
        <v>213</v>
      </c>
      <c r="F7" s="5" t="s">
        <v>17</v>
      </c>
      <c r="G7" s="5" t="s">
        <v>22</v>
      </c>
      <c r="H7" s="5" t="s">
        <v>2</v>
      </c>
      <c r="I7" s="5" t="s">
        <v>2</v>
      </c>
      <c r="J7" s="5" t="s">
        <v>214</v>
      </c>
    </row>
    <row r="8" spans="1:10" x14ac:dyDescent="0.25">
      <c r="A8" s="5" t="s">
        <v>15</v>
      </c>
      <c r="B8" s="5" t="s">
        <v>133</v>
      </c>
      <c r="C8" s="5" t="s">
        <v>215</v>
      </c>
      <c r="D8" s="5"/>
      <c r="E8" s="5" t="s">
        <v>216</v>
      </c>
      <c r="F8" s="5" t="s">
        <v>17</v>
      </c>
      <c r="G8" s="5" t="s">
        <v>1620</v>
      </c>
      <c r="H8" s="5" t="s">
        <v>2</v>
      </c>
      <c r="I8" s="5" t="s">
        <v>2</v>
      </c>
      <c r="J8" s="5" t="s">
        <v>218</v>
      </c>
    </row>
    <row r="9" spans="1:10" x14ac:dyDescent="0.25">
      <c r="A9" s="5" t="s">
        <v>17</v>
      </c>
      <c r="B9" s="5" t="s">
        <v>133</v>
      </c>
      <c r="C9" s="5" t="s">
        <v>215</v>
      </c>
      <c r="D9" s="5"/>
      <c r="E9" s="5" t="s">
        <v>219</v>
      </c>
      <c r="F9" s="5" t="s">
        <v>17</v>
      </c>
      <c r="G9" s="5" t="s">
        <v>1621</v>
      </c>
      <c r="H9" s="5" t="s">
        <v>2</v>
      </c>
      <c r="I9" s="5" t="s">
        <v>2</v>
      </c>
      <c r="J9" s="5" t="s">
        <v>221</v>
      </c>
    </row>
    <row r="10" spans="1:10" x14ac:dyDescent="0.25">
      <c r="A10" s="5" t="s">
        <v>17</v>
      </c>
      <c r="B10" s="5" t="s">
        <v>20</v>
      </c>
      <c r="C10" s="5" t="s">
        <v>2</v>
      </c>
      <c r="D10" s="5"/>
      <c r="E10" s="5" t="s">
        <v>222</v>
      </c>
      <c r="F10" s="5" t="s">
        <v>17</v>
      </c>
      <c r="G10" s="5" t="s">
        <v>22</v>
      </c>
      <c r="H10" s="5" t="s">
        <v>2</v>
      </c>
      <c r="I10" s="5" t="s">
        <v>2</v>
      </c>
      <c r="J10" s="5" t="s">
        <v>223</v>
      </c>
    </row>
    <row r="11" spans="1:10" x14ac:dyDescent="0.25">
      <c r="A11" s="5" t="s">
        <v>17</v>
      </c>
      <c r="B11" s="5" t="s">
        <v>133</v>
      </c>
      <c r="C11" s="5" t="s">
        <v>146</v>
      </c>
      <c r="D11" s="5"/>
      <c r="E11" s="5" t="s">
        <v>147</v>
      </c>
      <c r="F11" s="5" t="s">
        <v>17</v>
      </c>
      <c r="G11" s="5" t="s">
        <v>1622</v>
      </c>
      <c r="H11" s="5" t="s">
        <v>2</v>
      </c>
      <c r="I11" s="5" t="s">
        <v>2</v>
      </c>
      <c r="J11" s="5" t="s">
        <v>149</v>
      </c>
    </row>
    <row r="12" spans="1:10" x14ac:dyDescent="0.25">
      <c r="A12" s="5" t="s">
        <v>15</v>
      </c>
      <c r="B12" s="5" t="s">
        <v>53</v>
      </c>
      <c r="C12" s="5" t="s">
        <v>2</v>
      </c>
      <c r="D12" s="5"/>
      <c r="E12" s="5" t="s">
        <v>225</v>
      </c>
      <c r="F12" s="5" t="s">
        <v>17</v>
      </c>
      <c r="G12" s="5">
        <v>1</v>
      </c>
      <c r="H12" s="5" t="s">
        <v>2</v>
      </c>
      <c r="I12" s="5" t="s">
        <v>2</v>
      </c>
      <c r="J12" s="5" t="s">
        <v>226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366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366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369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370</v>
      </c>
    </row>
    <row r="6" spans="1:10" x14ac:dyDescent="0.25">
      <c r="A6" s="5" t="s">
        <v>15</v>
      </c>
      <c r="B6" s="5" t="s">
        <v>20</v>
      </c>
      <c r="C6" s="5" t="s">
        <v>2</v>
      </c>
      <c r="D6" s="5"/>
      <c r="E6" s="5" t="s">
        <v>371</v>
      </c>
      <c r="F6" s="5" t="s">
        <v>17</v>
      </c>
      <c r="G6" s="5" t="s">
        <v>22</v>
      </c>
      <c r="H6" s="5" t="s">
        <v>2</v>
      </c>
      <c r="I6" s="5" t="s">
        <v>2</v>
      </c>
      <c r="J6" s="5" t="s">
        <v>372</v>
      </c>
    </row>
    <row r="7" spans="1:10" x14ac:dyDescent="0.25">
      <c r="A7" s="5" t="s">
        <v>15</v>
      </c>
      <c r="B7" s="5" t="s">
        <v>20</v>
      </c>
      <c r="C7" s="5" t="s">
        <v>2</v>
      </c>
      <c r="D7" s="5"/>
      <c r="E7" s="5" t="s">
        <v>373</v>
      </c>
      <c r="F7" s="5" t="s">
        <v>17</v>
      </c>
      <c r="G7" s="5" t="s">
        <v>22</v>
      </c>
      <c r="H7" s="5" t="s">
        <v>2</v>
      </c>
      <c r="I7" s="5" t="s">
        <v>2</v>
      </c>
      <c r="J7" s="5" t="s">
        <v>374</v>
      </c>
    </row>
    <row r="8" spans="1:10" x14ac:dyDescent="0.25">
      <c r="A8" s="5" t="s">
        <v>15</v>
      </c>
      <c r="B8" s="6" t="s">
        <v>34</v>
      </c>
      <c r="C8" s="5" t="s">
        <v>2</v>
      </c>
      <c r="D8" s="5"/>
      <c r="E8" s="5" t="s">
        <v>375</v>
      </c>
      <c r="F8" s="5" t="s">
        <v>17</v>
      </c>
      <c r="G8" s="5" t="s">
        <v>2</v>
      </c>
      <c r="H8" s="5" t="s">
        <v>2</v>
      </c>
      <c r="I8" s="5" t="s">
        <v>2</v>
      </c>
      <c r="J8" s="5" t="s">
        <v>376</v>
      </c>
    </row>
    <row r="9" spans="1:10" x14ac:dyDescent="0.25" outlineLevel="1" collapsed="1">
      <c r="A9" s="7" t="s">
        <v>15</v>
      </c>
      <c r="B9" s="7" t="s">
        <v>26</v>
      </c>
      <c r="C9" s="7" t="s">
        <v>2</v>
      </c>
      <c r="D9" s="7"/>
      <c r="E9" s="7" t="s">
        <v>36</v>
      </c>
      <c r="F9" s="7" t="s">
        <v>17</v>
      </c>
      <c r="G9" s="7" t="s">
        <v>37</v>
      </c>
      <c r="H9" s="7" t="s">
        <v>2</v>
      </c>
      <c r="I9" s="7" t="s">
        <v>2</v>
      </c>
      <c r="J9" s="7" t="s">
        <v>38</v>
      </c>
    </row>
    <row r="10" spans="1:10" x14ac:dyDescent="0.25" outlineLevel="1" collapsed="1">
      <c r="A10" s="7" t="s">
        <v>15</v>
      </c>
      <c r="B10" s="7" t="s">
        <v>26</v>
      </c>
      <c r="C10" s="7" t="s">
        <v>2</v>
      </c>
      <c r="D10" s="7"/>
      <c r="E10" s="7" t="s">
        <v>39</v>
      </c>
      <c r="F10" s="7" t="s">
        <v>17</v>
      </c>
      <c r="G10" s="7" t="s">
        <v>37</v>
      </c>
      <c r="H10" s="7" t="s">
        <v>2</v>
      </c>
      <c r="I10" s="7" t="s">
        <v>2</v>
      </c>
      <c r="J10" s="7" t="s">
        <v>40</v>
      </c>
    </row>
  </sheetData>
  <mergeCells count="3">
    <mergeCell ref="A1:J1"/>
    <mergeCell ref="B2:J2"/>
    <mergeCell ref="B3:J3"/>
  </mergeCells>
  <hyperlinks>
    <hyperlink ref="B8" r:id="rId1" location="#'Duration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3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1331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1334</v>
      </c>
      <c r="C5" s="5" t="s">
        <v>2</v>
      </c>
      <c r="D5" s="5"/>
      <c r="E5" s="5" t="s">
        <v>1335</v>
      </c>
      <c r="F5" s="5" t="s">
        <v>17</v>
      </c>
      <c r="G5" s="5" t="s">
        <v>2</v>
      </c>
      <c r="H5" s="5" t="s">
        <v>2</v>
      </c>
      <c r="I5" s="5" t="s">
        <v>2</v>
      </c>
      <c r="J5" s="5" t="s">
        <v>1336</v>
      </c>
    </row>
    <row r="6" spans="1:10" x14ac:dyDescent="0.25" outlineLevel="1" collapsed="1">
      <c r="A6" s="8" t="s">
        <v>15</v>
      </c>
      <c r="B6" s="9" t="s">
        <v>1337</v>
      </c>
      <c r="C6" s="8" t="s">
        <v>2</v>
      </c>
      <c r="D6" s="8"/>
      <c r="E6" s="8" t="s">
        <v>1338</v>
      </c>
      <c r="F6" s="8" t="s">
        <v>15</v>
      </c>
      <c r="G6" s="8" t="s">
        <v>2</v>
      </c>
      <c r="H6" s="8" t="s">
        <v>2</v>
      </c>
      <c r="I6" s="8" t="s">
        <v>2</v>
      </c>
      <c r="J6" s="8" t="s">
        <v>1339</v>
      </c>
    </row>
    <row r="7" spans="1:10" x14ac:dyDescent="0.25" outlineLevel="2" collapsed="1">
      <c r="A7" s="7" t="s">
        <v>15</v>
      </c>
      <c r="B7" s="7" t="s">
        <v>20</v>
      </c>
      <c r="C7" s="7" t="s">
        <v>2</v>
      </c>
      <c r="D7" s="7"/>
      <c r="E7" s="7" t="s">
        <v>1338</v>
      </c>
      <c r="F7" s="7" t="s">
        <v>17</v>
      </c>
      <c r="G7" s="7" t="s">
        <v>22</v>
      </c>
      <c r="H7" s="7" t="s">
        <v>2</v>
      </c>
      <c r="I7" s="7" t="s">
        <v>2</v>
      </c>
      <c r="J7" s="7" t="s">
        <v>1340</v>
      </c>
    </row>
    <row r="8" spans="1:10" x14ac:dyDescent="0.25" outlineLevel="2" collapsed="1">
      <c r="A8" s="7" t="s">
        <v>15</v>
      </c>
      <c r="B8" s="7" t="s">
        <v>20</v>
      </c>
      <c r="C8" s="7" t="s">
        <v>2</v>
      </c>
      <c r="D8" s="7"/>
      <c r="E8" s="7" t="s">
        <v>1141</v>
      </c>
      <c r="F8" s="7" t="s">
        <v>17</v>
      </c>
      <c r="G8" s="7" t="s">
        <v>22</v>
      </c>
      <c r="H8" s="7" t="s">
        <v>2</v>
      </c>
      <c r="I8" s="7" t="s">
        <v>2</v>
      </c>
      <c r="J8" s="7" t="s">
        <v>1142</v>
      </c>
    </row>
    <row r="9" spans="1:10" x14ac:dyDescent="0.25" outlineLevel="2" collapsed="1">
      <c r="A9" s="7" t="s">
        <v>15</v>
      </c>
      <c r="B9" s="7" t="s">
        <v>20</v>
      </c>
      <c r="C9" s="7" t="s">
        <v>2</v>
      </c>
      <c r="D9" s="7"/>
      <c r="E9" s="7" t="s">
        <v>9</v>
      </c>
      <c r="F9" s="7" t="s">
        <v>17</v>
      </c>
      <c r="G9" s="7" t="s">
        <v>22</v>
      </c>
      <c r="H9" s="7" t="s">
        <v>2</v>
      </c>
      <c r="I9" s="7" t="s">
        <v>2</v>
      </c>
      <c r="J9" s="7" t="s">
        <v>1143</v>
      </c>
    </row>
    <row r="10" spans="1:10" x14ac:dyDescent="0.25" outlineLevel="2" collapsed="1">
      <c r="A10" s="7" t="s">
        <v>15</v>
      </c>
      <c r="B10" s="7" t="s">
        <v>20</v>
      </c>
      <c r="C10" s="7" t="s">
        <v>2</v>
      </c>
      <c r="D10" s="7"/>
      <c r="E10" s="7" t="s">
        <v>1144</v>
      </c>
      <c r="F10" s="7" t="s">
        <v>17</v>
      </c>
      <c r="G10" s="7" t="s">
        <v>22</v>
      </c>
      <c r="H10" s="7" t="s">
        <v>2</v>
      </c>
      <c r="I10" s="7" t="s">
        <v>2</v>
      </c>
      <c r="J10" s="7" t="s">
        <v>1145</v>
      </c>
    </row>
    <row r="11" spans="1:10" x14ac:dyDescent="0.25" outlineLevel="2" collapsed="1">
      <c r="A11" s="7" t="s">
        <v>15</v>
      </c>
      <c r="B11" s="7" t="s">
        <v>20</v>
      </c>
      <c r="C11" s="7" t="s">
        <v>2</v>
      </c>
      <c r="D11" s="7"/>
      <c r="E11" s="7" t="s">
        <v>1341</v>
      </c>
      <c r="F11" s="7" t="s">
        <v>17</v>
      </c>
      <c r="G11" s="7" t="s">
        <v>22</v>
      </c>
      <c r="H11" s="7" t="s">
        <v>2</v>
      </c>
      <c r="I11" s="7" t="s">
        <v>2</v>
      </c>
      <c r="J11" s="7" t="s">
        <v>1342</v>
      </c>
    </row>
    <row r="12" spans="1:10" x14ac:dyDescent="0.25" outlineLevel="2" collapsed="1">
      <c r="A12" s="7" t="s">
        <v>15</v>
      </c>
      <c r="B12" s="7" t="s">
        <v>20</v>
      </c>
      <c r="C12" s="7" t="s">
        <v>2</v>
      </c>
      <c r="D12" s="7"/>
      <c r="E12" s="7" t="s">
        <v>1343</v>
      </c>
      <c r="F12" s="7" t="s">
        <v>17</v>
      </c>
      <c r="G12" s="7" t="s">
        <v>22</v>
      </c>
      <c r="H12" s="7" t="s">
        <v>2</v>
      </c>
      <c r="I12" s="7" t="s">
        <v>2</v>
      </c>
      <c r="J12" s="7" t="s">
        <v>1344</v>
      </c>
    </row>
    <row r="13" spans="1:10" x14ac:dyDescent="0.25" outlineLevel="2" collapsed="1">
      <c r="A13" s="7" t="s">
        <v>15</v>
      </c>
      <c r="B13" s="7" t="s">
        <v>20</v>
      </c>
      <c r="C13" s="7" t="s">
        <v>2</v>
      </c>
      <c r="D13" s="7"/>
      <c r="E13" s="7" t="s">
        <v>1345</v>
      </c>
      <c r="F13" s="7" t="s">
        <v>17</v>
      </c>
      <c r="G13" s="7" t="s">
        <v>22</v>
      </c>
      <c r="H13" s="7" t="s">
        <v>2</v>
      </c>
      <c r="I13" s="7" t="s">
        <v>2</v>
      </c>
      <c r="J13" s="7" t="s">
        <v>1346</v>
      </c>
    </row>
    <row r="14" spans="1:10" x14ac:dyDescent="0.25" outlineLevel="2" collapsed="1">
      <c r="A14" s="7" t="s">
        <v>15</v>
      </c>
      <c r="B14" s="7" t="s">
        <v>20</v>
      </c>
      <c r="C14" s="7" t="s">
        <v>2</v>
      </c>
      <c r="D14" s="7"/>
      <c r="E14" s="7" t="s">
        <v>1150</v>
      </c>
      <c r="F14" s="7" t="s">
        <v>17</v>
      </c>
      <c r="G14" s="7" t="s">
        <v>22</v>
      </c>
      <c r="H14" s="7" t="s">
        <v>2</v>
      </c>
      <c r="I14" s="7" t="s">
        <v>2</v>
      </c>
      <c r="J14" s="7" t="s">
        <v>1151</v>
      </c>
    </row>
    <row r="15" spans="1:10" x14ac:dyDescent="0.25" outlineLevel="2" collapsed="1">
      <c r="A15" s="7" t="s">
        <v>15</v>
      </c>
      <c r="B15" s="7" t="s">
        <v>20</v>
      </c>
      <c r="C15" s="7" t="s">
        <v>2</v>
      </c>
      <c r="D15" s="7"/>
      <c r="E15" s="7" t="s">
        <v>1152</v>
      </c>
      <c r="F15" s="7" t="s">
        <v>17</v>
      </c>
      <c r="G15" s="7" t="s">
        <v>22</v>
      </c>
      <c r="H15" s="7" t="s">
        <v>2</v>
      </c>
      <c r="I15" s="7" t="s">
        <v>2</v>
      </c>
      <c r="J15" s="7" t="s">
        <v>1153</v>
      </c>
    </row>
    <row r="16" spans="1:10" x14ac:dyDescent="0.25" outlineLevel="1" collapsed="1">
      <c r="A16" s="7" t="s">
        <v>15</v>
      </c>
      <c r="B16" s="7" t="s">
        <v>125</v>
      </c>
      <c r="C16" s="7" t="s">
        <v>2</v>
      </c>
      <c r="D16" s="7"/>
      <c r="E16" s="7" t="s">
        <v>1347</v>
      </c>
      <c r="F16" s="7" t="s">
        <v>17</v>
      </c>
      <c r="G16" s="7" t="s">
        <v>1623</v>
      </c>
      <c r="H16" s="7" t="s">
        <v>2</v>
      </c>
      <c r="I16" s="7" t="s">
        <v>2</v>
      </c>
      <c r="J16" s="7" t="s">
        <v>1349</v>
      </c>
    </row>
    <row r="17" spans="1:10" x14ac:dyDescent="0.25" outlineLevel="1" collapsed="1">
      <c r="A17" s="7" t="s">
        <v>17</v>
      </c>
      <c r="B17" s="7" t="s">
        <v>125</v>
      </c>
      <c r="C17" s="7" t="s">
        <v>2</v>
      </c>
      <c r="D17" s="7"/>
      <c r="E17" s="7" t="s">
        <v>1350</v>
      </c>
      <c r="F17" s="7" t="s">
        <v>17</v>
      </c>
      <c r="G17" s="7" t="s">
        <v>1624</v>
      </c>
      <c r="H17" s="7" t="s">
        <v>2</v>
      </c>
      <c r="I17" s="7" t="s">
        <v>2</v>
      </c>
      <c r="J17" s="7" t="s">
        <v>1352</v>
      </c>
    </row>
    <row r="18" spans="1:10" x14ac:dyDescent="0.25">
      <c r="A18" s="5" t="s">
        <v>17</v>
      </c>
      <c r="B18" s="6" t="s">
        <v>1353</v>
      </c>
      <c r="C18" s="5" t="s">
        <v>2</v>
      </c>
      <c r="D18" s="5"/>
      <c r="E18" s="5" t="s">
        <v>1354</v>
      </c>
      <c r="F18" s="5" t="s">
        <v>15</v>
      </c>
      <c r="G18" s="5" t="s">
        <v>2</v>
      </c>
      <c r="H18" s="5" t="s">
        <v>2</v>
      </c>
      <c r="I18" s="5" t="s">
        <v>2</v>
      </c>
      <c r="J18" s="5" t="s">
        <v>1355</v>
      </c>
    </row>
    <row r="19" spans="1:10" x14ac:dyDescent="0.25" outlineLevel="1" collapsed="1">
      <c r="A19" s="7" t="s">
        <v>15</v>
      </c>
      <c r="B19" s="7" t="s">
        <v>44</v>
      </c>
      <c r="C19" s="10" t="s">
        <v>1356</v>
      </c>
      <c r="D19" s="7"/>
      <c r="E19" s="7" t="s">
        <v>1357</v>
      </c>
      <c r="F19" s="7" t="s">
        <v>17</v>
      </c>
      <c r="G19" s="7" t="s">
        <v>762</v>
      </c>
      <c r="H19" s="7" t="s">
        <v>2</v>
      </c>
      <c r="I19" s="7" t="s">
        <v>2</v>
      </c>
      <c r="J19" s="7" t="s">
        <v>1358</v>
      </c>
    </row>
    <row r="20" spans="1:10" x14ac:dyDescent="0.25" outlineLevel="1" collapsed="1">
      <c r="A20" s="8" t="s">
        <v>15</v>
      </c>
      <c r="B20" s="9" t="s">
        <v>1337</v>
      </c>
      <c r="C20" s="8" t="s">
        <v>2</v>
      </c>
      <c r="D20" s="8"/>
      <c r="E20" s="8" t="s">
        <v>1338</v>
      </c>
      <c r="F20" s="8" t="s">
        <v>15</v>
      </c>
      <c r="G20" s="8" t="s">
        <v>2</v>
      </c>
      <c r="H20" s="8" t="s">
        <v>2</v>
      </c>
      <c r="I20" s="8" t="s">
        <v>2</v>
      </c>
      <c r="J20" s="8" t="s">
        <v>1340</v>
      </c>
    </row>
    <row r="21" spans="1:10" x14ac:dyDescent="0.25" outlineLevel="2" collapsed="1">
      <c r="A21" s="7" t="s">
        <v>15</v>
      </c>
      <c r="B21" s="7" t="s">
        <v>20</v>
      </c>
      <c r="C21" s="7" t="s">
        <v>2</v>
      </c>
      <c r="D21" s="7"/>
      <c r="E21" s="7" t="s">
        <v>1338</v>
      </c>
      <c r="F21" s="7" t="s">
        <v>17</v>
      </c>
      <c r="G21" s="7" t="s">
        <v>22</v>
      </c>
      <c r="H21" s="7" t="s">
        <v>2</v>
      </c>
      <c r="I21" s="7" t="s">
        <v>2</v>
      </c>
      <c r="J21" s="7" t="s">
        <v>1340</v>
      </c>
    </row>
    <row r="22" spans="1:10" x14ac:dyDescent="0.25" outlineLevel="2" collapsed="1">
      <c r="A22" s="7" t="s">
        <v>15</v>
      </c>
      <c r="B22" s="7" t="s">
        <v>20</v>
      </c>
      <c r="C22" s="7" t="s">
        <v>2</v>
      </c>
      <c r="D22" s="7"/>
      <c r="E22" s="7" t="s">
        <v>1141</v>
      </c>
      <c r="F22" s="7" t="s">
        <v>17</v>
      </c>
      <c r="G22" s="7" t="s">
        <v>22</v>
      </c>
      <c r="H22" s="7" t="s">
        <v>2</v>
      </c>
      <c r="I22" s="7" t="s">
        <v>2</v>
      </c>
      <c r="J22" s="7" t="s">
        <v>1142</v>
      </c>
    </row>
    <row r="23" spans="1:10" x14ac:dyDescent="0.25" outlineLevel="2" collapsed="1">
      <c r="A23" s="7" t="s">
        <v>15</v>
      </c>
      <c r="B23" s="7" t="s">
        <v>20</v>
      </c>
      <c r="C23" s="7" t="s">
        <v>2</v>
      </c>
      <c r="D23" s="7"/>
      <c r="E23" s="7" t="s">
        <v>9</v>
      </c>
      <c r="F23" s="7" t="s">
        <v>17</v>
      </c>
      <c r="G23" s="7" t="s">
        <v>22</v>
      </c>
      <c r="H23" s="7" t="s">
        <v>2</v>
      </c>
      <c r="I23" s="7" t="s">
        <v>2</v>
      </c>
      <c r="J23" s="7" t="s">
        <v>1143</v>
      </c>
    </row>
    <row r="24" spans="1:10" x14ac:dyDescent="0.25" outlineLevel="2" collapsed="1">
      <c r="A24" s="7" t="s">
        <v>15</v>
      </c>
      <c r="B24" s="7" t="s">
        <v>20</v>
      </c>
      <c r="C24" s="7" t="s">
        <v>2</v>
      </c>
      <c r="D24" s="7"/>
      <c r="E24" s="7" t="s">
        <v>1144</v>
      </c>
      <c r="F24" s="7" t="s">
        <v>17</v>
      </c>
      <c r="G24" s="7" t="s">
        <v>22</v>
      </c>
      <c r="H24" s="7" t="s">
        <v>2</v>
      </c>
      <c r="I24" s="7" t="s">
        <v>2</v>
      </c>
      <c r="J24" s="7" t="s">
        <v>1145</v>
      </c>
    </row>
    <row r="25" spans="1:10" x14ac:dyDescent="0.25" outlineLevel="2" collapsed="1">
      <c r="A25" s="7" t="s">
        <v>15</v>
      </c>
      <c r="B25" s="7" t="s">
        <v>20</v>
      </c>
      <c r="C25" s="7" t="s">
        <v>2</v>
      </c>
      <c r="D25" s="7"/>
      <c r="E25" s="7" t="s">
        <v>1341</v>
      </c>
      <c r="F25" s="7" t="s">
        <v>17</v>
      </c>
      <c r="G25" s="7" t="s">
        <v>22</v>
      </c>
      <c r="H25" s="7" t="s">
        <v>2</v>
      </c>
      <c r="I25" s="7" t="s">
        <v>2</v>
      </c>
      <c r="J25" s="7" t="s">
        <v>1342</v>
      </c>
    </row>
    <row r="26" spans="1:10" x14ac:dyDescent="0.25" outlineLevel="2" collapsed="1">
      <c r="A26" s="7" t="s">
        <v>15</v>
      </c>
      <c r="B26" s="7" t="s">
        <v>20</v>
      </c>
      <c r="C26" s="7" t="s">
        <v>2</v>
      </c>
      <c r="D26" s="7"/>
      <c r="E26" s="7" t="s">
        <v>1343</v>
      </c>
      <c r="F26" s="7" t="s">
        <v>17</v>
      </c>
      <c r="G26" s="7" t="s">
        <v>22</v>
      </c>
      <c r="H26" s="7" t="s">
        <v>2</v>
      </c>
      <c r="I26" s="7" t="s">
        <v>2</v>
      </c>
      <c r="J26" s="7" t="s">
        <v>1344</v>
      </c>
    </row>
    <row r="27" spans="1:10" x14ac:dyDescent="0.25" outlineLevel="2" collapsed="1">
      <c r="A27" s="7" t="s">
        <v>15</v>
      </c>
      <c r="B27" s="7" t="s">
        <v>20</v>
      </c>
      <c r="C27" s="7" t="s">
        <v>2</v>
      </c>
      <c r="D27" s="7"/>
      <c r="E27" s="7" t="s">
        <v>1345</v>
      </c>
      <c r="F27" s="7" t="s">
        <v>17</v>
      </c>
      <c r="G27" s="7" t="s">
        <v>22</v>
      </c>
      <c r="H27" s="7" t="s">
        <v>2</v>
      </c>
      <c r="I27" s="7" t="s">
        <v>2</v>
      </c>
      <c r="J27" s="7" t="s">
        <v>1346</v>
      </c>
    </row>
    <row r="28" spans="1:10" x14ac:dyDescent="0.25" outlineLevel="2" collapsed="1">
      <c r="A28" s="7" t="s">
        <v>15</v>
      </c>
      <c r="B28" s="7" t="s">
        <v>20</v>
      </c>
      <c r="C28" s="7" t="s">
        <v>2</v>
      </c>
      <c r="D28" s="7"/>
      <c r="E28" s="7" t="s">
        <v>1150</v>
      </c>
      <c r="F28" s="7" t="s">
        <v>17</v>
      </c>
      <c r="G28" s="7" t="s">
        <v>22</v>
      </c>
      <c r="H28" s="7" t="s">
        <v>2</v>
      </c>
      <c r="I28" s="7" t="s">
        <v>2</v>
      </c>
      <c r="J28" s="7" t="s">
        <v>1151</v>
      </c>
    </row>
    <row r="29" spans="1:10" x14ac:dyDescent="0.25" outlineLevel="2" collapsed="1">
      <c r="A29" s="7" t="s">
        <v>15</v>
      </c>
      <c r="B29" s="7" t="s">
        <v>20</v>
      </c>
      <c r="C29" s="7" t="s">
        <v>2</v>
      </c>
      <c r="D29" s="7"/>
      <c r="E29" s="7" t="s">
        <v>1152</v>
      </c>
      <c r="F29" s="7" t="s">
        <v>17</v>
      </c>
      <c r="G29" s="7" t="s">
        <v>22</v>
      </c>
      <c r="H29" s="7" t="s">
        <v>2</v>
      </c>
      <c r="I29" s="7" t="s">
        <v>2</v>
      </c>
      <c r="J29" s="7" t="s">
        <v>1153</v>
      </c>
    </row>
    <row r="30" spans="1:10" x14ac:dyDescent="0.25" outlineLevel="1" collapsed="1">
      <c r="A30" s="7" t="s">
        <v>15</v>
      </c>
      <c r="B30" s="7" t="s">
        <v>125</v>
      </c>
      <c r="C30" s="7" t="s">
        <v>2</v>
      </c>
      <c r="D30" s="7"/>
      <c r="E30" s="7" t="s">
        <v>1347</v>
      </c>
      <c r="F30" s="7" t="s">
        <v>17</v>
      </c>
      <c r="G30" s="7" t="s">
        <v>1625</v>
      </c>
      <c r="H30" s="7" t="s">
        <v>2</v>
      </c>
      <c r="I30" s="7" t="s">
        <v>2</v>
      </c>
      <c r="J30" s="7" t="s">
        <v>1349</v>
      </c>
    </row>
    <row r="31" spans="1:10" x14ac:dyDescent="0.25" outlineLevel="1" collapsed="1">
      <c r="A31" s="7" t="s">
        <v>15</v>
      </c>
      <c r="B31" s="7" t="s">
        <v>125</v>
      </c>
      <c r="C31" s="7" t="s">
        <v>2</v>
      </c>
      <c r="D31" s="7"/>
      <c r="E31" s="7" t="s">
        <v>1350</v>
      </c>
      <c r="F31" s="7" t="s">
        <v>17</v>
      </c>
      <c r="G31" s="7" t="s">
        <v>1626</v>
      </c>
      <c r="H31" s="7" t="s">
        <v>2</v>
      </c>
      <c r="I31" s="7" t="s">
        <v>2</v>
      </c>
      <c r="J31" s="7" t="s">
        <v>1352</v>
      </c>
    </row>
  </sheetData>
  <mergeCells count="3">
    <mergeCell ref="A1:J1"/>
    <mergeCell ref="B2:J2"/>
    <mergeCell ref="B3:J3"/>
  </mergeCells>
  <dataValidations count="1">
    <dataValidation type="list" allowBlank="1" sqref="G19:I19">
      <formula1>'Enums'!C2691:C2706</formula1>
    </dataValidation>
  </dataValidations>
  <hyperlinks>
    <hyperlink ref="B5" r:id="rId1" location="#'Data and Parameters to Be M 2'!A1"/>
    <hyperlink ref="B6" r:id="rId2" location="#'Monitoring Parameter - Item'!A1"/>
    <hyperlink ref="B18" r:id="rId3" location="#'Data and Parameters to Be Moni'!A1"/>
    <hyperlink ref="B20" r:id="rId4" location="#'Monitoring Parameter - Item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4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1627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399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26</v>
      </c>
      <c r="C5" s="5" t="s">
        <v>2</v>
      </c>
      <c r="D5" s="5"/>
      <c r="E5" s="5" t="s">
        <v>401</v>
      </c>
      <c r="F5" s="5" t="s">
        <v>17</v>
      </c>
      <c r="G5" s="5" t="s">
        <v>37</v>
      </c>
      <c r="H5" s="5" t="s">
        <v>2</v>
      </c>
      <c r="I5" s="5" t="s">
        <v>2</v>
      </c>
      <c r="J5" s="5" t="s">
        <v>402</v>
      </c>
    </row>
    <row r="6" spans="1:10" x14ac:dyDescent="0.25">
      <c r="A6" s="5" t="s">
        <v>15</v>
      </c>
      <c r="B6" s="5" t="s">
        <v>20</v>
      </c>
      <c r="C6" s="5" t="s">
        <v>2</v>
      </c>
      <c r="D6" s="5"/>
      <c r="E6" s="5" t="s">
        <v>403</v>
      </c>
      <c r="F6" s="5" t="s">
        <v>17</v>
      </c>
      <c r="G6" s="5" t="s">
        <v>22</v>
      </c>
      <c r="H6" s="5" t="s">
        <v>2</v>
      </c>
      <c r="I6" s="5" t="s">
        <v>2</v>
      </c>
      <c r="J6" s="5" t="s">
        <v>404</v>
      </c>
    </row>
    <row r="7" spans="1:10" x14ac:dyDescent="0.25">
      <c r="A7" s="5" t="s">
        <v>15</v>
      </c>
      <c r="B7" s="5" t="s">
        <v>20</v>
      </c>
      <c r="C7" s="5" t="s">
        <v>2</v>
      </c>
      <c r="D7" s="5"/>
      <c r="E7" s="5" t="s">
        <v>405</v>
      </c>
      <c r="F7" s="5" t="s">
        <v>17</v>
      </c>
      <c r="G7" s="5" t="s">
        <v>22</v>
      </c>
      <c r="H7" s="5" t="s">
        <v>2</v>
      </c>
      <c r="I7" s="5" t="s">
        <v>2</v>
      </c>
      <c r="J7" s="5" t="s">
        <v>406</v>
      </c>
    </row>
    <row r="8" spans="1:10" x14ac:dyDescent="0.25">
      <c r="A8" s="5" t="s">
        <v>15</v>
      </c>
      <c r="B8" s="5" t="s">
        <v>20</v>
      </c>
      <c r="C8" s="5" t="s">
        <v>2</v>
      </c>
      <c r="D8" s="5"/>
      <c r="E8" s="5" t="s">
        <v>407</v>
      </c>
      <c r="F8" s="5" t="s">
        <v>17</v>
      </c>
      <c r="G8" s="5" t="s">
        <v>22</v>
      </c>
      <c r="H8" s="5" t="s">
        <v>2</v>
      </c>
      <c r="I8" s="5" t="s">
        <v>2</v>
      </c>
      <c r="J8" s="5" t="s">
        <v>408</v>
      </c>
    </row>
    <row r="9" spans="1:10" x14ac:dyDescent="0.25">
      <c r="A9" s="5" t="s">
        <v>15</v>
      </c>
      <c r="B9" s="5" t="s">
        <v>20</v>
      </c>
      <c r="C9" s="5" t="s">
        <v>2</v>
      </c>
      <c r="D9" s="5"/>
      <c r="E9" s="5" t="s">
        <v>409</v>
      </c>
      <c r="F9" s="5" t="s">
        <v>17</v>
      </c>
      <c r="G9" s="5" t="s">
        <v>22</v>
      </c>
      <c r="H9" s="5" t="s">
        <v>2</v>
      </c>
      <c r="I9" s="5" t="s">
        <v>2</v>
      </c>
      <c r="J9" s="5" t="s">
        <v>410</v>
      </c>
    </row>
    <row r="10" spans="1:10" x14ac:dyDescent="0.25">
      <c r="A10" s="5" t="s">
        <v>15</v>
      </c>
      <c r="B10" s="5" t="s">
        <v>20</v>
      </c>
      <c r="C10" s="5" t="s">
        <v>2</v>
      </c>
      <c r="D10" s="5"/>
      <c r="E10" s="5" t="s">
        <v>411</v>
      </c>
      <c r="F10" s="5" t="s">
        <v>17</v>
      </c>
      <c r="G10" s="5" t="s">
        <v>22</v>
      </c>
      <c r="H10" s="5" t="s">
        <v>2</v>
      </c>
      <c r="I10" s="5" t="s">
        <v>2</v>
      </c>
      <c r="J10" s="5" t="s">
        <v>412</v>
      </c>
    </row>
    <row r="11" spans="1:10" x14ac:dyDescent="0.25">
      <c r="A11" s="5" t="s">
        <v>15</v>
      </c>
      <c r="B11" s="5" t="s">
        <v>133</v>
      </c>
      <c r="C11" s="5" t="s">
        <v>413</v>
      </c>
      <c r="D11" s="5"/>
      <c r="E11" s="5" t="s">
        <v>414</v>
      </c>
      <c r="F11" s="5" t="s">
        <v>17</v>
      </c>
      <c r="G11" s="5" t="s">
        <v>1628</v>
      </c>
      <c r="H11" s="5" t="s">
        <v>2</v>
      </c>
      <c r="I11" s="5" t="s">
        <v>2</v>
      </c>
      <c r="J11" s="5" t="s">
        <v>416</v>
      </c>
    </row>
    <row r="12" spans="1:10" x14ac:dyDescent="0.25">
      <c r="A12" s="5" t="s">
        <v>15</v>
      </c>
      <c r="B12" s="5" t="s">
        <v>194</v>
      </c>
      <c r="C12" s="5" t="s">
        <v>2</v>
      </c>
      <c r="D12" s="5"/>
      <c r="E12" s="5" t="s">
        <v>417</v>
      </c>
      <c r="F12" s="5" t="s">
        <v>17</v>
      </c>
      <c r="G12" s="5">
        <v>1</v>
      </c>
      <c r="H12" s="5" t="s">
        <v>2</v>
      </c>
      <c r="I12" s="5" t="s">
        <v>2</v>
      </c>
      <c r="J12" s="5" t="s">
        <v>418</v>
      </c>
    </row>
    <row r="13" spans="1:10" x14ac:dyDescent="0.25">
      <c r="A13" s="5" t="s">
        <v>15</v>
      </c>
      <c r="B13" s="5" t="s">
        <v>20</v>
      </c>
      <c r="C13" s="5" t="s">
        <v>2</v>
      </c>
      <c r="D13" s="5"/>
      <c r="E13" s="5" t="s">
        <v>419</v>
      </c>
      <c r="F13" s="5" t="s">
        <v>17</v>
      </c>
      <c r="G13" s="5" t="s">
        <v>22</v>
      </c>
      <c r="H13" s="5" t="s">
        <v>2</v>
      </c>
      <c r="I13" s="5" t="s">
        <v>2</v>
      </c>
      <c r="J13" s="5" t="s">
        <v>420</v>
      </c>
    </row>
    <row r="14" spans="1:10" x14ac:dyDescent="0.25">
      <c r="A14" s="5" t="s">
        <v>15</v>
      </c>
      <c r="B14" s="5" t="s">
        <v>125</v>
      </c>
      <c r="C14" s="5" t="s">
        <v>2</v>
      </c>
      <c r="D14" s="5"/>
      <c r="E14" s="5" t="s">
        <v>421</v>
      </c>
      <c r="F14" s="5" t="s">
        <v>17</v>
      </c>
      <c r="G14" s="5" t="s">
        <v>1629</v>
      </c>
      <c r="H14" s="5" t="s">
        <v>2</v>
      </c>
      <c r="I14" s="5" t="s">
        <v>2</v>
      </c>
      <c r="J14" s="5" t="s">
        <v>423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940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823</v>
      </c>
      <c r="C5" s="5" t="s">
        <v>2</v>
      </c>
      <c r="D5" s="5"/>
      <c r="E5" s="5" t="s">
        <v>943</v>
      </c>
      <c r="F5" s="5" t="s">
        <v>17</v>
      </c>
      <c r="G5" s="5" t="s">
        <v>2</v>
      </c>
      <c r="H5" s="5" t="s">
        <v>2</v>
      </c>
      <c r="I5" s="5" t="s">
        <v>2</v>
      </c>
      <c r="J5" s="5" t="s">
        <v>944</v>
      </c>
    </row>
    <row r="6" spans="1:10" x14ac:dyDescent="0.25" outlineLevel="1" collapsed="1">
      <c r="A6" s="7" t="s">
        <v>15</v>
      </c>
      <c r="B6" s="7" t="s">
        <v>44</v>
      </c>
      <c r="C6" s="10" t="s">
        <v>826</v>
      </c>
      <c r="D6" s="7"/>
      <c r="E6" s="7" t="s">
        <v>827</v>
      </c>
      <c r="F6" s="7" t="s">
        <v>17</v>
      </c>
      <c r="G6" s="7" t="s">
        <v>15</v>
      </c>
      <c r="H6" s="7" t="s">
        <v>2</v>
      </c>
      <c r="I6" s="7" t="s">
        <v>2</v>
      </c>
      <c r="J6" s="7" t="s">
        <v>828</v>
      </c>
    </row>
    <row r="7" spans="1:10" x14ac:dyDescent="0.25" outlineLevel="1" collapsed="1">
      <c r="A7" s="7" t="s">
        <v>17</v>
      </c>
      <c r="B7" s="7" t="s">
        <v>20</v>
      </c>
      <c r="C7" s="7" t="s">
        <v>2</v>
      </c>
      <c r="D7" s="7"/>
      <c r="E7" s="7" t="s">
        <v>76</v>
      </c>
      <c r="F7" s="7" t="s">
        <v>17</v>
      </c>
      <c r="G7" s="7" t="s">
        <v>22</v>
      </c>
      <c r="H7" s="7" t="s">
        <v>2</v>
      </c>
      <c r="I7" s="7" t="s">
        <v>2</v>
      </c>
      <c r="J7" s="7" t="s">
        <v>78</v>
      </c>
    </row>
    <row r="8" spans="1:10" x14ac:dyDescent="0.25">
      <c r="A8" s="5" t="s">
        <v>15</v>
      </c>
      <c r="B8" s="6" t="s">
        <v>823</v>
      </c>
      <c r="C8" s="5" t="s">
        <v>2</v>
      </c>
      <c r="D8" s="5"/>
      <c r="E8" s="5" t="s">
        <v>945</v>
      </c>
      <c r="F8" s="5" t="s">
        <v>17</v>
      </c>
      <c r="G8" s="5" t="s">
        <v>2</v>
      </c>
      <c r="H8" s="5" t="s">
        <v>2</v>
      </c>
      <c r="I8" s="5" t="s">
        <v>2</v>
      </c>
      <c r="J8" s="5" t="s">
        <v>946</v>
      </c>
    </row>
    <row r="9" spans="1:10" x14ac:dyDescent="0.25" outlineLevel="1" collapsed="1">
      <c r="A9" s="7" t="s">
        <v>15</v>
      </c>
      <c r="B9" s="7" t="s">
        <v>44</v>
      </c>
      <c r="C9" s="10" t="s">
        <v>826</v>
      </c>
      <c r="D9" s="7"/>
      <c r="E9" s="7" t="s">
        <v>827</v>
      </c>
      <c r="F9" s="7" t="s">
        <v>17</v>
      </c>
      <c r="G9" s="7" t="s">
        <v>15</v>
      </c>
      <c r="H9" s="7" t="s">
        <v>2</v>
      </c>
      <c r="I9" s="7" t="s">
        <v>2</v>
      </c>
      <c r="J9" s="7" t="s">
        <v>828</v>
      </c>
    </row>
    <row r="10" spans="1:10" x14ac:dyDescent="0.25" outlineLevel="1" collapsed="1">
      <c r="A10" s="7" t="s">
        <v>17</v>
      </c>
      <c r="B10" s="7" t="s">
        <v>20</v>
      </c>
      <c r="C10" s="7" t="s">
        <v>2</v>
      </c>
      <c r="D10" s="7"/>
      <c r="E10" s="7" t="s">
        <v>76</v>
      </c>
      <c r="F10" s="7" t="s">
        <v>17</v>
      </c>
      <c r="G10" s="7" t="s">
        <v>22</v>
      </c>
      <c r="H10" s="7" t="s">
        <v>2</v>
      </c>
      <c r="I10" s="7" t="s">
        <v>2</v>
      </c>
      <c r="J10" s="7" t="s">
        <v>78</v>
      </c>
    </row>
    <row r="11" spans="1:10" x14ac:dyDescent="0.25">
      <c r="A11" s="5" t="s">
        <v>15</v>
      </c>
      <c r="B11" s="6" t="s">
        <v>823</v>
      </c>
      <c r="C11" s="5" t="s">
        <v>2</v>
      </c>
      <c r="D11" s="5"/>
      <c r="E11" s="5" t="s">
        <v>947</v>
      </c>
      <c r="F11" s="5" t="s">
        <v>17</v>
      </c>
      <c r="G11" s="5" t="s">
        <v>2</v>
      </c>
      <c r="H11" s="5" t="s">
        <v>2</v>
      </c>
      <c r="I11" s="5" t="s">
        <v>2</v>
      </c>
      <c r="J11" s="5" t="s">
        <v>948</v>
      </c>
    </row>
    <row r="12" spans="1:10" x14ac:dyDescent="0.25" outlineLevel="1" collapsed="1">
      <c r="A12" s="7" t="s">
        <v>15</v>
      </c>
      <c r="B12" s="7" t="s">
        <v>44</v>
      </c>
      <c r="C12" s="10" t="s">
        <v>826</v>
      </c>
      <c r="D12" s="7"/>
      <c r="E12" s="7" t="s">
        <v>827</v>
      </c>
      <c r="F12" s="7" t="s">
        <v>17</v>
      </c>
      <c r="G12" s="7" t="s">
        <v>15</v>
      </c>
      <c r="H12" s="7" t="s">
        <v>2</v>
      </c>
      <c r="I12" s="7" t="s">
        <v>2</v>
      </c>
      <c r="J12" s="7" t="s">
        <v>828</v>
      </c>
    </row>
    <row r="13" spans="1:10" x14ac:dyDescent="0.25" outlineLevel="1" collapsed="1">
      <c r="A13" s="7" t="s">
        <v>17</v>
      </c>
      <c r="B13" s="7" t="s">
        <v>20</v>
      </c>
      <c r="C13" s="7" t="s">
        <v>2</v>
      </c>
      <c r="D13" s="7"/>
      <c r="E13" s="7" t="s">
        <v>76</v>
      </c>
      <c r="F13" s="7" t="s">
        <v>17</v>
      </c>
      <c r="G13" s="7" t="s">
        <v>22</v>
      </c>
      <c r="H13" s="7" t="s">
        <v>2</v>
      </c>
      <c r="I13" s="7" t="s">
        <v>2</v>
      </c>
      <c r="J13" s="7" t="s">
        <v>78</v>
      </c>
    </row>
    <row r="14" spans="1:10" x14ac:dyDescent="0.25">
      <c r="A14" s="5" t="s">
        <v>15</v>
      </c>
      <c r="B14" s="6" t="s">
        <v>823</v>
      </c>
      <c r="C14" s="5" t="s">
        <v>2</v>
      </c>
      <c r="D14" s="5"/>
      <c r="E14" s="5" t="s">
        <v>949</v>
      </c>
      <c r="F14" s="5" t="s">
        <v>17</v>
      </c>
      <c r="G14" s="5" t="s">
        <v>2</v>
      </c>
      <c r="H14" s="5" t="s">
        <v>2</v>
      </c>
      <c r="I14" s="5" t="s">
        <v>2</v>
      </c>
      <c r="J14" s="5" t="s">
        <v>950</v>
      </c>
    </row>
    <row r="15" spans="1:10" x14ac:dyDescent="0.25" outlineLevel="1" collapsed="1">
      <c r="A15" s="7" t="s">
        <v>15</v>
      </c>
      <c r="B15" s="7" t="s">
        <v>44</v>
      </c>
      <c r="C15" s="10" t="s">
        <v>826</v>
      </c>
      <c r="D15" s="7"/>
      <c r="E15" s="7" t="s">
        <v>827</v>
      </c>
      <c r="F15" s="7" t="s">
        <v>17</v>
      </c>
      <c r="G15" s="7" t="s">
        <v>15</v>
      </c>
      <c r="H15" s="7" t="s">
        <v>2</v>
      </c>
      <c r="I15" s="7" t="s">
        <v>2</v>
      </c>
      <c r="J15" s="7" t="s">
        <v>828</v>
      </c>
    </row>
    <row r="16" spans="1:10" x14ac:dyDescent="0.25" outlineLevel="1" collapsed="1">
      <c r="A16" s="7" t="s">
        <v>17</v>
      </c>
      <c r="B16" s="7" t="s">
        <v>20</v>
      </c>
      <c r="C16" s="7" t="s">
        <v>2</v>
      </c>
      <c r="D16" s="7"/>
      <c r="E16" s="7" t="s">
        <v>76</v>
      </c>
      <c r="F16" s="7" t="s">
        <v>17</v>
      </c>
      <c r="G16" s="7" t="s">
        <v>22</v>
      </c>
      <c r="H16" s="7" t="s">
        <v>2</v>
      </c>
      <c r="I16" s="7" t="s">
        <v>2</v>
      </c>
      <c r="J16" s="7" t="s">
        <v>78</v>
      </c>
    </row>
    <row r="17" spans="1:10" x14ac:dyDescent="0.25">
      <c r="A17" s="5" t="s">
        <v>15</v>
      </c>
      <c r="B17" s="6" t="s">
        <v>823</v>
      </c>
      <c r="C17" s="5" t="s">
        <v>2</v>
      </c>
      <c r="D17" s="5"/>
      <c r="E17" s="5" t="s">
        <v>951</v>
      </c>
      <c r="F17" s="5" t="s">
        <v>17</v>
      </c>
      <c r="G17" s="5" t="s">
        <v>2</v>
      </c>
      <c r="H17" s="5" t="s">
        <v>2</v>
      </c>
      <c r="I17" s="5" t="s">
        <v>2</v>
      </c>
      <c r="J17" s="5" t="s">
        <v>952</v>
      </c>
    </row>
    <row r="18" spans="1:10" x14ac:dyDescent="0.25" outlineLevel="1" collapsed="1">
      <c r="A18" s="7" t="s">
        <v>15</v>
      </c>
      <c r="B18" s="7" t="s">
        <v>44</v>
      </c>
      <c r="C18" s="10" t="s">
        <v>826</v>
      </c>
      <c r="D18" s="7"/>
      <c r="E18" s="7" t="s">
        <v>827</v>
      </c>
      <c r="F18" s="7" t="s">
        <v>17</v>
      </c>
      <c r="G18" s="7" t="s">
        <v>15</v>
      </c>
      <c r="H18" s="7" t="s">
        <v>2</v>
      </c>
      <c r="I18" s="7" t="s">
        <v>2</v>
      </c>
      <c r="J18" s="7" t="s">
        <v>828</v>
      </c>
    </row>
    <row r="19" spans="1:10" x14ac:dyDescent="0.25" outlineLevel="1" collapsed="1">
      <c r="A19" s="7" t="s">
        <v>17</v>
      </c>
      <c r="B19" s="7" t="s">
        <v>20</v>
      </c>
      <c r="C19" s="7" t="s">
        <v>2</v>
      </c>
      <c r="D19" s="7"/>
      <c r="E19" s="7" t="s">
        <v>76</v>
      </c>
      <c r="F19" s="7" t="s">
        <v>17</v>
      </c>
      <c r="G19" s="7" t="s">
        <v>22</v>
      </c>
      <c r="H19" s="7" t="s">
        <v>2</v>
      </c>
      <c r="I19" s="7" t="s">
        <v>2</v>
      </c>
      <c r="J19" s="7" t="s">
        <v>78</v>
      </c>
    </row>
  </sheetData>
  <mergeCells count="3">
    <mergeCell ref="A1:J1"/>
    <mergeCell ref="B2:J2"/>
    <mergeCell ref="B3:J3"/>
  </mergeCells>
  <dataValidations count="5">
    <dataValidation type="list" allowBlank="1" sqref="G12:I12">
      <formula1>'Enums'!C2707:C2708</formula1>
    </dataValidation>
    <dataValidation type="list" allowBlank="1" sqref="G15:I15">
      <formula1>'Enums'!C2707:C2708</formula1>
    </dataValidation>
    <dataValidation type="list" allowBlank="1" sqref="G18:I18">
      <formula1>'Enums'!C2707:C2708</formula1>
    </dataValidation>
    <dataValidation type="list" allowBlank="1" sqref="G6:I6">
      <formula1>'Enums'!C2707:C2708</formula1>
    </dataValidation>
    <dataValidation type="list" allowBlank="1" sqref="G9:I9">
      <formula1>'Enums'!C2707:C2708</formula1>
    </dataValidation>
  </dataValidations>
  <hyperlinks>
    <hyperlink ref="B5" r:id="rId1" location="#'Yes or no with comments'!A1"/>
    <hyperlink ref="B8" r:id="rId2" location="#'Yes or no with comments'!A1"/>
    <hyperlink ref="B11" r:id="rId3" location="#'Yes or no with comments'!A1"/>
    <hyperlink ref="B14" r:id="rId4" location="#'Yes or no with comments'!A1"/>
    <hyperlink ref="B17" r:id="rId5" location="#'Yes or no with comm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207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135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210</v>
      </c>
    </row>
    <row r="6" spans="1:10" x14ac:dyDescent="0.25">
      <c r="A6" s="5" t="s">
        <v>15</v>
      </c>
      <c r="B6" s="5" t="s">
        <v>160</v>
      </c>
      <c r="C6" s="5" t="s">
        <v>2</v>
      </c>
      <c r="D6" s="5"/>
      <c r="E6" s="5" t="s">
        <v>211</v>
      </c>
      <c r="F6" s="5" t="s">
        <v>17</v>
      </c>
      <c r="G6" s="5" t="s">
        <v>162</v>
      </c>
      <c r="H6" s="5" t="s">
        <v>2</v>
      </c>
      <c r="I6" s="5" t="s">
        <v>2</v>
      </c>
      <c r="J6" s="5" t="s">
        <v>212</v>
      </c>
    </row>
    <row r="7" spans="1:10" x14ac:dyDescent="0.25">
      <c r="A7" s="5" t="s">
        <v>15</v>
      </c>
      <c r="B7" s="5" t="s">
        <v>20</v>
      </c>
      <c r="C7" s="5" t="s">
        <v>2</v>
      </c>
      <c r="D7" s="5"/>
      <c r="E7" s="5" t="s">
        <v>213</v>
      </c>
      <c r="F7" s="5" t="s">
        <v>17</v>
      </c>
      <c r="G7" s="5" t="s">
        <v>22</v>
      </c>
      <c r="H7" s="5" t="s">
        <v>2</v>
      </c>
      <c r="I7" s="5" t="s">
        <v>2</v>
      </c>
      <c r="J7" s="5" t="s">
        <v>214</v>
      </c>
    </row>
    <row r="8" spans="1:10" x14ac:dyDescent="0.25">
      <c r="A8" s="5" t="s">
        <v>15</v>
      </c>
      <c r="B8" s="5" t="s">
        <v>133</v>
      </c>
      <c r="C8" s="5" t="s">
        <v>215</v>
      </c>
      <c r="D8" s="5"/>
      <c r="E8" s="5" t="s">
        <v>216</v>
      </c>
      <c r="F8" s="5" t="s">
        <v>17</v>
      </c>
      <c r="G8" s="5" t="s">
        <v>1630</v>
      </c>
      <c r="H8" s="5" t="s">
        <v>2</v>
      </c>
      <c r="I8" s="5" t="s">
        <v>2</v>
      </c>
      <c r="J8" s="5" t="s">
        <v>218</v>
      </c>
    </row>
    <row r="9" spans="1:10" x14ac:dyDescent="0.25">
      <c r="A9" s="5" t="s">
        <v>17</v>
      </c>
      <c r="B9" s="5" t="s">
        <v>133</v>
      </c>
      <c r="C9" s="5" t="s">
        <v>215</v>
      </c>
      <c r="D9" s="5"/>
      <c r="E9" s="5" t="s">
        <v>219</v>
      </c>
      <c r="F9" s="5" t="s">
        <v>17</v>
      </c>
      <c r="G9" s="5" t="s">
        <v>1631</v>
      </c>
      <c r="H9" s="5" t="s">
        <v>2</v>
      </c>
      <c r="I9" s="5" t="s">
        <v>2</v>
      </c>
      <c r="J9" s="5" t="s">
        <v>221</v>
      </c>
    </row>
    <row r="10" spans="1:10" x14ac:dyDescent="0.25">
      <c r="A10" s="5" t="s">
        <v>17</v>
      </c>
      <c r="B10" s="5" t="s">
        <v>20</v>
      </c>
      <c r="C10" s="5" t="s">
        <v>2</v>
      </c>
      <c r="D10" s="5"/>
      <c r="E10" s="5" t="s">
        <v>222</v>
      </c>
      <c r="F10" s="5" t="s">
        <v>17</v>
      </c>
      <c r="G10" s="5" t="s">
        <v>22</v>
      </c>
      <c r="H10" s="5" t="s">
        <v>2</v>
      </c>
      <c r="I10" s="5" t="s">
        <v>2</v>
      </c>
      <c r="J10" s="5" t="s">
        <v>223</v>
      </c>
    </row>
    <row r="11" spans="1:10" x14ac:dyDescent="0.25">
      <c r="A11" s="5" t="s">
        <v>17</v>
      </c>
      <c r="B11" s="5" t="s">
        <v>133</v>
      </c>
      <c r="C11" s="5" t="s">
        <v>146</v>
      </c>
      <c r="D11" s="5"/>
      <c r="E11" s="5" t="s">
        <v>147</v>
      </c>
      <c r="F11" s="5" t="s">
        <v>17</v>
      </c>
      <c r="G11" s="5" t="s">
        <v>1632</v>
      </c>
      <c r="H11" s="5" t="s">
        <v>2</v>
      </c>
      <c r="I11" s="5" t="s">
        <v>2</v>
      </c>
      <c r="J11" s="5" t="s">
        <v>149</v>
      </c>
    </row>
    <row r="12" spans="1:10" x14ac:dyDescent="0.25">
      <c r="A12" s="5" t="s">
        <v>15</v>
      </c>
      <c r="B12" s="5" t="s">
        <v>53</v>
      </c>
      <c r="C12" s="5" t="s">
        <v>2</v>
      </c>
      <c r="D12" s="5"/>
      <c r="E12" s="5" t="s">
        <v>225</v>
      </c>
      <c r="F12" s="5" t="s">
        <v>17</v>
      </c>
      <c r="G12" s="5">
        <v>1</v>
      </c>
      <c r="H12" s="5" t="s">
        <v>2</v>
      </c>
      <c r="I12" s="5" t="s">
        <v>2</v>
      </c>
      <c r="J12" s="5" t="s">
        <v>226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185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133</v>
      </c>
      <c r="C5" s="5" t="s">
        <v>187</v>
      </c>
      <c r="D5" s="5"/>
      <c r="E5" s="5" t="s">
        <v>21</v>
      </c>
      <c r="F5" s="5" t="s">
        <v>17</v>
      </c>
      <c r="G5" s="5" t="s">
        <v>1633</v>
      </c>
      <c r="H5" s="5" t="s">
        <v>2</v>
      </c>
      <c r="I5" s="5" t="s">
        <v>2</v>
      </c>
      <c r="J5" s="5" t="s">
        <v>23</v>
      </c>
    </row>
    <row r="6" spans="1:10" x14ac:dyDescent="0.25">
      <c r="A6" s="5" t="s">
        <v>15</v>
      </c>
      <c r="B6" s="5" t="s">
        <v>133</v>
      </c>
      <c r="C6" s="5" t="s">
        <v>730</v>
      </c>
      <c r="D6" s="5"/>
      <c r="E6" s="5" t="s">
        <v>731</v>
      </c>
      <c r="F6" s="5" t="s">
        <v>17</v>
      </c>
      <c r="G6" s="5" t="s">
        <v>1634</v>
      </c>
      <c r="H6" s="5" t="s">
        <v>2</v>
      </c>
      <c r="I6" s="5" t="s">
        <v>2</v>
      </c>
      <c r="J6" s="5" t="s">
        <v>733</v>
      </c>
    </row>
    <row r="7" spans="1:10" x14ac:dyDescent="0.25">
      <c r="A7" s="5" t="s">
        <v>15</v>
      </c>
      <c r="B7" s="5" t="s">
        <v>44</v>
      </c>
      <c r="C7" s="12" t="s">
        <v>734</v>
      </c>
      <c r="D7" s="5"/>
      <c r="E7" s="5" t="s">
        <v>735</v>
      </c>
      <c r="F7" s="5" t="s">
        <v>17</v>
      </c>
      <c r="G7" s="5" t="s">
        <v>736</v>
      </c>
      <c r="H7" s="5" t="s">
        <v>2</v>
      </c>
      <c r="I7" s="5" t="s">
        <v>2</v>
      </c>
      <c r="J7" s="5" t="s">
        <v>737</v>
      </c>
    </row>
    <row r="8" spans="1:10" x14ac:dyDescent="0.25">
      <c r="A8" s="5" t="s">
        <v>15</v>
      </c>
      <c r="B8" s="5" t="s">
        <v>26</v>
      </c>
      <c r="C8" s="5" t="s">
        <v>2</v>
      </c>
      <c r="D8" s="5"/>
      <c r="E8" s="5" t="s">
        <v>738</v>
      </c>
      <c r="F8" s="5" t="s">
        <v>17</v>
      </c>
      <c r="G8" s="5" t="s">
        <v>37</v>
      </c>
      <c r="H8" s="5" t="s">
        <v>2</v>
      </c>
      <c r="I8" s="5" t="s">
        <v>2</v>
      </c>
      <c r="J8" s="5" t="s">
        <v>739</v>
      </c>
    </row>
    <row r="9" spans="1:10" x14ac:dyDescent="0.25">
      <c r="A9" s="5" t="s">
        <v>15</v>
      </c>
      <c r="B9" s="5" t="s">
        <v>26</v>
      </c>
      <c r="C9" s="5" t="s">
        <v>2</v>
      </c>
      <c r="D9" s="5"/>
      <c r="E9" s="5" t="s">
        <v>740</v>
      </c>
      <c r="F9" s="5" t="s">
        <v>17</v>
      </c>
      <c r="G9" s="5" t="s">
        <v>37</v>
      </c>
      <c r="H9" s="5" t="s">
        <v>2</v>
      </c>
      <c r="I9" s="5" t="s">
        <v>2</v>
      </c>
      <c r="J9" s="5" t="s">
        <v>741</v>
      </c>
    </row>
    <row r="10" spans="1:10" x14ac:dyDescent="0.25">
      <c r="A10" s="5" t="s">
        <v>15</v>
      </c>
      <c r="B10" s="5" t="s">
        <v>44</v>
      </c>
      <c r="C10" s="12" t="s">
        <v>742</v>
      </c>
      <c r="D10" s="5"/>
      <c r="E10" s="5" t="s">
        <v>743</v>
      </c>
      <c r="F10" s="5" t="s">
        <v>17</v>
      </c>
      <c r="G10" s="5" t="s">
        <v>744</v>
      </c>
      <c r="H10" s="5" t="s">
        <v>2</v>
      </c>
      <c r="I10" s="5" t="s">
        <v>2</v>
      </c>
      <c r="J10" s="5" t="s">
        <v>745</v>
      </c>
    </row>
    <row r="11" spans="1:10" x14ac:dyDescent="0.25">
      <c r="A11" s="5" t="s">
        <v>15</v>
      </c>
      <c r="B11" s="5" t="s">
        <v>133</v>
      </c>
      <c r="C11" s="5" t="s">
        <v>730</v>
      </c>
      <c r="D11" s="5"/>
      <c r="E11" s="5" t="s">
        <v>746</v>
      </c>
      <c r="F11" s="5" t="s">
        <v>17</v>
      </c>
      <c r="G11" s="5" t="s">
        <v>1635</v>
      </c>
      <c r="H11" s="5" t="s">
        <v>2</v>
      </c>
      <c r="I11" s="5" t="s">
        <v>2</v>
      </c>
      <c r="J11" s="5" t="s">
        <v>748</v>
      </c>
    </row>
    <row r="12" spans="1:10" x14ac:dyDescent="0.25">
      <c r="A12" s="5" t="s">
        <v>15</v>
      </c>
      <c r="B12" s="5" t="s">
        <v>44</v>
      </c>
      <c r="C12" s="12" t="s">
        <v>749</v>
      </c>
      <c r="D12" s="5"/>
      <c r="E12" s="5" t="s">
        <v>750</v>
      </c>
      <c r="F12" s="5" t="s">
        <v>17</v>
      </c>
      <c r="G12" s="5" t="s">
        <v>751</v>
      </c>
      <c r="H12" s="5" t="s">
        <v>2</v>
      </c>
      <c r="I12" s="5" t="s">
        <v>2</v>
      </c>
      <c r="J12" s="5" t="s">
        <v>752</v>
      </c>
    </row>
    <row r="13" spans="1:10" x14ac:dyDescent="0.25">
      <c r="A13" s="5" t="s">
        <v>15</v>
      </c>
      <c r="B13" s="5" t="s">
        <v>20</v>
      </c>
      <c r="C13" s="5" t="s">
        <v>2</v>
      </c>
      <c r="D13" s="5"/>
      <c r="E13" s="5" t="s">
        <v>753</v>
      </c>
      <c r="F13" s="5" t="s">
        <v>17</v>
      </c>
      <c r="G13" s="5" t="s">
        <v>22</v>
      </c>
      <c r="H13" s="5" t="s">
        <v>2</v>
      </c>
      <c r="I13" s="5" t="s">
        <v>2</v>
      </c>
      <c r="J13" s="5" t="s">
        <v>754</v>
      </c>
    </row>
    <row r="14" spans="1:10" x14ac:dyDescent="0.25">
      <c r="A14" s="5" t="s">
        <v>15</v>
      </c>
      <c r="B14" s="5" t="s">
        <v>133</v>
      </c>
      <c r="C14" s="5" t="s">
        <v>730</v>
      </c>
      <c r="D14" s="5"/>
      <c r="E14" s="5" t="s">
        <v>755</v>
      </c>
      <c r="F14" s="5" t="s">
        <v>17</v>
      </c>
      <c r="G14" s="5" t="s">
        <v>1636</v>
      </c>
      <c r="H14" s="5" t="s">
        <v>2</v>
      </c>
      <c r="I14" s="5" t="s">
        <v>2</v>
      </c>
      <c r="J14" s="5" t="s">
        <v>717</v>
      </c>
    </row>
    <row r="15" spans="1:10" x14ac:dyDescent="0.25">
      <c r="A15" s="5" t="s">
        <v>17</v>
      </c>
      <c r="B15" s="6" t="s">
        <v>757</v>
      </c>
      <c r="C15" s="5" t="s">
        <v>2</v>
      </c>
      <c r="D15" s="5"/>
      <c r="E15" s="5" t="s">
        <v>758</v>
      </c>
      <c r="F15" s="5" t="s">
        <v>15</v>
      </c>
      <c r="G15" s="5" t="s">
        <v>2</v>
      </c>
      <c r="H15" s="5" t="s">
        <v>2</v>
      </c>
      <c r="I15" s="5" t="s">
        <v>2</v>
      </c>
      <c r="J15" s="5" t="s">
        <v>759</v>
      </c>
    </row>
    <row r="16" spans="1:10" x14ac:dyDescent="0.25" outlineLevel="1" collapsed="1">
      <c r="A16" s="7" t="s">
        <v>15</v>
      </c>
      <c r="B16" s="7" t="s">
        <v>44</v>
      </c>
      <c r="C16" s="10" t="s">
        <v>760</v>
      </c>
      <c r="D16" s="7"/>
      <c r="E16" s="7" t="s">
        <v>761</v>
      </c>
      <c r="F16" s="7" t="s">
        <v>17</v>
      </c>
      <c r="G16" s="7" t="s">
        <v>762</v>
      </c>
      <c r="H16" s="7" t="s">
        <v>2</v>
      </c>
      <c r="I16" s="7" t="s">
        <v>2</v>
      </c>
      <c r="J16" s="7" t="s">
        <v>763</v>
      </c>
    </row>
    <row r="17" spans="1:10" x14ac:dyDescent="0.25" outlineLevel="1" collapsed="1">
      <c r="A17" s="7" t="s">
        <v>15</v>
      </c>
      <c r="B17" s="7" t="s">
        <v>20</v>
      </c>
      <c r="C17" s="7" t="s">
        <v>2</v>
      </c>
      <c r="D17" s="7"/>
      <c r="E17" s="7" t="s">
        <v>764</v>
      </c>
      <c r="F17" s="7" t="s">
        <v>17</v>
      </c>
      <c r="G17" s="7" t="s">
        <v>22</v>
      </c>
      <c r="H17" s="7" t="s">
        <v>2</v>
      </c>
      <c r="I17" s="7" t="s">
        <v>2</v>
      </c>
      <c r="J17" s="7" t="s">
        <v>765</v>
      </c>
    </row>
    <row r="18" spans="1:10" x14ac:dyDescent="0.25">
      <c r="A18" s="5" t="s">
        <v>15</v>
      </c>
      <c r="B18" s="5" t="s">
        <v>20</v>
      </c>
      <c r="C18" s="5" t="s">
        <v>2</v>
      </c>
      <c r="D18" s="5"/>
      <c r="E18" s="5" t="s">
        <v>766</v>
      </c>
      <c r="F18" s="5" t="s">
        <v>17</v>
      </c>
      <c r="G18" s="5" t="s">
        <v>22</v>
      </c>
      <c r="H18" s="5" t="s">
        <v>2</v>
      </c>
      <c r="I18" s="5" t="s">
        <v>2</v>
      </c>
      <c r="J18" s="5" t="s">
        <v>767</v>
      </c>
    </row>
  </sheetData>
  <mergeCells count="3">
    <mergeCell ref="A1:J1"/>
    <mergeCell ref="B2:J2"/>
    <mergeCell ref="B3:J3"/>
  </mergeCells>
  <dataValidations count="4">
    <dataValidation type="list" allowBlank="1" sqref="G10:I10">
      <formula1>'Enums'!C2711:C2714</formula1>
    </dataValidation>
    <dataValidation type="list" allowBlank="1" sqref="G12:I12">
      <formula1>'Enums'!C2715:C2717</formula1>
    </dataValidation>
    <dataValidation type="list" allowBlank="1" sqref="G16:I16">
      <formula1>'Enums'!C2718:C2733</formula1>
    </dataValidation>
    <dataValidation type="list" allowBlank="1" sqref="G7:I7">
      <formula1>'Enums'!C2709:C2710</formula1>
    </dataValidation>
  </dataValidations>
  <hyperlinks>
    <hyperlink ref="B15" r:id="rId1" location="#'Contribution of the Project to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1637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1078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1079</v>
      </c>
    </row>
    <row r="6" spans="1:10" x14ac:dyDescent="0.25">
      <c r="A6" s="5" t="s">
        <v>15</v>
      </c>
      <c r="B6" s="5" t="s">
        <v>133</v>
      </c>
      <c r="C6" s="5" t="s">
        <v>1065</v>
      </c>
      <c r="D6" s="5"/>
      <c r="E6" s="5" t="s">
        <v>1080</v>
      </c>
      <c r="F6" s="5" t="s">
        <v>17</v>
      </c>
      <c r="G6" s="5" t="s">
        <v>1638</v>
      </c>
      <c r="H6" s="5" t="s">
        <v>2</v>
      </c>
      <c r="I6" s="5" t="s">
        <v>2</v>
      </c>
      <c r="J6" s="5" t="s">
        <v>1082</v>
      </c>
    </row>
    <row r="7" spans="1:10" x14ac:dyDescent="0.25">
      <c r="A7" s="5" t="s">
        <v>15</v>
      </c>
      <c r="B7" s="5" t="s">
        <v>20</v>
      </c>
      <c r="C7" s="5" t="s">
        <v>2</v>
      </c>
      <c r="D7" s="5"/>
      <c r="E7" s="5" t="s">
        <v>1083</v>
      </c>
      <c r="F7" s="5" t="s">
        <v>17</v>
      </c>
      <c r="G7" s="5" t="s">
        <v>22</v>
      </c>
      <c r="H7" s="5" t="s">
        <v>2</v>
      </c>
      <c r="I7" s="5" t="s">
        <v>2</v>
      </c>
      <c r="J7" s="5" t="s">
        <v>1084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1315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1315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1318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1319</v>
      </c>
    </row>
    <row r="6" spans="1:10" x14ac:dyDescent="0.25">
      <c r="A6" s="5" t="s">
        <v>15</v>
      </c>
      <c r="B6" s="5" t="s">
        <v>20</v>
      </c>
      <c r="C6" s="5" t="s">
        <v>2</v>
      </c>
      <c r="D6" s="5"/>
      <c r="E6" s="5" t="s">
        <v>1320</v>
      </c>
      <c r="F6" s="5" t="s">
        <v>17</v>
      </c>
      <c r="G6" s="5" t="s">
        <v>22</v>
      </c>
      <c r="H6" s="5" t="s">
        <v>2</v>
      </c>
      <c r="I6" s="5" t="s">
        <v>2</v>
      </c>
      <c r="J6" s="5" t="s">
        <v>1321</v>
      </c>
    </row>
    <row r="7" spans="1:10" x14ac:dyDescent="0.25">
      <c r="A7" s="5" t="s">
        <v>15</v>
      </c>
      <c r="B7" s="5" t="s">
        <v>20</v>
      </c>
      <c r="C7" s="5" t="s">
        <v>2</v>
      </c>
      <c r="D7" s="5"/>
      <c r="E7" s="5" t="s">
        <v>1322</v>
      </c>
      <c r="F7" s="5" t="s">
        <v>17</v>
      </c>
      <c r="G7" s="5" t="s">
        <v>22</v>
      </c>
      <c r="H7" s="5" t="s">
        <v>2</v>
      </c>
      <c r="I7" s="5" t="s">
        <v>2</v>
      </c>
      <c r="J7" s="5" t="s">
        <v>1323</v>
      </c>
    </row>
    <row r="8" spans="1:10" x14ac:dyDescent="0.25">
      <c r="A8" s="5" t="s">
        <v>15</v>
      </c>
      <c r="B8" s="5" t="s">
        <v>20</v>
      </c>
      <c r="C8" s="5" t="s">
        <v>2</v>
      </c>
      <c r="D8" s="5"/>
      <c r="E8" s="5" t="s">
        <v>1324</v>
      </c>
      <c r="F8" s="5" t="s">
        <v>17</v>
      </c>
      <c r="G8" s="5" t="s">
        <v>22</v>
      </c>
      <c r="H8" s="5" t="s">
        <v>2</v>
      </c>
      <c r="I8" s="5" t="s">
        <v>2</v>
      </c>
      <c r="J8" s="5" t="s">
        <v>1325</v>
      </c>
    </row>
    <row r="9" spans="1:10" x14ac:dyDescent="0.25">
      <c r="A9" s="5" t="s">
        <v>15</v>
      </c>
      <c r="B9" s="5" t="s">
        <v>20</v>
      </c>
      <c r="C9" s="5" t="s">
        <v>2</v>
      </c>
      <c r="D9" s="5"/>
      <c r="E9" s="5" t="s">
        <v>1326</v>
      </c>
      <c r="F9" s="5" t="s">
        <v>17</v>
      </c>
      <c r="G9" s="5" t="s">
        <v>22</v>
      </c>
      <c r="H9" s="5" t="s">
        <v>2</v>
      </c>
      <c r="I9" s="5" t="s">
        <v>2</v>
      </c>
      <c r="J9" s="5" t="s">
        <v>1327</v>
      </c>
    </row>
    <row r="10" spans="1:10" x14ac:dyDescent="0.25">
      <c r="A10" s="5" t="s">
        <v>17</v>
      </c>
      <c r="B10" s="5" t="s">
        <v>125</v>
      </c>
      <c r="C10" s="5" t="s">
        <v>2</v>
      </c>
      <c r="D10" s="5"/>
      <c r="E10" s="5" t="s">
        <v>1328</v>
      </c>
      <c r="F10" s="5" t="s">
        <v>17</v>
      </c>
      <c r="G10" s="5" t="s">
        <v>1639</v>
      </c>
      <c r="H10" s="5" t="s">
        <v>2</v>
      </c>
      <c r="I10" s="5" t="s">
        <v>2</v>
      </c>
      <c r="J10" s="5" t="s">
        <v>1330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1640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44</v>
      </c>
      <c r="C5" s="12" t="s">
        <v>233</v>
      </c>
      <c r="D5" s="5"/>
      <c r="E5" s="5" t="s">
        <v>231</v>
      </c>
      <c r="F5" s="5" t="s">
        <v>17</v>
      </c>
      <c r="G5" s="5" t="s">
        <v>234</v>
      </c>
      <c r="H5" s="5" t="s">
        <v>2</v>
      </c>
      <c r="I5" s="5" t="s">
        <v>2</v>
      </c>
      <c r="J5" s="5" t="s">
        <v>232</v>
      </c>
    </row>
    <row r="6" spans="1:10" x14ac:dyDescent="0.25">
      <c r="A6" s="5" t="s">
        <v>17</v>
      </c>
      <c r="B6" s="6" t="s">
        <v>235</v>
      </c>
      <c r="C6" s="5" t="s">
        <v>2</v>
      </c>
      <c r="D6" s="5">
        <f>EXACT(G5,"HWT, IWT, CWT")</f>
      </c>
      <c r="E6" s="5" t="s">
        <v>235</v>
      </c>
      <c r="F6" s="5" t="s">
        <v>17</v>
      </c>
      <c r="G6" s="5" t="s">
        <v>2</v>
      </c>
      <c r="H6" s="5" t="s">
        <v>2</v>
      </c>
      <c r="I6" s="5" t="s">
        <v>2</v>
      </c>
      <c r="J6" s="5" t="s">
        <v>236</v>
      </c>
    </row>
    <row r="7" spans="1:10" x14ac:dyDescent="0.25" outlineLevel="1" collapsed="1">
      <c r="A7" s="7" t="s">
        <v>15</v>
      </c>
      <c r="B7" s="7" t="s">
        <v>44</v>
      </c>
      <c r="C7" s="10" t="s">
        <v>237</v>
      </c>
      <c r="D7" s="7"/>
      <c r="E7" s="7" t="s">
        <v>235</v>
      </c>
      <c r="F7" s="7" t="s">
        <v>17</v>
      </c>
      <c r="G7" s="7" t="s">
        <v>238</v>
      </c>
      <c r="H7" s="7" t="s">
        <v>2</v>
      </c>
      <c r="I7" s="7" t="s">
        <v>2</v>
      </c>
      <c r="J7" s="7" t="s">
        <v>239</v>
      </c>
    </row>
    <row r="8" spans="1:10" x14ac:dyDescent="0.25" outlineLevel="1" collapsed="1">
      <c r="A8" s="7" t="s">
        <v>17</v>
      </c>
      <c r="B8" s="7" t="s">
        <v>20</v>
      </c>
      <c r="C8" s="7" t="s">
        <v>2</v>
      </c>
      <c r="D8" s="7">
        <f>EXACT(G7,"Other (Specify)")</f>
      </c>
      <c r="E8" s="7" t="s">
        <v>240</v>
      </c>
      <c r="F8" s="7" t="s">
        <v>17</v>
      </c>
      <c r="G8" s="7" t="s">
        <v>22</v>
      </c>
      <c r="H8" s="7" t="s">
        <v>2</v>
      </c>
      <c r="I8" s="7" t="s">
        <v>2</v>
      </c>
      <c r="J8" s="7" t="s">
        <v>241</v>
      </c>
    </row>
    <row r="9" spans="1:10" x14ac:dyDescent="0.25">
      <c r="A9" s="5" t="s">
        <v>17</v>
      </c>
      <c r="B9" s="6" t="s">
        <v>242</v>
      </c>
      <c r="C9" s="5" t="s">
        <v>2</v>
      </c>
      <c r="D9" s="5">
        <f>EXACT(G5,"CWS")</f>
      </c>
      <c r="E9" s="5" t="s">
        <v>235</v>
      </c>
      <c r="F9" s="5" t="s">
        <v>17</v>
      </c>
      <c r="G9" s="5" t="s">
        <v>2</v>
      </c>
      <c r="H9" s="5" t="s">
        <v>2</v>
      </c>
      <c r="I9" s="5" t="s">
        <v>2</v>
      </c>
      <c r="J9" s="5" t="s">
        <v>243</v>
      </c>
    </row>
    <row r="10" spans="1:10" x14ac:dyDescent="0.25" outlineLevel="1" collapsed="1">
      <c r="A10" s="7" t="s">
        <v>15</v>
      </c>
      <c r="B10" s="7" t="s">
        <v>44</v>
      </c>
      <c r="C10" s="10" t="s">
        <v>244</v>
      </c>
      <c r="D10" s="7"/>
      <c r="E10" s="7" t="s">
        <v>235</v>
      </c>
      <c r="F10" s="7" t="s">
        <v>17</v>
      </c>
      <c r="G10" s="7" t="s">
        <v>245</v>
      </c>
      <c r="H10" s="7" t="s">
        <v>2</v>
      </c>
      <c r="I10" s="7" t="s">
        <v>2</v>
      </c>
      <c r="J10" s="7" t="s">
        <v>246</v>
      </c>
    </row>
    <row r="11" spans="1:10" x14ac:dyDescent="0.25" outlineLevel="1" collapsed="1">
      <c r="A11" s="7" t="s">
        <v>17</v>
      </c>
      <c r="B11" s="7" t="s">
        <v>20</v>
      </c>
      <c r="C11" s="7" t="s">
        <v>2</v>
      </c>
      <c r="D11" s="7">
        <f>EXACT(G10,"Other (Specify)")</f>
      </c>
      <c r="E11" s="7" t="s">
        <v>240</v>
      </c>
      <c r="F11" s="7" t="s">
        <v>17</v>
      </c>
      <c r="G11" s="7" t="s">
        <v>22</v>
      </c>
      <c r="H11" s="7" t="s">
        <v>2</v>
      </c>
      <c r="I11" s="7" t="s">
        <v>2</v>
      </c>
      <c r="J11" s="7" t="s">
        <v>241</v>
      </c>
    </row>
  </sheetData>
  <mergeCells count="3">
    <mergeCell ref="A1:J1"/>
    <mergeCell ref="B2:J2"/>
    <mergeCell ref="B3:J3"/>
  </mergeCells>
  <dataValidations count="3">
    <dataValidation type="list" allowBlank="1" sqref="G10:I10">
      <formula1>'Enums'!C2743:C2746</formula1>
    </dataValidation>
    <dataValidation type="list" allowBlank="1" sqref="G5:I5">
      <formula1>'Enums'!C2734:C2735</formula1>
    </dataValidation>
    <dataValidation type="list" allowBlank="1" sqref="G7:I7">
      <formula1>'Enums'!C2736:C2742</formula1>
    </dataValidation>
  </dataValidations>
  <hyperlinks>
    <hyperlink ref="B6" r:id="rId1" location="#'Treatment Technology Sub-type'!A1"/>
    <hyperlink ref="B9" r:id="rId2" location="#'Treatment Technology Sub-ty 2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1107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47</v>
      </c>
      <c r="C5" s="5" t="s">
        <v>2</v>
      </c>
      <c r="D5" s="5"/>
      <c r="E5" s="5" t="s">
        <v>1109</v>
      </c>
      <c r="F5" s="5" t="s">
        <v>17</v>
      </c>
      <c r="G5" s="5" t="b">
        <v>1</v>
      </c>
      <c r="H5" s="5" t="s">
        <v>2</v>
      </c>
      <c r="I5" s="5" t="s">
        <v>2</v>
      </c>
      <c r="J5" s="5" t="s">
        <v>1110</v>
      </c>
    </row>
    <row r="6" spans="1:10" x14ac:dyDescent="0.25">
      <c r="A6" s="5" t="s">
        <v>15</v>
      </c>
      <c r="B6" s="5" t="s">
        <v>125</v>
      </c>
      <c r="C6" s="5" t="s">
        <v>2</v>
      </c>
      <c r="D6" s="5"/>
      <c r="E6" s="5" t="s">
        <v>1111</v>
      </c>
      <c r="F6" s="5" t="s">
        <v>17</v>
      </c>
      <c r="G6" s="5" t="s">
        <v>1641</v>
      </c>
      <c r="H6" s="5" t="s">
        <v>2</v>
      </c>
      <c r="I6" s="5" t="s">
        <v>2</v>
      </c>
      <c r="J6" s="5" t="s">
        <v>1113</v>
      </c>
    </row>
    <row r="7" spans="1:10" x14ac:dyDescent="0.25">
      <c r="A7" s="5" t="s">
        <v>17</v>
      </c>
      <c r="B7" s="5" t="s">
        <v>133</v>
      </c>
      <c r="C7" s="5" t="s">
        <v>1114</v>
      </c>
      <c r="D7" s="5">
        <f>EXACT(G5,true)</f>
      </c>
      <c r="E7" s="5" t="s">
        <v>1115</v>
      </c>
      <c r="F7" s="5" t="s">
        <v>17</v>
      </c>
      <c r="G7" s="5" t="s">
        <v>1642</v>
      </c>
      <c r="H7" s="5" t="s">
        <v>2</v>
      </c>
      <c r="I7" s="5" t="s">
        <v>2</v>
      </c>
      <c r="J7" s="5" t="s">
        <v>1117</v>
      </c>
    </row>
    <row r="8" spans="1:10" x14ac:dyDescent="0.25">
      <c r="A8" s="5" t="s">
        <v>17</v>
      </c>
      <c r="B8" s="5" t="s">
        <v>133</v>
      </c>
      <c r="C8" s="5" t="s">
        <v>1114</v>
      </c>
      <c r="D8" s="5">
        <f>EXACT(G5,true)</f>
      </c>
      <c r="E8" s="5" t="s">
        <v>1118</v>
      </c>
      <c r="F8" s="5" t="s">
        <v>17</v>
      </c>
      <c r="G8" s="5" t="s">
        <v>1643</v>
      </c>
      <c r="H8" s="5" t="s">
        <v>2</v>
      </c>
      <c r="I8" s="5" t="s">
        <v>2</v>
      </c>
      <c r="J8" s="5" t="s">
        <v>1120</v>
      </c>
    </row>
    <row r="9" spans="1:10" x14ac:dyDescent="0.25">
      <c r="A9" s="5" t="s">
        <v>17</v>
      </c>
      <c r="B9" s="5" t="s">
        <v>125</v>
      </c>
      <c r="C9" s="5" t="s">
        <v>2</v>
      </c>
      <c r="D9" s="5">
        <f>EXACT(G5,true)</f>
      </c>
      <c r="E9" s="5" t="s">
        <v>1121</v>
      </c>
      <c r="F9" s="5" t="s">
        <v>17</v>
      </c>
      <c r="G9" s="5" t="s">
        <v>1644</v>
      </c>
      <c r="H9" s="5" t="s">
        <v>2</v>
      </c>
      <c r="I9" s="5" t="s">
        <v>2</v>
      </c>
      <c r="J9" s="5" t="s">
        <v>1123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1248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133</v>
      </c>
      <c r="C5" s="5" t="s">
        <v>1114</v>
      </c>
      <c r="D5" s="5"/>
      <c r="E5" s="5" t="s">
        <v>1251</v>
      </c>
      <c r="F5" s="5" t="s">
        <v>17</v>
      </c>
      <c r="G5" s="5" t="s">
        <v>1645</v>
      </c>
      <c r="H5" s="5" t="s">
        <v>2</v>
      </c>
      <c r="I5" s="5" t="s">
        <v>2</v>
      </c>
      <c r="J5" s="5" t="s">
        <v>1253</v>
      </c>
    </row>
    <row r="6" spans="1:10" x14ac:dyDescent="0.25">
      <c r="A6" s="5" t="s">
        <v>15</v>
      </c>
      <c r="B6" s="5" t="s">
        <v>133</v>
      </c>
      <c r="C6" s="5" t="s">
        <v>1114</v>
      </c>
      <c r="D6" s="5"/>
      <c r="E6" s="5" t="s">
        <v>1254</v>
      </c>
      <c r="F6" s="5" t="s">
        <v>17</v>
      </c>
      <c r="G6" s="5" t="s">
        <v>1646</v>
      </c>
      <c r="H6" s="5" t="s">
        <v>2</v>
      </c>
      <c r="I6" s="5" t="s">
        <v>2</v>
      </c>
      <c r="J6" s="5" t="s">
        <v>1256</v>
      </c>
    </row>
    <row r="7" spans="1:10" x14ac:dyDescent="0.25">
      <c r="A7" s="5" t="s">
        <v>15</v>
      </c>
      <c r="B7" s="5" t="s">
        <v>133</v>
      </c>
      <c r="C7" s="5" t="s">
        <v>1114</v>
      </c>
      <c r="D7" s="5"/>
      <c r="E7" s="5" t="s">
        <v>1257</v>
      </c>
      <c r="F7" s="5" t="s">
        <v>17</v>
      </c>
      <c r="G7" s="5" t="s">
        <v>1647</v>
      </c>
      <c r="H7" s="5" t="s">
        <v>2</v>
      </c>
      <c r="I7" s="5" t="s">
        <v>2</v>
      </c>
      <c r="J7" s="5" t="s">
        <v>1259</v>
      </c>
    </row>
    <row r="8" spans="1:10" x14ac:dyDescent="0.25">
      <c r="A8" s="5" t="s">
        <v>15</v>
      </c>
      <c r="B8" s="5" t="s">
        <v>133</v>
      </c>
      <c r="C8" s="5" t="s">
        <v>1114</v>
      </c>
      <c r="D8" s="5"/>
      <c r="E8" s="5" t="s">
        <v>1260</v>
      </c>
      <c r="F8" s="5" t="s">
        <v>17</v>
      </c>
      <c r="G8" s="5" t="s">
        <v>1648</v>
      </c>
      <c r="H8" s="5" t="s">
        <v>2</v>
      </c>
      <c r="I8" s="5" t="s">
        <v>2</v>
      </c>
      <c r="J8" s="5" t="s">
        <v>1262</v>
      </c>
    </row>
    <row r="9" spans="1:10" x14ac:dyDescent="0.25">
      <c r="A9" s="5" t="s">
        <v>15</v>
      </c>
      <c r="B9" s="5" t="s">
        <v>133</v>
      </c>
      <c r="C9" s="5" t="s">
        <v>1114</v>
      </c>
      <c r="D9" s="5"/>
      <c r="E9" s="5" t="s">
        <v>1263</v>
      </c>
      <c r="F9" s="5" t="s">
        <v>17</v>
      </c>
      <c r="G9" s="5" t="s">
        <v>1649</v>
      </c>
      <c r="H9" s="5" t="s">
        <v>2</v>
      </c>
      <c r="I9" s="5" t="s">
        <v>2</v>
      </c>
      <c r="J9" s="5" t="s">
        <v>1265</v>
      </c>
    </row>
    <row r="10" spans="1:10" x14ac:dyDescent="0.25">
      <c r="A10" s="5" t="s">
        <v>15</v>
      </c>
      <c r="B10" s="5" t="s">
        <v>133</v>
      </c>
      <c r="C10" s="5" t="s">
        <v>1114</v>
      </c>
      <c r="D10" s="5"/>
      <c r="E10" s="5" t="s">
        <v>1266</v>
      </c>
      <c r="F10" s="5" t="s">
        <v>17</v>
      </c>
      <c r="G10" s="5" t="s">
        <v>1650</v>
      </c>
      <c r="H10" s="5" t="s">
        <v>2</v>
      </c>
      <c r="I10" s="5" t="s">
        <v>2</v>
      </c>
      <c r="J10" s="5" t="s">
        <v>1268</v>
      </c>
    </row>
    <row r="11" spans="1:10" x14ac:dyDescent="0.25">
      <c r="A11" s="5" t="s">
        <v>15</v>
      </c>
      <c r="B11" s="5" t="s">
        <v>133</v>
      </c>
      <c r="C11" s="5" t="s">
        <v>1114</v>
      </c>
      <c r="D11" s="5"/>
      <c r="E11" s="5" t="s">
        <v>1269</v>
      </c>
      <c r="F11" s="5" t="s">
        <v>17</v>
      </c>
      <c r="G11" s="5" t="s">
        <v>1651</v>
      </c>
      <c r="H11" s="5" t="s">
        <v>2</v>
      </c>
      <c r="I11" s="5" t="s">
        <v>2</v>
      </c>
      <c r="J11" s="5" t="s">
        <v>1271</v>
      </c>
    </row>
    <row r="12" spans="1:10" x14ac:dyDescent="0.25">
      <c r="A12" s="5" t="s">
        <v>15</v>
      </c>
      <c r="B12" s="5" t="s">
        <v>133</v>
      </c>
      <c r="C12" s="5" t="s">
        <v>1114</v>
      </c>
      <c r="D12" s="5"/>
      <c r="E12" s="5" t="s">
        <v>1272</v>
      </c>
      <c r="F12" s="5" t="s">
        <v>17</v>
      </c>
      <c r="G12" s="5" t="s">
        <v>1652</v>
      </c>
      <c r="H12" s="5" t="s">
        <v>2</v>
      </c>
      <c r="I12" s="5" t="s">
        <v>2</v>
      </c>
      <c r="J12" s="5" t="s">
        <v>1274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1276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133</v>
      </c>
      <c r="C5" s="5" t="s">
        <v>1114</v>
      </c>
      <c r="D5" s="5"/>
      <c r="E5" s="5" t="s">
        <v>1278</v>
      </c>
      <c r="F5" s="5" t="s">
        <v>17</v>
      </c>
      <c r="G5" s="5" t="s">
        <v>1653</v>
      </c>
      <c r="H5" s="5" t="s">
        <v>2</v>
      </c>
      <c r="I5" s="5" t="s">
        <v>2</v>
      </c>
      <c r="J5" s="5" t="s">
        <v>1280</v>
      </c>
    </row>
    <row r="6" spans="1:10" x14ac:dyDescent="0.25">
      <c r="A6" s="5" t="s">
        <v>15</v>
      </c>
      <c r="B6" s="5" t="s">
        <v>133</v>
      </c>
      <c r="C6" s="5" t="s">
        <v>1114</v>
      </c>
      <c r="D6" s="5"/>
      <c r="E6" s="5" t="s">
        <v>1281</v>
      </c>
      <c r="F6" s="5" t="s">
        <v>17</v>
      </c>
      <c r="G6" s="5" t="s">
        <v>1654</v>
      </c>
      <c r="H6" s="5" t="s">
        <v>2</v>
      </c>
      <c r="I6" s="5" t="s">
        <v>2</v>
      </c>
      <c r="J6" s="5" t="s">
        <v>1283</v>
      </c>
    </row>
    <row r="7" spans="1:10" x14ac:dyDescent="0.25">
      <c r="A7" s="5" t="s">
        <v>15</v>
      </c>
      <c r="B7" s="5" t="s">
        <v>133</v>
      </c>
      <c r="C7" s="5" t="s">
        <v>1114</v>
      </c>
      <c r="D7" s="5"/>
      <c r="E7" s="5" t="s">
        <v>1284</v>
      </c>
      <c r="F7" s="5" t="s">
        <v>17</v>
      </c>
      <c r="G7" s="5" t="s">
        <v>1655</v>
      </c>
      <c r="H7" s="5" t="s">
        <v>2</v>
      </c>
      <c r="I7" s="5" t="s">
        <v>2</v>
      </c>
      <c r="J7" s="5" t="s">
        <v>1286</v>
      </c>
    </row>
    <row r="8" spans="1:10" x14ac:dyDescent="0.25">
      <c r="A8" s="5" t="s">
        <v>15</v>
      </c>
      <c r="B8" s="5" t="s">
        <v>125</v>
      </c>
      <c r="C8" s="5" t="s">
        <v>2</v>
      </c>
      <c r="D8" s="5"/>
      <c r="E8" s="5" t="s">
        <v>1287</v>
      </c>
      <c r="F8" s="5" t="s">
        <v>17</v>
      </c>
      <c r="G8" s="5" t="s">
        <v>1656</v>
      </c>
      <c r="H8" s="5" t="s">
        <v>2</v>
      </c>
      <c r="I8" s="5" t="s">
        <v>2</v>
      </c>
      <c r="J8" s="5" t="s">
        <v>1289</v>
      </c>
    </row>
    <row r="9" spans="1:10" x14ac:dyDescent="0.25">
      <c r="A9" s="5" t="s">
        <v>15</v>
      </c>
      <c r="B9" s="5" t="s">
        <v>133</v>
      </c>
      <c r="C9" s="5" t="s">
        <v>1114</v>
      </c>
      <c r="D9" s="5"/>
      <c r="E9" s="5" t="s">
        <v>1290</v>
      </c>
      <c r="F9" s="5" t="s">
        <v>17</v>
      </c>
      <c r="G9" s="5" t="s">
        <v>1657</v>
      </c>
      <c r="H9" s="5" t="s">
        <v>2</v>
      </c>
      <c r="I9" s="5" t="s">
        <v>2</v>
      </c>
      <c r="J9" s="5" t="s">
        <v>1292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1293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44</v>
      </c>
      <c r="C5" s="12" t="s">
        <v>1295</v>
      </c>
      <c r="D5" s="5"/>
      <c r="E5" s="5" t="s">
        <v>1296</v>
      </c>
      <c r="F5" s="5" t="s">
        <v>17</v>
      </c>
      <c r="G5" s="5" t="s">
        <v>1297</v>
      </c>
      <c r="H5" s="5" t="s">
        <v>2</v>
      </c>
      <c r="I5" s="5" t="s">
        <v>2</v>
      </c>
      <c r="J5" s="5" t="s">
        <v>1298</v>
      </c>
    </row>
    <row r="6" spans="1:10" x14ac:dyDescent="0.25">
      <c r="A6" s="5" t="s">
        <v>15</v>
      </c>
      <c r="B6" s="5" t="s">
        <v>133</v>
      </c>
      <c r="C6" s="5" t="s">
        <v>1114</v>
      </c>
      <c r="D6" s="5"/>
      <c r="E6" s="5" t="s">
        <v>1299</v>
      </c>
      <c r="F6" s="5" t="s">
        <v>17</v>
      </c>
      <c r="G6" s="5" t="s">
        <v>1658</v>
      </c>
      <c r="H6" s="5" t="s">
        <v>2</v>
      </c>
      <c r="I6" s="5" t="s">
        <v>2</v>
      </c>
      <c r="J6" s="5" t="s">
        <v>1301</v>
      </c>
    </row>
    <row r="7" spans="1:10" x14ac:dyDescent="0.25">
      <c r="A7" s="5" t="s">
        <v>15</v>
      </c>
      <c r="B7" s="5" t="s">
        <v>133</v>
      </c>
      <c r="C7" s="5" t="s">
        <v>1114</v>
      </c>
      <c r="D7" s="5"/>
      <c r="E7" s="5" t="s">
        <v>1302</v>
      </c>
      <c r="F7" s="5" t="s">
        <v>17</v>
      </c>
      <c r="G7" s="5" t="s">
        <v>1659</v>
      </c>
      <c r="H7" s="5" t="s">
        <v>2</v>
      </c>
      <c r="I7" s="5" t="s">
        <v>2</v>
      </c>
      <c r="J7" s="5" t="s">
        <v>1304</v>
      </c>
    </row>
    <row r="8" spans="1:10" x14ac:dyDescent="0.25">
      <c r="A8" s="5" t="s">
        <v>15</v>
      </c>
      <c r="B8" s="5" t="s">
        <v>133</v>
      </c>
      <c r="C8" s="5" t="s">
        <v>1114</v>
      </c>
      <c r="D8" s="5"/>
      <c r="E8" s="5" t="s">
        <v>1305</v>
      </c>
      <c r="F8" s="5" t="s">
        <v>17</v>
      </c>
      <c r="G8" s="5" t="s">
        <v>1660</v>
      </c>
      <c r="H8" s="5" t="s">
        <v>2</v>
      </c>
      <c r="I8" s="5" t="s">
        <v>2</v>
      </c>
      <c r="J8" s="5" t="s">
        <v>1307</v>
      </c>
    </row>
    <row r="9" spans="1:10" x14ac:dyDescent="0.25">
      <c r="A9" s="5" t="s">
        <v>15</v>
      </c>
      <c r="B9" s="5" t="s">
        <v>133</v>
      </c>
      <c r="C9" s="5" t="s">
        <v>1114</v>
      </c>
      <c r="D9" s="5"/>
      <c r="E9" s="5" t="s">
        <v>1308</v>
      </c>
      <c r="F9" s="5" t="s">
        <v>17</v>
      </c>
      <c r="G9" s="5" t="s">
        <v>1661</v>
      </c>
      <c r="H9" s="5" t="s">
        <v>2</v>
      </c>
      <c r="I9" s="5" t="s">
        <v>2</v>
      </c>
      <c r="J9" s="5" t="s">
        <v>1310</v>
      </c>
    </row>
    <row r="10" spans="1:10" x14ac:dyDescent="0.25">
      <c r="A10" s="5" t="s">
        <v>15</v>
      </c>
      <c r="B10" s="5" t="s">
        <v>125</v>
      </c>
      <c r="C10" s="5" t="s">
        <v>2</v>
      </c>
      <c r="D10" s="5"/>
      <c r="E10" s="5" t="s">
        <v>1311</v>
      </c>
      <c r="F10" s="5" t="s">
        <v>17</v>
      </c>
      <c r="G10" s="5" t="s">
        <v>1662</v>
      </c>
      <c r="H10" s="5" t="s">
        <v>2</v>
      </c>
      <c r="I10" s="5" t="s">
        <v>2</v>
      </c>
      <c r="J10" s="5" t="s">
        <v>1313</v>
      </c>
    </row>
  </sheetData>
  <mergeCells count="3">
    <mergeCell ref="A1:J1"/>
    <mergeCell ref="B2:J2"/>
    <mergeCell ref="B3:J3"/>
  </mergeCells>
  <dataValidations count="1">
    <dataValidation type="list" allowBlank="1" sqref="G5:I5">
      <formula1>'Enums'!C2747:C2750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1088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133</v>
      </c>
      <c r="C5" s="5" t="s">
        <v>1091</v>
      </c>
      <c r="D5" s="5"/>
      <c r="E5" s="5" t="s">
        <v>502</v>
      </c>
      <c r="F5" s="5" t="s">
        <v>17</v>
      </c>
      <c r="G5" s="5" t="s">
        <v>1663</v>
      </c>
      <c r="H5" s="5" t="s">
        <v>2</v>
      </c>
      <c r="I5" s="5" t="s">
        <v>2</v>
      </c>
      <c r="J5" s="5" t="s">
        <v>503</v>
      </c>
    </row>
    <row r="6" spans="1:10" x14ac:dyDescent="0.25">
      <c r="A6" s="5" t="s">
        <v>15</v>
      </c>
      <c r="B6" s="5" t="s">
        <v>133</v>
      </c>
      <c r="C6" s="5" t="s">
        <v>1091</v>
      </c>
      <c r="D6" s="5"/>
      <c r="E6" s="5" t="s">
        <v>1093</v>
      </c>
      <c r="F6" s="5" t="s">
        <v>17</v>
      </c>
      <c r="G6" s="5" t="s">
        <v>1664</v>
      </c>
      <c r="H6" s="5" t="s">
        <v>2</v>
      </c>
      <c r="I6" s="5" t="s">
        <v>2</v>
      </c>
      <c r="J6" s="5" t="s">
        <v>1095</v>
      </c>
    </row>
    <row r="7" spans="1:10" x14ac:dyDescent="0.25">
      <c r="A7" s="5" t="s">
        <v>15</v>
      </c>
      <c r="B7" s="5" t="s">
        <v>133</v>
      </c>
      <c r="C7" s="5" t="s">
        <v>1065</v>
      </c>
      <c r="D7" s="5"/>
      <c r="E7" s="5" t="s">
        <v>1096</v>
      </c>
      <c r="F7" s="5" t="s">
        <v>17</v>
      </c>
      <c r="G7" s="5" t="s">
        <v>1665</v>
      </c>
      <c r="H7" s="5" t="s">
        <v>2</v>
      </c>
      <c r="I7" s="5" t="s">
        <v>2</v>
      </c>
      <c r="J7" s="5" t="s">
        <v>1098</v>
      </c>
    </row>
    <row r="8" spans="1:10" x14ac:dyDescent="0.25">
      <c r="A8" s="5" t="s">
        <v>15</v>
      </c>
      <c r="B8" s="5" t="s">
        <v>133</v>
      </c>
      <c r="C8" s="5" t="s">
        <v>1065</v>
      </c>
      <c r="D8" s="5"/>
      <c r="E8" s="5" t="s">
        <v>1099</v>
      </c>
      <c r="F8" s="5" t="s">
        <v>17</v>
      </c>
      <c r="G8" s="5" t="s">
        <v>1666</v>
      </c>
      <c r="H8" s="5" t="s">
        <v>2</v>
      </c>
      <c r="I8" s="5" t="s">
        <v>2</v>
      </c>
      <c r="J8" s="5" t="s">
        <v>1101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1085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1087</v>
      </c>
      <c r="C5" s="5" t="s">
        <v>2</v>
      </c>
      <c r="D5" s="5"/>
      <c r="E5" s="5" t="s">
        <v>1086</v>
      </c>
      <c r="F5" s="5" t="s">
        <v>15</v>
      </c>
      <c r="G5" s="5" t="s">
        <v>2</v>
      </c>
      <c r="H5" s="5" t="s">
        <v>2</v>
      </c>
      <c r="I5" s="5" t="s">
        <v>2</v>
      </c>
      <c r="J5" s="5" t="s">
        <v>501</v>
      </c>
    </row>
    <row r="6" spans="1:10" x14ac:dyDescent="0.25" outlineLevel="1" collapsed="1">
      <c r="A6" s="7" t="s">
        <v>15</v>
      </c>
      <c r="B6" s="7" t="s">
        <v>356</v>
      </c>
      <c r="C6" s="7" t="s">
        <v>2</v>
      </c>
      <c r="D6" s="7"/>
      <c r="E6" s="7" t="s">
        <v>432</v>
      </c>
      <c r="F6" s="7" t="s">
        <v>17</v>
      </c>
      <c r="G6" s="7" t="s">
        <v>2</v>
      </c>
      <c r="H6" s="7" t="s">
        <v>2</v>
      </c>
      <c r="I6" s="7" t="s">
        <v>2</v>
      </c>
      <c r="J6" s="7" t="s">
        <v>433</v>
      </c>
    </row>
    <row r="7" spans="1:10" x14ac:dyDescent="0.25" outlineLevel="1" collapsed="1">
      <c r="A7" s="8" t="s">
        <v>15</v>
      </c>
      <c r="B7" s="9" t="s">
        <v>1088</v>
      </c>
      <c r="C7" s="8" t="s">
        <v>2</v>
      </c>
      <c r="D7" s="8"/>
      <c r="E7" s="8" t="s">
        <v>1089</v>
      </c>
      <c r="F7" s="8" t="s">
        <v>15</v>
      </c>
      <c r="G7" s="8" t="s">
        <v>2</v>
      </c>
      <c r="H7" s="8" t="s">
        <v>2</v>
      </c>
      <c r="I7" s="8" t="s">
        <v>2</v>
      </c>
      <c r="J7" s="8" t="s">
        <v>1090</v>
      </c>
    </row>
    <row r="8" spans="1:10" x14ac:dyDescent="0.25" outlineLevel="2" collapsed="1">
      <c r="A8" s="7" t="s">
        <v>15</v>
      </c>
      <c r="B8" s="7" t="s">
        <v>133</v>
      </c>
      <c r="C8" s="7" t="s">
        <v>1091</v>
      </c>
      <c r="D8" s="7"/>
      <c r="E8" s="7" t="s">
        <v>502</v>
      </c>
      <c r="F8" s="7" t="s">
        <v>17</v>
      </c>
      <c r="G8" s="7" t="s">
        <v>1667</v>
      </c>
      <c r="H8" s="7" t="s">
        <v>2</v>
      </c>
      <c r="I8" s="7" t="s">
        <v>2</v>
      </c>
      <c r="J8" s="7" t="s">
        <v>503</v>
      </c>
    </row>
    <row r="9" spans="1:10" x14ac:dyDescent="0.25" outlineLevel="2" collapsed="1">
      <c r="A9" s="7" t="s">
        <v>15</v>
      </c>
      <c r="B9" s="7" t="s">
        <v>133</v>
      </c>
      <c r="C9" s="7" t="s">
        <v>1091</v>
      </c>
      <c r="D9" s="7"/>
      <c r="E9" s="7" t="s">
        <v>1093</v>
      </c>
      <c r="F9" s="7" t="s">
        <v>17</v>
      </c>
      <c r="G9" s="7" t="s">
        <v>1668</v>
      </c>
      <c r="H9" s="7" t="s">
        <v>2</v>
      </c>
      <c r="I9" s="7" t="s">
        <v>2</v>
      </c>
      <c r="J9" s="7" t="s">
        <v>1095</v>
      </c>
    </row>
    <row r="10" spans="1:10" x14ac:dyDescent="0.25" outlineLevel="2" collapsed="1">
      <c r="A10" s="7" t="s">
        <v>15</v>
      </c>
      <c r="B10" s="7" t="s">
        <v>133</v>
      </c>
      <c r="C10" s="7" t="s">
        <v>1065</v>
      </c>
      <c r="D10" s="7"/>
      <c r="E10" s="7" t="s">
        <v>1096</v>
      </c>
      <c r="F10" s="7" t="s">
        <v>17</v>
      </c>
      <c r="G10" s="7" t="s">
        <v>1669</v>
      </c>
      <c r="H10" s="7" t="s">
        <v>2</v>
      </c>
      <c r="I10" s="7" t="s">
        <v>2</v>
      </c>
      <c r="J10" s="7" t="s">
        <v>1098</v>
      </c>
    </row>
    <row r="11" spans="1:10" x14ac:dyDescent="0.25" outlineLevel="2" collapsed="1">
      <c r="A11" s="7" t="s">
        <v>15</v>
      </c>
      <c r="B11" s="7" t="s">
        <v>133</v>
      </c>
      <c r="C11" s="7" t="s">
        <v>1065</v>
      </c>
      <c r="D11" s="7"/>
      <c r="E11" s="7" t="s">
        <v>1099</v>
      </c>
      <c r="F11" s="7" t="s">
        <v>17</v>
      </c>
      <c r="G11" s="7" t="s">
        <v>1670</v>
      </c>
      <c r="H11" s="7" t="s">
        <v>2</v>
      </c>
      <c r="I11" s="7" t="s">
        <v>2</v>
      </c>
      <c r="J11" s="7" t="s">
        <v>1101</v>
      </c>
    </row>
  </sheetData>
  <mergeCells count="3">
    <mergeCell ref="A1:J1"/>
    <mergeCell ref="B2:J2"/>
    <mergeCell ref="B3:J3"/>
  </mergeCells>
  <hyperlinks>
    <hyperlink ref="B5" r:id="rId1" location="#'Stove Details - Item with Loca'!A1"/>
    <hyperlink ref="B7" r:id="rId2" location="#'Stove Details - Item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527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44</v>
      </c>
      <c r="C5" s="12" t="s">
        <v>529</v>
      </c>
      <c r="D5" s="5"/>
      <c r="E5" s="5" t="s">
        <v>231</v>
      </c>
      <c r="F5" s="5" t="s">
        <v>17</v>
      </c>
      <c r="G5" s="5" t="s">
        <v>251</v>
      </c>
      <c r="H5" s="5" t="s">
        <v>2</v>
      </c>
      <c r="I5" s="5" t="s">
        <v>2</v>
      </c>
      <c r="J5" s="5" t="s">
        <v>530</v>
      </c>
    </row>
    <row r="6" spans="1:10" x14ac:dyDescent="0.25">
      <c r="A6" s="5" t="s">
        <v>17</v>
      </c>
      <c r="B6" s="5" t="s">
        <v>20</v>
      </c>
      <c r="C6" s="5" t="s">
        <v>2</v>
      </c>
      <c r="D6" s="5"/>
      <c r="E6" s="5" t="s">
        <v>76</v>
      </c>
      <c r="F6" s="5" t="s">
        <v>17</v>
      </c>
      <c r="G6" s="5" t="s">
        <v>22</v>
      </c>
      <c r="H6" s="5" t="s">
        <v>2</v>
      </c>
      <c r="I6" s="5" t="s">
        <v>2</v>
      </c>
      <c r="J6" s="5" t="s">
        <v>78</v>
      </c>
    </row>
    <row r="7" spans="1:10" x14ac:dyDescent="0.25">
      <c r="A7" s="5" t="s">
        <v>17</v>
      </c>
      <c r="B7" s="6" t="s">
        <v>531</v>
      </c>
      <c r="C7" s="5" t="s">
        <v>2</v>
      </c>
      <c r="D7" s="5">
        <f>EXACT(G5,"CWT, CWS")</f>
      </c>
      <c r="E7" s="5" t="s">
        <v>532</v>
      </c>
      <c r="F7" s="5" t="s">
        <v>17</v>
      </c>
      <c r="G7" s="5" t="s">
        <v>2</v>
      </c>
      <c r="H7" s="5" t="s">
        <v>2</v>
      </c>
      <c r="I7" s="5" t="s">
        <v>2</v>
      </c>
      <c r="J7" s="5" t="s">
        <v>533</v>
      </c>
    </row>
    <row r="8" spans="1:10" x14ac:dyDescent="0.25" outlineLevel="1" collapsed="1">
      <c r="A8" s="7" t="s">
        <v>17</v>
      </c>
      <c r="B8" s="7" t="s">
        <v>53</v>
      </c>
      <c r="C8" s="7" t="s">
        <v>2</v>
      </c>
      <c r="D8" s="7" t="s">
        <v>506</v>
      </c>
      <c r="E8" s="7" t="s">
        <v>534</v>
      </c>
      <c r="F8" s="7" t="s">
        <v>17</v>
      </c>
      <c r="G8" s="7">
        <v>1</v>
      </c>
      <c r="H8" s="7" t="s">
        <v>2</v>
      </c>
      <c r="I8" s="7" t="s">
        <v>2</v>
      </c>
      <c r="J8" s="7" t="s">
        <v>535</v>
      </c>
    </row>
    <row r="9" spans="1:10" x14ac:dyDescent="0.25" outlineLevel="1" collapsed="1">
      <c r="A9" s="7" t="s">
        <v>17</v>
      </c>
      <c r="B9" s="7" t="s">
        <v>53</v>
      </c>
      <c r="C9" s="7" t="s">
        <v>2</v>
      </c>
      <c r="D9" s="7" t="s">
        <v>506</v>
      </c>
      <c r="E9" s="7" t="s">
        <v>536</v>
      </c>
      <c r="F9" s="7" t="s">
        <v>17</v>
      </c>
      <c r="G9" s="7">
        <v>1</v>
      </c>
      <c r="H9" s="7" t="s">
        <v>2</v>
      </c>
      <c r="I9" s="7" t="s">
        <v>2</v>
      </c>
      <c r="J9" s="7" t="s">
        <v>537</v>
      </c>
    </row>
    <row r="10" spans="1:10" x14ac:dyDescent="0.25" outlineLevel="1" collapsed="1">
      <c r="A10" s="8" t="s">
        <v>15</v>
      </c>
      <c r="B10" s="9" t="s">
        <v>538</v>
      </c>
      <c r="C10" s="8" t="s">
        <v>2</v>
      </c>
      <c r="D10" s="8"/>
      <c r="E10" s="8" t="s">
        <v>539</v>
      </c>
      <c r="F10" s="8" t="s">
        <v>15</v>
      </c>
      <c r="G10" s="8" t="s">
        <v>2</v>
      </c>
      <c r="H10" s="8" t="s">
        <v>2</v>
      </c>
      <c r="I10" s="8" t="s">
        <v>2</v>
      </c>
      <c r="J10" s="8" t="s">
        <v>540</v>
      </c>
    </row>
    <row r="11" spans="1:10" x14ac:dyDescent="0.25" outlineLevel="2" collapsed="1">
      <c r="A11" s="7" t="s">
        <v>15</v>
      </c>
      <c r="B11" s="7" t="s">
        <v>20</v>
      </c>
      <c r="C11" s="7" t="s">
        <v>2</v>
      </c>
      <c r="D11" s="7"/>
      <c r="E11" s="7" t="s">
        <v>541</v>
      </c>
      <c r="F11" s="7" t="s">
        <v>17</v>
      </c>
      <c r="G11" s="7" t="s">
        <v>22</v>
      </c>
      <c r="H11" s="7" t="s">
        <v>2</v>
      </c>
      <c r="I11" s="7" t="s">
        <v>2</v>
      </c>
      <c r="J11" s="7" t="s">
        <v>406</v>
      </c>
    </row>
    <row r="12" spans="1:10" x14ac:dyDescent="0.25" outlineLevel="2" collapsed="1">
      <c r="A12" s="7" t="s">
        <v>15</v>
      </c>
      <c r="B12" s="7" t="s">
        <v>194</v>
      </c>
      <c r="C12" s="7" t="s">
        <v>2</v>
      </c>
      <c r="D12" s="7"/>
      <c r="E12" s="7" t="s">
        <v>542</v>
      </c>
      <c r="F12" s="7" t="s">
        <v>17</v>
      </c>
      <c r="G12" s="7">
        <v>1</v>
      </c>
      <c r="H12" s="7" t="s">
        <v>2</v>
      </c>
      <c r="I12" s="7" t="s">
        <v>2</v>
      </c>
      <c r="J12" s="7" t="s">
        <v>543</v>
      </c>
    </row>
    <row r="13" spans="1:10" x14ac:dyDescent="0.25" outlineLevel="2" collapsed="1">
      <c r="A13" s="8" t="s">
        <v>15</v>
      </c>
      <c r="B13" s="9" t="s">
        <v>544</v>
      </c>
      <c r="C13" s="8" t="s">
        <v>2</v>
      </c>
      <c r="D13" s="8"/>
      <c r="E13" s="8" t="s">
        <v>545</v>
      </c>
      <c r="F13" s="8" t="s">
        <v>15</v>
      </c>
      <c r="G13" s="8" t="s">
        <v>2</v>
      </c>
      <c r="H13" s="8" t="s">
        <v>2</v>
      </c>
      <c r="I13" s="8" t="s">
        <v>2</v>
      </c>
      <c r="J13" s="8" t="s">
        <v>546</v>
      </c>
    </row>
    <row r="14" spans="1:10" x14ac:dyDescent="0.25" outlineLevel="3" collapsed="1">
      <c r="A14" s="7" t="s">
        <v>15</v>
      </c>
      <c r="B14" s="7" t="s">
        <v>20</v>
      </c>
      <c r="C14" s="7" t="s">
        <v>2</v>
      </c>
      <c r="D14" s="7"/>
      <c r="E14" s="7" t="s">
        <v>545</v>
      </c>
      <c r="F14" s="7" t="s">
        <v>17</v>
      </c>
      <c r="G14" s="7" t="s">
        <v>22</v>
      </c>
      <c r="H14" s="7" t="s">
        <v>2</v>
      </c>
      <c r="I14" s="7" t="s">
        <v>2</v>
      </c>
      <c r="J14" s="7" t="s">
        <v>546</v>
      </c>
    </row>
    <row r="15" spans="1:10" x14ac:dyDescent="0.25" outlineLevel="3" collapsed="1">
      <c r="A15" s="7" t="s">
        <v>15</v>
      </c>
      <c r="B15" s="7" t="s">
        <v>194</v>
      </c>
      <c r="C15" s="7" t="s">
        <v>2</v>
      </c>
      <c r="D15" s="7"/>
      <c r="E15" s="7" t="s">
        <v>547</v>
      </c>
      <c r="F15" s="7" t="s">
        <v>17</v>
      </c>
      <c r="G15" s="7">
        <v>1</v>
      </c>
      <c r="H15" s="7" t="s">
        <v>2</v>
      </c>
      <c r="I15" s="7" t="s">
        <v>2</v>
      </c>
      <c r="J15" s="7" t="s">
        <v>548</v>
      </c>
    </row>
    <row r="16" spans="1:10" x14ac:dyDescent="0.25" outlineLevel="3" collapsed="1">
      <c r="A16" s="7" t="s">
        <v>15</v>
      </c>
      <c r="B16" s="7" t="s">
        <v>53</v>
      </c>
      <c r="C16" s="7" t="s">
        <v>2</v>
      </c>
      <c r="D16" s="7"/>
      <c r="E16" s="7" t="s">
        <v>549</v>
      </c>
      <c r="F16" s="7" t="s">
        <v>17</v>
      </c>
      <c r="G16" s="7">
        <v>1</v>
      </c>
      <c r="H16" s="7" t="s">
        <v>2</v>
      </c>
      <c r="I16" s="7" t="s">
        <v>2</v>
      </c>
      <c r="J16" s="7" t="s">
        <v>550</v>
      </c>
    </row>
    <row r="17" spans="1:10" x14ac:dyDescent="0.25" outlineLevel="2" collapsed="1">
      <c r="A17" s="7" t="s">
        <v>17</v>
      </c>
      <c r="B17" s="7" t="s">
        <v>53</v>
      </c>
      <c r="C17" s="7" t="s">
        <v>2</v>
      </c>
      <c r="D17" s="7" t="s">
        <v>506</v>
      </c>
      <c r="E17" s="7" t="s">
        <v>551</v>
      </c>
      <c r="F17" s="7" t="s">
        <v>17</v>
      </c>
      <c r="G17" s="7">
        <v>1</v>
      </c>
      <c r="H17" s="7" t="s">
        <v>2</v>
      </c>
      <c r="I17" s="7" t="s">
        <v>2</v>
      </c>
      <c r="J17" s="7" t="s">
        <v>552</v>
      </c>
    </row>
    <row r="18" spans="1:10" x14ac:dyDescent="0.25" outlineLevel="2" collapsed="1">
      <c r="A18" s="7" t="s">
        <v>15</v>
      </c>
      <c r="B18" s="7" t="s">
        <v>194</v>
      </c>
      <c r="C18" s="7" t="s">
        <v>2</v>
      </c>
      <c r="D18" s="7"/>
      <c r="E18" s="7" t="s">
        <v>553</v>
      </c>
      <c r="F18" s="7" t="s">
        <v>17</v>
      </c>
      <c r="G18" s="7">
        <v>1</v>
      </c>
      <c r="H18" s="7" t="s">
        <v>2</v>
      </c>
      <c r="I18" s="7" t="s">
        <v>2</v>
      </c>
      <c r="J18" s="7" t="s">
        <v>554</v>
      </c>
    </row>
    <row r="19" spans="1:10" x14ac:dyDescent="0.25" outlineLevel="2" collapsed="1">
      <c r="A19" s="7" t="s">
        <v>17</v>
      </c>
      <c r="B19" s="7" t="s">
        <v>20</v>
      </c>
      <c r="C19" s="7" t="s">
        <v>2</v>
      </c>
      <c r="D19" s="7"/>
      <c r="E19" s="7" t="s">
        <v>519</v>
      </c>
      <c r="F19" s="7" t="s">
        <v>17</v>
      </c>
      <c r="G19" s="7" t="s">
        <v>22</v>
      </c>
      <c r="H19" s="7" t="s">
        <v>2</v>
      </c>
      <c r="I19" s="7" t="s">
        <v>2</v>
      </c>
      <c r="J19" s="7" t="s">
        <v>520</v>
      </c>
    </row>
    <row r="20" spans="1:10" x14ac:dyDescent="0.25" outlineLevel="2" collapsed="1">
      <c r="A20" s="7" t="s">
        <v>15</v>
      </c>
      <c r="B20" s="7" t="s">
        <v>125</v>
      </c>
      <c r="C20" s="7" t="s">
        <v>2</v>
      </c>
      <c r="D20" s="7"/>
      <c r="E20" s="7" t="s">
        <v>555</v>
      </c>
      <c r="F20" s="7" t="s">
        <v>17</v>
      </c>
      <c r="G20" s="7" t="s">
        <v>1671</v>
      </c>
      <c r="H20" s="7" t="s">
        <v>2</v>
      </c>
      <c r="I20" s="7" t="s">
        <v>2</v>
      </c>
      <c r="J20" s="7" t="s">
        <v>557</v>
      </c>
    </row>
    <row r="21" spans="1:10" x14ac:dyDescent="0.25" outlineLevel="1" collapsed="1">
      <c r="A21" s="7" t="s">
        <v>15</v>
      </c>
      <c r="B21" s="7" t="s">
        <v>125</v>
      </c>
      <c r="C21" s="7" t="s">
        <v>2</v>
      </c>
      <c r="D21" s="7"/>
      <c r="E21" s="7" t="s">
        <v>555</v>
      </c>
      <c r="F21" s="7" t="s">
        <v>17</v>
      </c>
      <c r="G21" s="7" t="s">
        <v>1672</v>
      </c>
      <c r="H21" s="7" t="s">
        <v>2</v>
      </c>
      <c r="I21" s="7" t="s">
        <v>2</v>
      </c>
      <c r="J21" s="7" t="s">
        <v>557</v>
      </c>
    </row>
    <row r="22" spans="1:10" x14ac:dyDescent="0.25" outlineLevel="1" collapsed="1">
      <c r="A22" s="7" t="s">
        <v>17</v>
      </c>
      <c r="B22" s="7" t="s">
        <v>20</v>
      </c>
      <c r="C22" s="7" t="s">
        <v>2</v>
      </c>
      <c r="D22" s="7"/>
      <c r="E22" s="7" t="s">
        <v>519</v>
      </c>
      <c r="F22" s="7" t="s">
        <v>17</v>
      </c>
      <c r="G22" s="7" t="s">
        <v>22</v>
      </c>
      <c r="H22" s="7" t="s">
        <v>2</v>
      </c>
      <c r="I22" s="7" t="s">
        <v>2</v>
      </c>
      <c r="J22" s="7" t="s">
        <v>520</v>
      </c>
    </row>
    <row r="23" spans="1:10" x14ac:dyDescent="0.25" outlineLevel="1" collapsed="1">
      <c r="A23" s="7" t="s">
        <v>15</v>
      </c>
      <c r="B23" s="7" t="s">
        <v>53</v>
      </c>
      <c r="C23" s="7" t="s">
        <v>2</v>
      </c>
      <c r="D23" s="7"/>
      <c r="E23" s="7" t="s">
        <v>559</v>
      </c>
      <c r="F23" s="7" t="s">
        <v>17</v>
      </c>
      <c r="G23" s="7">
        <v>1</v>
      </c>
      <c r="H23" s="7" t="s">
        <v>2</v>
      </c>
      <c r="I23" s="7" t="s">
        <v>2</v>
      </c>
      <c r="J23" s="7" t="s">
        <v>560</v>
      </c>
    </row>
    <row r="24" spans="1:10" x14ac:dyDescent="0.25">
      <c r="A24" s="5" t="s">
        <v>17</v>
      </c>
      <c r="B24" s="6" t="s">
        <v>561</v>
      </c>
      <c r="C24" s="5" t="s">
        <v>2</v>
      </c>
      <c r="D24" s="5">
        <f>EXACT(G5,"HWT, IWT")</f>
      </c>
      <c r="E24" s="5" t="s">
        <v>562</v>
      </c>
      <c r="F24" s="5" t="s">
        <v>17</v>
      </c>
      <c r="G24" s="5" t="s">
        <v>2</v>
      </c>
      <c r="H24" s="5" t="s">
        <v>2</v>
      </c>
      <c r="I24" s="5" t="s">
        <v>2</v>
      </c>
      <c r="J24" s="5" t="s">
        <v>563</v>
      </c>
    </row>
    <row r="25" spans="1:10" x14ac:dyDescent="0.25" outlineLevel="1" collapsed="1">
      <c r="A25" s="8" t="s">
        <v>15</v>
      </c>
      <c r="B25" s="9" t="s">
        <v>539</v>
      </c>
      <c r="C25" s="8" t="s">
        <v>2</v>
      </c>
      <c r="D25" s="8"/>
      <c r="E25" s="8" t="s">
        <v>539</v>
      </c>
      <c r="F25" s="8" t="s">
        <v>15</v>
      </c>
      <c r="G25" s="8" t="s">
        <v>2</v>
      </c>
      <c r="H25" s="8" t="s">
        <v>2</v>
      </c>
      <c r="I25" s="8" t="s">
        <v>2</v>
      </c>
      <c r="J25" s="8" t="s">
        <v>564</v>
      </c>
    </row>
    <row r="26" spans="1:10" x14ac:dyDescent="0.25" outlineLevel="2" collapsed="1">
      <c r="A26" s="7" t="s">
        <v>15</v>
      </c>
      <c r="B26" s="7" t="s">
        <v>20</v>
      </c>
      <c r="C26" s="7" t="s">
        <v>2</v>
      </c>
      <c r="D26" s="7"/>
      <c r="E26" s="7" t="s">
        <v>541</v>
      </c>
      <c r="F26" s="7" t="s">
        <v>17</v>
      </c>
      <c r="G26" s="7" t="s">
        <v>22</v>
      </c>
      <c r="H26" s="7" t="s">
        <v>2</v>
      </c>
      <c r="I26" s="7" t="s">
        <v>2</v>
      </c>
      <c r="J26" s="7" t="s">
        <v>406</v>
      </c>
    </row>
    <row r="27" spans="1:10" x14ac:dyDescent="0.25" outlineLevel="2" collapsed="1">
      <c r="A27" s="7" t="s">
        <v>15</v>
      </c>
      <c r="B27" s="7" t="s">
        <v>194</v>
      </c>
      <c r="C27" s="7" t="s">
        <v>2</v>
      </c>
      <c r="D27" s="7"/>
      <c r="E27" s="7" t="s">
        <v>565</v>
      </c>
      <c r="F27" s="7" t="s">
        <v>17</v>
      </c>
      <c r="G27" s="7">
        <v>1</v>
      </c>
      <c r="H27" s="7" t="s">
        <v>2</v>
      </c>
      <c r="I27" s="7" t="s">
        <v>2</v>
      </c>
      <c r="J27" s="7" t="s">
        <v>543</v>
      </c>
    </row>
    <row r="28" spans="1:10" x14ac:dyDescent="0.25" outlineLevel="2" collapsed="1">
      <c r="A28" s="8" t="s">
        <v>15</v>
      </c>
      <c r="B28" s="9" t="s">
        <v>566</v>
      </c>
      <c r="C28" s="8" t="s">
        <v>2</v>
      </c>
      <c r="D28" s="8"/>
      <c r="E28" s="8" t="s">
        <v>539</v>
      </c>
      <c r="F28" s="8" t="s">
        <v>15</v>
      </c>
      <c r="G28" s="8" t="s">
        <v>2</v>
      </c>
      <c r="H28" s="8" t="s">
        <v>2</v>
      </c>
      <c r="I28" s="8" t="s">
        <v>2</v>
      </c>
      <c r="J28" s="8" t="s">
        <v>567</v>
      </c>
    </row>
    <row r="29" spans="1:10" x14ac:dyDescent="0.25" outlineLevel="3" collapsed="1">
      <c r="A29" s="7" t="s">
        <v>15</v>
      </c>
      <c r="B29" s="7" t="s">
        <v>20</v>
      </c>
      <c r="C29" s="7" t="s">
        <v>2</v>
      </c>
      <c r="D29" s="7"/>
      <c r="E29" s="7" t="s">
        <v>545</v>
      </c>
      <c r="F29" s="7" t="s">
        <v>17</v>
      </c>
      <c r="G29" s="7" t="s">
        <v>22</v>
      </c>
      <c r="H29" s="7" t="s">
        <v>2</v>
      </c>
      <c r="I29" s="7" t="s">
        <v>2</v>
      </c>
      <c r="J29" s="7" t="s">
        <v>546</v>
      </c>
    </row>
    <row r="30" spans="1:10" x14ac:dyDescent="0.25" outlineLevel="3" collapsed="1">
      <c r="A30" s="7" t="s">
        <v>15</v>
      </c>
      <c r="B30" s="7" t="s">
        <v>194</v>
      </c>
      <c r="C30" s="7" t="s">
        <v>2</v>
      </c>
      <c r="D30" s="7"/>
      <c r="E30" s="7" t="s">
        <v>547</v>
      </c>
      <c r="F30" s="7" t="s">
        <v>17</v>
      </c>
      <c r="G30" s="7">
        <v>1</v>
      </c>
      <c r="H30" s="7" t="s">
        <v>2</v>
      </c>
      <c r="I30" s="7" t="s">
        <v>2</v>
      </c>
      <c r="J30" s="7" t="s">
        <v>548</v>
      </c>
    </row>
    <row r="31" spans="1:10" x14ac:dyDescent="0.25" outlineLevel="3" collapsed="1">
      <c r="A31" s="7" t="s">
        <v>15</v>
      </c>
      <c r="B31" s="7" t="s">
        <v>53</v>
      </c>
      <c r="C31" s="7" t="s">
        <v>2</v>
      </c>
      <c r="D31" s="7"/>
      <c r="E31" s="7" t="s">
        <v>549</v>
      </c>
      <c r="F31" s="7" t="s">
        <v>17</v>
      </c>
      <c r="G31" s="7">
        <v>1</v>
      </c>
      <c r="H31" s="7" t="s">
        <v>2</v>
      </c>
      <c r="I31" s="7" t="s">
        <v>2</v>
      </c>
      <c r="J31" s="7" t="s">
        <v>550</v>
      </c>
    </row>
    <row r="32" spans="1:10" x14ac:dyDescent="0.25" outlineLevel="2" collapsed="1">
      <c r="A32" s="7" t="s">
        <v>17</v>
      </c>
      <c r="B32" s="7" t="s">
        <v>53</v>
      </c>
      <c r="C32" s="7" t="s">
        <v>2</v>
      </c>
      <c r="D32" s="7" t="s">
        <v>506</v>
      </c>
      <c r="E32" s="7" t="s">
        <v>568</v>
      </c>
      <c r="F32" s="7" t="s">
        <v>17</v>
      </c>
      <c r="G32" s="7">
        <v>1</v>
      </c>
      <c r="H32" s="7" t="s">
        <v>2</v>
      </c>
      <c r="I32" s="7" t="s">
        <v>2</v>
      </c>
      <c r="J32" s="7" t="s">
        <v>552</v>
      </c>
    </row>
    <row r="33" spans="1:10" x14ac:dyDescent="0.25" outlineLevel="2" collapsed="1">
      <c r="A33" s="7" t="s">
        <v>15</v>
      </c>
      <c r="B33" s="7" t="s">
        <v>53</v>
      </c>
      <c r="C33" s="7" t="s">
        <v>2</v>
      </c>
      <c r="D33" s="7"/>
      <c r="E33" s="7" t="s">
        <v>569</v>
      </c>
      <c r="F33" s="7" t="s">
        <v>17</v>
      </c>
      <c r="G33" s="7">
        <v>1</v>
      </c>
      <c r="H33" s="7" t="s">
        <v>2</v>
      </c>
      <c r="I33" s="7" t="s">
        <v>2</v>
      </c>
      <c r="J33" s="7" t="s">
        <v>570</v>
      </c>
    </row>
    <row r="34" spans="1:10" x14ac:dyDescent="0.25" outlineLevel="2" collapsed="1">
      <c r="A34" s="7" t="s">
        <v>15</v>
      </c>
      <c r="B34" s="7" t="s">
        <v>53</v>
      </c>
      <c r="C34" s="7" t="s">
        <v>2</v>
      </c>
      <c r="D34" s="7"/>
      <c r="E34" s="7" t="s">
        <v>571</v>
      </c>
      <c r="F34" s="7" t="s">
        <v>17</v>
      </c>
      <c r="G34" s="7">
        <v>1</v>
      </c>
      <c r="H34" s="7" t="s">
        <v>2</v>
      </c>
      <c r="I34" s="7" t="s">
        <v>2</v>
      </c>
      <c r="J34" s="7" t="s">
        <v>572</v>
      </c>
    </row>
    <row r="35" spans="1:10" x14ac:dyDescent="0.25" outlineLevel="2" collapsed="1">
      <c r="A35" s="7" t="s">
        <v>15</v>
      </c>
      <c r="B35" s="7" t="s">
        <v>53</v>
      </c>
      <c r="C35" s="7" t="s">
        <v>2</v>
      </c>
      <c r="D35" s="7"/>
      <c r="E35" s="7" t="s">
        <v>573</v>
      </c>
      <c r="F35" s="7" t="s">
        <v>17</v>
      </c>
      <c r="G35" s="7">
        <v>1</v>
      </c>
      <c r="H35" s="7" t="s">
        <v>2</v>
      </c>
      <c r="I35" s="7" t="s">
        <v>2</v>
      </c>
      <c r="J35" s="7" t="s">
        <v>574</v>
      </c>
    </row>
    <row r="36" spans="1:10" x14ac:dyDescent="0.25" outlineLevel="2" collapsed="1">
      <c r="A36" s="7" t="s">
        <v>17</v>
      </c>
      <c r="B36" s="7" t="s">
        <v>53</v>
      </c>
      <c r="C36" s="7" t="s">
        <v>2</v>
      </c>
      <c r="D36" s="7" t="s">
        <v>506</v>
      </c>
      <c r="E36" s="7" t="s">
        <v>575</v>
      </c>
      <c r="F36" s="7" t="s">
        <v>17</v>
      </c>
      <c r="G36" s="7">
        <v>1</v>
      </c>
      <c r="H36" s="7" t="s">
        <v>2</v>
      </c>
      <c r="I36" s="7" t="s">
        <v>2</v>
      </c>
      <c r="J36" s="7" t="s">
        <v>576</v>
      </c>
    </row>
    <row r="37" spans="1:10" x14ac:dyDescent="0.25" outlineLevel="2" collapsed="1">
      <c r="A37" s="7" t="s">
        <v>15</v>
      </c>
      <c r="B37" s="7" t="s">
        <v>194</v>
      </c>
      <c r="C37" s="7" t="s">
        <v>2</v>
      </c>
      <c r="D37" s="7"/>
      <c r="E37" s="7" t="s">
        <v>553</v>
      </c>
      <c r="F37" s="7" t="s">
        <v>17</v>
      </c>
      <c r="G37" s="7">
        <v>1</v>
      </c>
      <c r="H37" s="7" t="s">
        <v>2</v>
      </c>
      <c r="I37" s="7" t="s">
        <v>2</v>
      </c>
      <c r="J37" s="7" t="s">
        <v>554</v>
      </c>
    </row>
    <row r="38" spans="1:10" x14ac:dyDescent="0.25" outlineLevel="2" collapsed="1">
      <c r="A38" s="7" t="s">
        <v>17</v>
      </c>
      <c r="B38" s="7" t="s">
        <v>20</v>
      </c>
      <c r="C38" s="7" t="s">
        <v>2</v>
      </c>
      <c r="D38" s="7"/>
      <c r="E38" s="7" t="s">
        <v>577</v>
      </c>
      <c r="F38" s="7" t="s">
        <v>17</v>
      </c>
      <c r="G38" s="7" t="s">
        <v>22</v>
      </c>
      <c r="H38" s="7" t="s">
        <v>2</v>
      </c>
      <c r="I38" s="7" t="s">
        <v>2</v>
      </c>
      <c r="J38" s="7" t="s">
        <v>520</v>
      </c>
    </row>
    <row r="39" spans="1:10" x14ac:dyDescent="0.25" outlineLevel="2" collapsed="1">
      <c r="A39" s="7" t="s">
        <v>15</v>
      </c>
      <c r="B39" s="7" t="s">
        <v>125</v>
      </c>
      <c r="C39" s="7" t="s">
        <v>2</v>
      </c>
      <c r="D39" s="7"/>
      <c r="E39" s="7" t="s">
        <v>555</v>
      </c>
      <c r="F39" s="7" t="s">
        <v>17</v>
      </c>
      <c r="G39" s="7" t="s">
        <v>1673</v>
      </c>
      <c r="H39" s="7" t="s">
        <v>2</v>
      </c>
      <c r="I39" s="7" t="s">
        <v>2</v>
      </c>
      <c r="J39" s="7" t="s">
        <v>579</v>
      </c>
    </row>
    <row r="40" spans="1:10" x14ac:dyDescent="0.25" outlineLevel="1" collapsed="1">
      <c r="A40" s="7" t="s">
        <v>17</v>
      </c>
      <c r="B40" s="7" t="s">
        <v>53</v>
      </c>
      <c r="C40" s="7" t="s">
        <v>2</v>
      </c>
      <c r="D40" s="7" t="s">
        <v>506</v>
      </c>
      <c r="E40" s="7" t="s">
        <v>580</v>
      </c>
      <c r="F40" s="7" t="s">
        <v>17</v>
      </c>
      <c r="G40" s="7">
        <v>1</v>
      </c>
      <c r="H40" s="7" t="s">
        <v>2</v>
      </c>
      <c r="I40" s="7" t="s">
        <v>2</v>
      </c>
      <c r="J40" s="7" t="s">
        <v>535</v>
      </c>
    </row>
  </sheetData>
  <mergeCells count="3">
    <mergeCell ref="A1:J1"/>
    <mergeCell ref="B2:J2"/>
    <mergeCell ref="B3:J3"/>
  </mergeCells>
  <dataValidations count="1">
    <dataValidation type="list" allowBlank="1" sqref="G5:I5">
      <formula1>'Enums'!C2751:C2752</formula1>
    </dataValidation>
  </dataValidations>
  <hyperlinks>
    <hyperlink ref="B7" r:id="rId1" location="#'Unadjusted Quantity of Safe 2'!A1"/>
    <hyperlink ref="B10" r:id="rId2" location="#'Project Water Supply Premis 2'!A1"/>
    <hyperlink ref="B13" r:id="rId3" location="#'Project Water Supply Premis 3'!A1"/>
    <hyperlink ref="B24" r:id="rId4" location="#'Unadjusted Quantity of Safe 3'!A1"/>
    <hyperlink ref="B25" r:id="rId5" location="#'Project Water Supply Premises'!A1"/>
    <hyperlink ref="B28" r:id="rId6" location="#'Project Water Supply Premis 4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4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1674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541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406</v>
      </c>
    </row>
    <row r="6" spans="1:10" x14ac:dyDescent="0.25">
      <c r="A6" s="5" t="s">
        <v>15</v>
      </c>
      <c r="B6" s="5" t="s">
        <v>194</v>
      </c>
      <c r="C6" s="5" t="s">
        <v>2</v>
      </c>
      <c r="D6" s="5"/>
      <c r="E6" s="5" t="s">
        <v>542</v>
      </c>
      <c r="F6" s="5" t="s">
        <v>17</v>
      </c>
      <c r="G6" s="5">
        <v>1</v>
      </c>
      <c r="H6" s="5" t="s">
        <v>2</v>
      </c>
      <c r="I6" s="5" t="s">
        <v>2</v>
      </c>
      <c r="J6" s="5" t="s">
        <v>543</v>
      </c>
    </row>
    <row r="7" spans="1:10" x14ac:dyDescent="0.25">
      <c r="A7" s="5" t="s">
        <v>15</v>
      </c>
      <c r="B7" s="6" t="s">
        <v>544</v>
      </c>
      <c r="C7" s="5" t="s">
        <v>2</v>
      </c>
      <c r="D7" s="5"/>
      <c r="E7" s="5" t="s">
        <v>545</v>
      </c>
      <c r="F7" s="5" t="s">
        <v>15</v>
      </c>
      <c r="G7" s="5" t="s">
        <v>2</v>
      </c>
      <c r="H7" s="5" t="s">
        <v>2</v>
      </c>
      <c r="I7" s="5" t="s">
        <v>2</v>
      </c>
      <c r="J7" s="5" t="s">
        <v>546</v>
      </c>
    </row>
    <row r="8" spans="1:10" x14ac:dyDescent="0.25" outlineLevel="1" collapsed="1">
      <c r="A8" s="7" t="s">
        <v>15</v>
      </c>
      <c r="B8" s="7" t="s">
        <v>20</v>
      </c>
      <c r="C8" s="7" t="s">
        <v>2</v>
      </c>
      <c r="D8" s="7"/>
      <c r="E8" s="7" t="s">
        <v>545</v>
      </c>
      <c r="F8" s="7" t="s">
        <v>17</v>
      </c>
      <c r="G8" s="7" t="s">
        <v>22</v>
      </c>
      <c r="H8" s="7" t="s">
        <v>2</v>
      </c>
      <c r="I8" s="7" t="s">
        <v>2</v>
      </c>
      <c r="J8" s="7" t="s">
        <v>546</v>
      </c>
    </row>
    <row r="9" spans="1:10" x14ac:dyDescent="0.25" outlineLevel="1" collapsed="1">
      <c r="A9" s="7" t="s">
        <v>15</v>
      </c>
      <c r="B9" s="7" t="s">
        <v>194</v>
      </c>
      <c r="C9" s="7" t="s">
        <v>2</v>
      </c>
      <c r="D9" s="7"/>
      <c r="E9" s="7" t="s">
        <v>547</v>
      </c>
      <c r="F9" s="7" t="s">
        <v>17</v>
      </c>
      <c r="G9" s="7">
        <v>1</v>
      </c>
      <c r="H9" s="7" t="s">
        <v>2</v>
      </c>
      <c r="I9" s="7" t="s">
        <v>2</v>
      </c>
      <c r="J9" s="7" t="s">
        <v>548</v>
      </c>
    </row>
    <row r="10" spans="1:10" x14ac:dyDescent="0.25" outlineLevel="1" collapsed="1">
      <c r="A10" s="7" t="s">
        <v>15</v>
      </c>
      <c r="B10" s="7" t="s">
        <v>53</v>
      </c>
      <c r="C10" s="7" t="s">
        <v>2</v>
      </c>
      <c r="D10" s="7"/>
      <c r="E10" s="7" t="s">
        <v>549</v>
      </c>
      <c r="F10" s="7" t="s">
        <v>17</v>
      </c>
      <c r="G10" s="7">
        <v>1</v>
      </c>
      <c r="H10" s="7" t="s">
        <v>2</v>
      </c>
      <c r="I10" s="7" t="s">
        <v>2</v>
      </c>
      <c r="J10" s="7" t="s">
        <v>550</v>
      </c>
    </row>
    <row r="11" spans="1:10" x14ac:dyDescent="0.25">
      <c r="A11" s="5" t="s">
        <v>17</v>
      </c>
      <c r="B11" s="5" t="s">
        <v>53</v>
      </c>
      <c r="C11" s="5" t="s">
        <v>2</v>
      </c>
      <c r="D11" s="5" t="s">
        <v>506</v>
      </c>
      <c r="E11" s="5" t="s">
        <v>551</v>
      </c>
      <c r="F11" s="5" t="s">
        <v>17</v>
      </c>
      <c r="G11" s="5">
        <v>1</v>
      </c>
      <c r="H11" s="5" t="s">
        <v>2</v>
      </c>
      <c r="I11" s="5" t="s">
        <v>2</v>
      </c>
      <c r="J11" s="5" t="s">
        <v>552</v>
      </c>
    </row>
    <row r="12" spans="1:10" x14ac:dyDescent="0.25">
      <c r="A12" s="5" t="s">
        <v>15</v>
      </c>
      <c r="B12" s="5" t="s">
        <v>194</v>
      </c>
      <c r="C12" s="5" t="s">
        <v>2</v>
      </c>
      <c r="D12" s="5"/>
      <c r="E12" s="5" t="s">
        <v>553</v>
      </c>
      <c r="F12" s="5" t="s">
        <v>17</v>
      </c>
      <c r="G12" s="5">
        <v>1</v>
      </c>
      <c r="H12" s="5" t="s">
        <v>2</v>
      </c>
      <c r="I12" s="5" t="s">
        <v>2</v>
      </c>
      <c r="J12" s="5" t="s">
        <v>554</v>
      </c>
    </row>
    <row r="13" spans="1:10" x14ac:dyDescent="0.25">
      <c r="A13" s="5" t="s">
        <v>17</v>
      </c>
      <c r="B13" s="5" t="s">
        <v>20</v>
      </c>
      <c r="C13" s="5" t="s">
        <v>2</v>
      </c>
      <c r="D13" s="5"/>
      <c r="E13" s="5" t="s">
        <v>519</v>
      </c>
      <c r="F13" s="5" t="s">
        <v>17</v>
      </c>
      <c r="G13" s="5" t="s">
        <v>22</v>
      </c>
      <c r="H13" s="5" t="s">
        <v>2</v>
      </c>
      <c r="I13" s="5" t="s">
        <v>2</v>
      </c>
      <c r="J13" s="5" t="s">
        <v>520</v>
      </c>
    </row>
    <row r="14" spans="1:10" x14ac:dyDescent="0.25">
      <c r="A14" s="5" t="s">
        <v>15</v>
      </c>
      <c r="B14" s="5" t="s">
        <v>125</v>
      </c>
      <c r="C14" s="5" t="s">
        <v>2</v>
      </c>
      <c r="D14" s="5"/>
      <c r="E14" s="5" t="s">
        <v>555</v>
      </c>
      <c r="F14" s="5" t="s">
        <v>17</v>
      </c>
      <c r="G14" s="5" t="s">
        <v>1675</v>
      </c>
      <c r="H14" s="5" t="s">
        <v>2</v>
      </c>
      <c r="I14" s="5" t="s">
        <v>2</v>
      </c>
      <c r="J14" s="5" t="s">
        <v>557</v>
      </c>
    </row>
  </sheetData>
  <mergeCells count="3">
    <mergeCell ref="A1:J1"/>
    <mergeCell ref="B2:J2"/>
    <mergeCell ref="B3:J3"/>
  </mergeCells>
  <hyperlinks>
    <hyperlink ref="B7" r:id="rId1" location="#'Project Water Supply Premis 3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1676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545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546</v>
      </c>
    </row>
    <row r="6" spans="1:10" x14ac:dyDescent="0.25">
      <c r="A6" s="5" t="s">
        <v>15</v>
      </c>
      <c r="B6" s="5" t="s">
        <v>194</v>
      </c>
      <c r="C6" s="5" t="s">
        <v>2</v>
      </c>
      <c r="D6" s="5"/>
      <c r="E6" s="5" t="s">
        <v>547</v>
      </c>
      <c r="F6" s="5" t="s">
        <v>17</v>
      </c>
      <c r="G6" s="5">
        <v>1</v>
      </c>
      <c r="H6" s="5" t="s">
        <v>2</v>
      </c>
      <c r="I6" s="5" t="s">
        <v>2</v>
      </c>
      <c r="J6" s="5" t="s">
        <v>548</v>
      </c>
    </row>
    <row r="7" spans="1:10" x14ac:dyDescent="0.25">
      <c r="A7" s="5" t="s">
        <v>15</v>
      </c>
      <c r="B7" s="5" t="s">
        <v>53</v>
      </c>
      <c r="C7" s="5" t="s">
        <v>2</v>
      </c>
      <c r="D7" s="5"/>
      <c r="E7" s="5" t="s">
        <v>549</v>
      </c>
      <c r="F7" s="5" t="s">
        <v>17</v>
      </c>
      <c r="G7" s="5">
        <v>1</v>
      </c>
      <c r="H7" s="5" t="s">
        <v>2</v>
      </c>
      <c r="I7" s="5" t="s">
        <v>2</v>
      </c>
      <c r="J7" s="5" t="s">
        <v>550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1677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545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546</v>
      </c>
    </row>
    <row r="6" spans="1:10" x14ac:dyDescent="0.25">
      <c r="A6" s="5" t="s">
        <v>15</v>
      </c>
      <c r="B6" s="5" t="s">
        <v>194</v>
      </c>
      <c r="C6" s="5" t="s">
        <v>2</v>
      </c>
      <c r="D6" s="5"/>
      <c r="E6" s="5" t="s">
        <v>547</v>
      </c>
      <c r="F6" s="5" t="s">
        <v>17</v>
      </c>
      <c r="G6" s="5">
        <v>1</v>
      </c>
      <c r="H6" s="5" t="s">
        <v>2</v>
      </c>
      <c r="I6" s="5" t="s">
        <v>2</v>
      </c>
      <c r="J6" s="5" t="s">
        <v>548</v>
      </c>
    </row>
    <row r="7" spans="1:10" x14ac:dyDescent="0.25">
      <c r="A7" s="5" t="s">
        <v>15</v>
      </c>
      <c r="B7" s="5" t="s">
        <v>53</v>
      </c>
      <c r="C7" s="5" t="s">
        <v>2</v>
      </c>
      <c r="D7" s="5"/>
      <c r="E7" s="5" t="s">
        <v>549</v>
      </c>
      <c r="F7" s="5" t="s">
        <v>17</v>
      </c>
      <c r="G7" s="5">
        <v>1</v>
      </c>
      <c r="H7" s="5" t="s">
        <v>2</v>
      </c>
      <c r="I7" s="5" t="s">
        <v>2</v>
      </c>
      <c r="J7" s="5" t="s">
        <v>550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532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17</v>
      </c>
      <c r="B5" s="5" t="s">
        <v>53</v>
      </c>
      <c r="C5" s="5" t="s">
        <v>2</v>
      </c>
      <c r="D5" s="5" t="s">
        <v>506</v>
      </c>
      <c r="E5" s="5" t="s">
        <v>534</v>
      </c>
      <c r="F5" s="5" t="s">
        <v>17</v>
      </c>
      <c r="G5" s="5">
        <v>1</v>
      </c>
      <c r="H5" s="5" t="s">
        <v>2</v>
      </c>
      <c r="I5" s="5" t="s">
        <v>2</v>
      </c>
      <c r="J5" s="5" t="s">
        <v>535</v>
      </c>
    </row>
    <row r="6" spans="1:10" x14ac:dyDescent="0.25">
      <c r="A6" s="5" t="s">
        <v>17</v>
      </c>
      <c r="B6" s="5" t="s">
        <v>53</v>
      </c>
      <c r="C6" s="5" t="s">
        <v>2</v>
      </c>
      <c r="D6" s="5" t="s">
        <v>506</v>
      </c>
      <c r="E6" s="5" t="s">
        <v>536</v>
      </c>
      <c r="F6" s="5" t="s">
        <v>17</v>
      </c>
      <c r="G6" s="5">
        <v>1</v>
      </c>
      <c r="H6" s="5" t="s">
        <v>2</v>
      </c>
      <c r="I6" s="5" t="s">
        <v>2</v>
      </c>
      <c r="J6" s="5" t="s">
        <v>537</v>
      </c>
    </row>
    <row r="7" spans="1:10" x14ac:dyDescent="0.25">
      <c r="A7" s="5" t="s">
        <v>15</v>
      </c>
      <c r="B7" s="6" t="s">
        <v>538</v>
      </c>
      <c r="C7" s="5" t="s">
        <v>2</v>
      </c>
      <c r="D7" s="5"/>
      <c r="E7" s="5" t="s">
        <v>539</v>
      </c>
      <c r="F7" s="5" t="s">
        <v>15</v>
      </c>
      <c r="G7" s="5" t="s">
        <v>2</v>
      </c>
      <c r="H7" s="5" t="s">
        <v>2</v>
      </c>
      <c r="I7" s="5" t="s">
        <v>2</v>
      </c>
      <c r="J7" s="5" t="s">
        <v>540</v>
      </c>
    </row>
    <row r="8" spans="1:10" x14ac:dyDescent="0.25" outlineLevel="1" collapsed="1">
      <c r="A8" s="7" t="s">
        <v>15</v>
      </c>
      <c r="B8" s="7" t="s">
        <v>20</v>
      </c>
      <c r="C8" s="7" t="s">
        <v>2</v>
      </c>
      <c r="D8" s="7"/>
      <c r="E8" s="7" t="s">
        <v>541</v>
      </c>
      <c r="F8" s="7" t="s">
        <v>17</v>
      </c>
      <c r="G8" s="7" t="s">
        <v>22</v>
      </c>
      <c r="H8" s="7" t="s">
        <v>2</v>
      </c>
      <c r="I8" s="7" t="s">
        <v>2</v>
      </c>
      <c r="J8" s="7" t="s">
        <v>406</v>
      </c>
    </row>
    <row r="9" spans="1:10" x14ac:dyDescent="0.25" outlineLevel="1" collapsed="1">
      <c r="A9" s="7" t="s">
        <v>15</v>
      </c>
      <c r="B9" s="7" t="s">
        <v>194</v>
      </c>
      <c r="C9" s="7" t="s">
        <v>2</v>
      </c>
      <c r="D9" s="7"/>
      <c r="E9" s="7" t="s">
        <v>542</v>
      </c>
      <c r="F9" s="7" t="s">
        <v>17</v>
      </c>
      <c r="G9" s="7">
        <v>1</v>
      </c>
      <c r="H9" s="7" t="s">
        <v>2</v>
      </c>
      <c r="I9" s="7" t="s">
        <v>2</v>
      </c>
      <c r="J9" s="7" t="s">
        <v>543</v>
      </c>
    </row>
    <row r="10" spans="1:10" x14ac:dyDescent="0.25" outlineLevel="1" collapsed="1">
      <c r="A10" s="8" t="s">
        <v>15</v>
      </c>
      <c r="B10" s="9" t="s">
        <v>544</v>
      </c>
      <c r="C10" s="8" t="s">
        <v>2</v>
      </c>
      <c r="D10" s="8"/>
      <c r="E10" s="8" t="s">
        <v>545</v>
      </c>
      <c r="F10" s="8" t="s">
        <v>15</v>
      </c>
      <c r="G10" s="8" t="s">
        <v>2</v>
      </c>
      <c r="H10" s="8" t="s">
        <v>2</v>
      </c>
      <c r="I10" s="8" t="s">
        <v>2</v>
      </c>
      <c r="J10" s="8" t="s">
        <v>546</v>
      </c>
    </row>
    <row r="11" spans="1:10" x14ac:dyDescent="0.25" outlineLevel="2" collapsed="1">
      <c r="A11" s="7" t="s">
        <v>15</v>
      </c>
      <c r="B11" s="7" t="s">
        <v>20</v>
      </c>
      <c r="C11" s="7" t="s">
        <v>2</v>
      </c>
      <c r="D11" s="7"/>
      <c r="E11" s="7" t="s">
        <v>545</v>
      </c>
      <c r="F11" s="7" t="s">
        <v>17</v>
      </c>
      <c r="G11" s="7" t="s">
        <v>22</v>
      </c>
      <c r="H11" s="7" t="s">
        <v>2</v>
      </c>
      <c r="I11" s="7" t="s">
        <v>2</v>
      </c>
      <c r="J11" s="7" t="s">
        <v>546</v>
      </c>
    </row>
    <row r="12" spans="1:10" x14ac:dyDescent="0.25" outlineLevel="2" collapsed="1">
      <c r="A12" s="7" t="s">
        <v>15</v>
      </c>
      <c r="B12" s="7" t="s">
        <v>194</v>
      </c>
      <c r="C12" s="7" t="s">
        <v>2</v>
      </c>
      <c r="D12" s="7"/>
      <c r="E12" s="7" t="s">
        <v>547</v>
      </c>
      <c r="F12" s="7" t="s">
        <v>17</v>
      </c>
      <c r="G12" s="7">
        <v>1</v>
      </c>
      <c r="H12" s="7" t="s">
        <v>2</v>
      </c>
      <c r="I12" s="7" t="s">
        <v>2</v>
      </c>
      <c r="J12" s="7" t="s">
        <v>548</v>
      </c>
    </row>
    <row r="13" spans="1:10" x14ac:dyDescent="0.25" outlineLevel="2" collapsed="1">
      <c r="A13" s="7" t="s">
        <v>15</v>
      </c>
      <c r="B13" s="7" t="s">
        <v>53</v>
      </c>
      <c r="C13" s="7" t="s">
        <v>2</v>
      </c>
      <c r="D13" s="7"/>
      <c r="E13" s="7" t="s">
        <v>549</v>
      </c>
      <c r="F13" s="7" t="s">
        <v>17</v>
      </c>
      <c r="G13" s="7">
        <v>1</v>
      </c>
      <c r="H13" s="7" t="s">
        <v>2</v>
      </c>
      <c r="I13" s="7" t="s">
        <v>2</v>
      </c>
      <c r="J13" s="7" t="s">
        <v>550</v>
      </c>
    </row>
    <row r="14" spans="1:10" x14ac:dyDescent="0.25" outlineLevel="1" collapsed="1">
      <c r="A14" s="7" t="s">
        <v>17</v>
      </c>
      <c r="B14" s="7" t="s">
        <v>53</v>
      </c>
      <c r="C14" s="7" t="s">
        <v>2</v>
      </c>
      <c r="D14" s="7" t="s">
        <v>506</v>
      </c>
      <c r="E14" s="7" t="s">
        <v>551</v>
      </c>
      <c r="F14" s="7" t="s">
        <v>17</v>
      </c>
      <c r="G14" s="7">
        <v>1</v>
      </c>
      <c r="H14" s="7" t="s">
        <v>2</v>
      </c>
      <c r="I14" s="7" t="s">
        <v>2</v>
      </c>
      <c r="J14" s="7" t="s">
        <v>552</v>
      </c>
    </row>
    <row r="15" spans="1:10" x14ac:dyDescent="0.25" outlineLevel="1" collapsed="1">
      <c r="A15" s="7" t="s">
        <v>15</v>
      </c>
      <c r="B15" s="7" t="s">
        <v>194</v>
      </c>
      <c r="C15" s="7" t="s">
        <v>2</v>
      </c>
      <c r="D15" s="7"/>
      <c r="E15" s="7" t="s">
        <v>553</v>
      </c>
      <c r="F15" s="7" t="s">
        <v>17</v>
      </c>
      <c r="G15" s="7">
        <v>1</v>
      </c>
      <c r="H15" s="7" t="s">
        <v>2</v>
      </c>
      <c r="I15" s="7" t="s">
        <v>2</v>
      </c>
      <c r="J15" s="7" t="s">
        <v>554</v>
      </c>
    </row>
    <row r="16" spans="1:10" x14ac:dyDescent="0.25" outlineLevel="1" collapsed="1">
      <c r="A16" s="7" t="s">
        <v>17</v>
      </c>
      <c r="B16" s="7" t="s">
        <v>20</v>
      </c>
      <c r="C16" s="7" t="s">
        <v>2</v>
      </c>
      <c r="D16" s="7"/>
      <c r="E16" s="7" t="s">
        <v>519</v>
      </c>
      <c r="F16" s="7" t="s">
        <v>17</v>
      </c>
      <c r="G16" s="7" t="s">
        <v>22</v>
      </c>
      <c r="H16" s="7" t="s">
        <v>2</v>
      </c>
      <c r="I16" s="7" t="s">
        <v>2</v>
      </c>
      <c r="J16" s="7" t="s">
        <v>520</v>
      </c>
    </row>
    <row r="17" spans="1:10" x14ac:dyDescent="0.25" outlineLevel="1" collapsed="1">
      <c r="A17" s="7" t="s">
        <v>15</v>
      </c>
      <c r="B17" s="7" t="s">
        <v>125</v>
      </c>
      <c r="C17" s="7" t="s">
        <v>2</v>
      </c>
      <c r="D17" s="7"/>
      <c r="E17" s="7" t="s">
        <v>555</v>
      </c>
      <c r="F17" s="7" t="s">
        <v>17</v>
      </c>
      <c r="G17" s="7" t="s">
        <v>1678</v>
      </c>
      <c r="H17" s="7" t="s">
        <v>2</v>
      </c>
      <c r="I17" s="7" t="s">
        <v>2</v>
      </c>
      <c r="J17" s="7" t="s">
        <v>557</v>
      </c>
    </row>
    <row r="18" spans="1:10" x14ac:dyDescent="0.25">
      <c r="A18" s="5" t="s">
        <v>15</v>
      </c>
      <c r="B18" s="5" t="s">
        <v>125</v>
      </c>
      <c r="C18" s="5" t="s">
        <v>2</v>
      </c>
      <c r="D18" s="5"/>
      <c r="E18" s="5" t="s">
        <v>555</v>
      </c>
      <c r="F18" s="5" t="s">
        <v>17</v>
      </c>
      <c r="G18" s="5" t="s">
        <v>1679</v>
      </c>
      <c r="H18" s="5" t="s">
        <v>2</v>
      </c>
      <c r="I18" s="5" t="s">
        <v>2</v>
      </c>
      <c r="J18" s="5" t="s">
        <v>557</v>
      </c>
    </row>
    <row r="19" spans="1:10" x14ac:dyDescent="0.25">
      <c r="A19" s="5" t="s">
        <v>17</v>
      </c>
      <c r="B19" s="5" t="s">
        <v>20</v>
      </c>
      <c r="C19" s="5" t="s">
        <v>2</v>
      </c>
      <c r="D19" s="5"/>
      <c r="E19" s="5" t="s">
        <v>519</v>
      </c>
      <c r="F19" s="5" t="s">
        <v>17</v>
      </c>
      <c r="G19" s="5" t="s">
        <v>22</v>
      </c>
      <c r="H19" s="5" t="s">
        <v>2</v>
      </c>
      <c r="I19" s="5" t="s">
        <v>2</v>
      </c>
      <c r="J19" s="5" t="s">
        <v>520</v>
      </c>
    </row>
    <row r="20" spans="1:10" x14ac:dyDescent="0.25">
      <c r="A20" s="5" t="s">
        <v>15</v>
      </c>
      <c r="B20" s="5" t="s">
        <v>53</v>
      </c>
      <c r="C20" s="5" t="s">
        <v>2</v>
      </c>
      <c r="D20" s="5"/>
      <c r="E20" s="5" t="s">
        <v>559</v>
      </c>
      <c r="F20" s="5" t="s">
        <v>17</v>
      </c>
      <c r="G20" s="5">
        <v>1</v>
      </c>
      <c r="H20" s="5" t="s">
        <v>2</v>
      </c>
      <c r="I20" s="5" t="s">
        <v>2</v>
      </c>
      <c r="J20" s="5" t="s">
        <v>560</v>
      </c>
    </row>
  </sheetData>
  <mergeCells count="3">
    <mergeCell ref="A1:J1"/>
    <mergeCell ref="B2:J2"/>
    <mergeCell ref="B3:J3"/>
  </mergeCells>
  <hyperlinks>
    <hyperlink ref="B7" r:id="rId1" location="#'Project Water Supply Premis 2'!A1"/>
    <hyperlink ref="B10" r:id="rId2" location="#'Project Water Supply Premis 3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562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539</v>
      </c>
      <c r="C5" s="5" t="s">
        <v>2</v>
      </c>
      <c r="D5" s="5"/>
      <c r="E5" s="5" t="s">
        <v>539</v>
      </c>
      <c r="F5" s="5" t="s">
        <v>15</v>
      </c>
      <c r="G5" s="5" t="s">
        <v>2</v>
      </c>
      <c r="H5" s="5" t="s">
        <v>2</v>
      </c>
      <c r="I5" s="5" t="s">
        <v>2</v>
      </c>
      <c r="J5" s="5" t="s">
        <v>564</v>
      </c>
    </row>
    <row r="6" spans="1:10" x14ac:dyDescent="0.25" outlineLevel="1" collapsed="1">
      <c r="A6" s="7" t="s">
        <v>15</v>
      </c>
      <c r="B6" s="7" t="s">
        <v>20</v>
      </c>
      <c r="C6" s="7" t="s">
        <v>2</v>
      </c>
      <c r="D6" s="7"/>
      <c r="E6" s="7" t="s">
        <v>541</v>
      </c>
      <c r="F6" s="7" t="s">
        <v>17</v>
      </c>
      <c r="G6" s="7" t="s">
        <v>22</v>
      </c>
      <c r="H6" s="7" t="s">
        <v>2</v>
      </c>
      <c r="I6" s="7" t="s">
        <v>2</v>
      </c>
      <c r="J6" s="7" t="s">
        <v>406</v>
      </c>
    </row>
    <row r="7" spans="1:10" x14ac:dyDescent="0.25" outlineLevel="1" collapsed="1">
      <c r="A7" s="7" t="s">
        <v>15</v>
      </c>
      <c r="B7" s="7" t="s">
        <v>194</v>
      </c>
      <c r="C7" s="7" t="s">
        <v>2</v>
      </c>
      <c r="D7" s="7"/>
      <c r="E7" s="7" t="s">
        <v>565</v>
      </c>
      <c r="F7" s="7" t="s">
        <v>17</v>
      </c>
      <c r="G7" s="7">
        <v>1</v>
      </c>
      <c r="H7" s="7" t="s">
        <v>2</v>
      </c>
      <c r="I7" s="7" t="s">
        <v>2</v>
      </c>
      <c r="J7" s="7" t="s">
        <v>543</v>
      </c>
    </row>
    <row r="8" spans="1:10" x14ac:dyDescent="0.25" outlineLevel="1" collapsed="1">
      <c r="A8" s="8" t="s">
        <v>15</v>
      </c>
      <c r="B8" s="9" t="s">
        <v>566</v>
      </c>
      <c r="C8" s="8" t="s">
        <v>2</v>
      </c>
      <c r="D8" s="8"/>
      <c r="E8" s="8" t="s">
        <v>539</v>
      </c>
      <c r="F8" s="8" t="s">
        <v>15</v>
      </c>
      <c r="G8" s="8" t="s">
        <v>2</v>
      </c>
      <c r="H8" s="8" t="s">
        <v>2</v>
      </c>
      <c r="I8" s="8" t="s">
        <v>2</v>
      </c>
      <c r="J8" s="8" t="s">
        <v>567</v>
      </c>
    </row>
    <row r="9" spans="1:10" x14ac:dyDescent="0.25" outlineLevel="2" collapsed="1">
      <c r="A9" s="7" t="s">
        <v>15</v>
      </c>
      <c r="B9" s="7" t="s">
        <v>20</v>
      </c>
      <c r="C9" s="7" t="s">
        <v>2</v>
      </c>
      <c r="D9" s="7"/>
      <c r="E9" s="7" t="s">
        <v>545</v>
      </c>
      <c r="F9" s="7" t="s">
        <v>17</v>
      </c>
      <c r="G9" s="7" t="s">
        <v>22</v>
      </c>
      <c r="H9" s="7" t="s">
        <v>2</v>
      </c>
      <c r="I9" s="7" t="s">
        <v>2</v>
      </c>
      <c r="J9" s="7" t="s">
        <v>546</v>
      </c>
    </row>
    <row r="10" spans="1:10" x14ac:dyDescent="0.25" outlineLevel="2" collapsed="1">
      <c r="A10" s="7" t="s">
        <v>15</v>
      </c>
      <c r="B10" s="7" t="s">
        <v>194</v>
      </c>
      <c r="C10" s="7" t="s">
        <v>2</v>
      </c>
      <c r="D10" s="7"/>
      <c r="E10" s="7" t="s">
        <v>547</v>
      </c>
      <c r="F10" s="7" t="s">
        <v>17</v>
      </c>
      <c r="G10" s="7">
        <v>1</v>
      </c>
      <c r="H10" s="7" t="s">
        <v>2</v>
      </c>
      <c r="I10" s="7" t="s">
        <v>2</v>
      </c>
      <c r="J10" s="7" t="s">
        <v>548</v>
      </c>
    </row>
    <row r="11" spans="1:10" x14ac:dyDescent="0.25" outlineLevel="2" collapsed="1">
      <c r="A11" s="7" t="s">
        <v>15</v>
      </c>
      <c r="B11" s="7" t="s">
        <v>53</v>
      </c>
      <c r="C11" s="7" t="s">
        <v>2</v>
      </c>
      <c r="D11" s="7"/>
      <c r="E11" s="7" t="s">
        <v>549</v>
      </c>
      <c r="F11" s="7" t="s">
        <v>17</v>
      </c>
      <c r="G11" s="7">
        <v>1</v>
      </c>
      <c r="H11" s="7" t="s">
        <v>2</v>
      </c>
      <c r="I11" s="7" t="s">
        <v>2</v>
      </c>
      <c r="J11" s="7" t="s">
        <v>550</v>
      </c>
    </row>
    <row r="12" spans="1:10" x14ac:dyDescent="0.25" outlineLevel="1" collapsed="1">
      <c r="A12" s="7" t="s">
        <v>17</v>
      </c>
      <c r="B12" s="7" t="s">
        <v>53</v>
      </c>
      <c r="C12" s="7" t="s">
        <v>2</v>
      </c>
      <c r="D12" s="7" t="s">
        <v>506</v>
      </c>
      <c r="E12" s="7" t="s">
        <v>568</v>
      </c>
      <c r="F12" s="7" t="s">
        <v>17</v>
      </c>
      <c r="G12" s="7">
        <v>1</v>
      </c>
      <c r="H12" s="7" t="s">
        <v>2</v>
      </c>
      <c r="I12" s="7" t="s">
        <v>2</v>
      </c>
      <c r="J12" s="7" t="s">
        <v>552</v>
      </c>
    </row>
    <row r="13" spans="1:10" x14ac:dyDescent="0.25" outlineLevel="1" collapsed="1">
      <c r="A13" s="7" t="s">
        <v>15</v>
      </c>
      <c r="B13" s="7" t="s">
        <v>53</v>
      </c>
      <c r="C13" s="7" t="s">
        <v>2</v>
      </c>
      <c r="D13" s="7"/>
      <c r="E13" s="7" t="s">
        <v>569</v>
      </c>
      <c r="F13" s="7" t="s">
        <v>17</v>
      </c>
      <c r="G13" s="7">
        <v>1</v>
      </c>
      <c r="H13" s="7" t="s">
        <v>2</v>
      </c>
      <c r="I13" s="7" t="s">
        <v>2</v>
      </c>
      <c r="J13" s="7" t="s">
        <v>570</v>
      </c>
    </row>
    <row r="14" spans="1:10" x14ac:dyDescent="0.25" outlineLevel="1" collapsed="1">
      <c r="A14" s="7" t="s">
        <v>15</v>
      </c>
      <c r="B14" s="7" t="s">
        <v>53</v>
      </c>
      <c r="C14" s="7" t="s">
        <v>2</v>
      </c>
      <c r="D14" s="7"/>
      <c r="E14" s="7" t="s">
        <v>571</v>
      </c>
      <c r="F14" s="7" t="s">
        <v>17</v>
      </c>
      <c r="G14" s="7">
        <v>1</v>
      </c>
      <c r="H14" s="7" t="s">
        <v>2</v>
      </c>
      <c r="I14" s="7" t="s">
        <v>2</v>
      </c>
      <c r="J14" s="7" t="s">
        <v>572</v>
      </c>
    </row>
    <row r="15" spans="1:10" x14ac:dyDescent="0.25" outlineLevel="1" collapsed="1">
      <c r="A15" s="7" t="s">
        <v>15</v>
      </c>
      <c r="B15" s="7" t="s">
        <v>53</v>
      </c>
      <c r="C15" s="7" t="s">
        <v>2</v>
      </c>
      <c r="D15" s="7"/>
      <c r="E15" s="7" t="s">
        <v>573</v>
      </c>
      <c r="F15" s="7" t="s">
        <v>17</v>
      </c>
      <c r="G15" s="7">
        <v>1</v>
      </c>
      <c r="H15" s="7" t="s">
        <v>2</v>
      </c>
      <c r="I15" s="7" t="s">
        <v>2</v>
      </c>
      <c r="J15" s="7" t="s">
        <v>574</v>
      </c>
    </row>
    <row r="16" spans="1:10" x14ac:dyDescent="0.25" outlineLevel="1" collapsed="1">
      <c r="A16" s="7" t="s">
        <v>17</v>
      </c>
      <c r="B16" s="7" t="s">
        <v>53</v>
      </c>
      <c r="C16" s="7" t="s">
        <v>2</v>
      </c>
      <c r="D16" s="7" t="s">
        <v>506</v>
      </c>
      <c r="E16" s="7" t="s">
        <v>575</v>
      </c>
      <c r="F16" s="7" t="s">
        <v>17</v>
      </c>
      <c r="G16" s="7">
        <v>1</v>
      </c>
      <c r="H16" s="7" t="s">
        <v>2</v>
      </c>
      <c r="I16" s="7" t="s">
        <v>2</v>
      </c>
      <c r="J16" s="7" t="s">
        <v>576</v>
      </c>
    </row>
    <row r="17" spans="1:10" x14ac:dyDescent="0.25" outlineLevel="1" collapsed="1">
      <c r="A17" s="7" t="s">
        <v>15</v>
      </c>
      <c r="B17" s="7" t="s">
        <v>194</v>
      </c>
      <c r="C17" s="7" t="s">
        <v>2</v>
      </c>
      <c r="D17" s="7"/>
      <c r="E17" s="7" t="s">
        <v>553</v>
      </c>
      <c r="F17" s="7" t="s">
        <v>17</v>
      </c>
      <c r="G17" s="7">
        <v>1</v>
      </c>
      <c r="H17" s="7" t="s">
        <v>2</v>
      </c>
      <c r="I17" s="7" t="s">
        <v>2</v>
      </c>
      <c r="J17" s="7" t="s">
        <v>554</v>
      </c>
    </row>
    <row r="18" spans="1:10" x14ac:dyDescent="0.25" outlineLevel="1" collapsed="1">
      <c r="A18" s="7" t="s">
        <v>17</v>
      </c>
      <c r="B18" s="7" t="s">
        <v>20</v>
      </c>
      <c r="C18" s="7" t="s">
        <v>2</v>
      </c>
      <c r="D18" s="7"/>
      <c r="E18" s="7" t="s">
        <v>577</v>
      </c>
      <c r="F18" s="7" t="s">
        <v>17</v>
      </c>
      <c r="G18" s="7" t="s">
        <v>22</v>
      </c>
      <c r="H18" s="7" t="s">
        <v>2</v>
      </c>
      <c r="I18" s="7" t="s">
        <v>2</v>
      </c>
      <c r="J18" s="7" t="s">
        <v>520</v>
      </c>
    </row>
    <row r="19" spans="1:10" x14ac:dyDescent="0.25" outlineLevel="1" collapsed="1">
      <c r="A19" s="7" t="s">
        <v>15</v>
      </c>
      <c r="B19" s="7" t="s">
        <v>125</v>
      </c>
      <c r="C19" s="7" t="s">
        <v>2</v>
      </c>
      <c r="D19" s="7"/>
      <c r="E19" s="7" t="s">
        <v>555</v>
      </c>
      <c r="F19" s="7" t="s">
        <v>17</v>
      </c>
      <c r="G19" s="7" t="s">
        <v>1680</v>
      </c>
      <c r="H19" s="7" t="s">
        <v>2</v>
      </c>
      <c r="I19" s="7" t="s">
        <v>2</v>
      </c>
      <c r="J19" s="7" t="s">
        <v>579</v>
      </c>
    </row>
    <row r="20" spans="1:10" x14ac:dyDescent="0.25">
      <c r="A20" s="5" t="s">
        <v>17</v>
      </c>
      <c r="B20" s="5" t="s">
        <v>53</v>
      </c>
      <c r="C20" s="5" t="s">
        <v>2</v>
      </c>
      <c r="D20" s="5" t="s">
        <v>506</v>
      </c>
      <c r="E20" s="5" t="s">
        <v>580</v>
      </c>
      <c r="F20" s="5" t="s">
        <v>17</v>
      </c>
      <c r="G20" s="5">
        <v>1</v>
      </c>
      <c r="H20" s="5" t="s">
        <v>2</v>
      </c>
      <c r="I20" s="5" t="s">
        <v>2</v>
      </c>
      <c r="J20" s="5" t="s">
        <v>535</v>
      </c>
    </row>
  </sheetData>
  <mergeCells count="3">
    <mergeCell ref="A1:J1"/>
    <mergeCell ref="B2:J2"/>
    <mergeCell ref="B3:J3"/>
  </mergeCells>
  <hyperlinks>
    <hyperlink ref="B5" r:id="rId1" location="#'Project Water Supply Premises'!A1"/>
    <hyperlink ref="B8" r:id="rId2" location="#'Project Water Supply Premis 4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581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53</v>
      </c>
      <c r="C5" s="5" t="s">
        <v>2</v>
      </c>
      <c r="D5" s="5"/>
      <c r="E5" s="5" t="s">
        <v>583</v>
      </c>
      <c r="F5" s="5" t="s">
        <v>17</v>
      </c>
      <c r="G5" s="5">
        <v>1</v>
      </c>
      <c r="H5" s="5" t="s">
        <v>2</v>
      </c>
      <c r="I5" s="5" t="s">
        <v>2</v>
      </c>
      <c r="J5" s="5" t="s">
        <v>584</v>
      </c>
    </row>
    <row r="6" spans="1:10" x14ac:dyDescent="0.25">
      <c r="A6" s="5" t="s">
        <v>17</v>
      </c>
      <c r="B6" s="5" t="s">
        <v>20</v>
      </c>
      <c r="C6" s="5" t="s">
        <v>2</v>
      </c>
      <c r="D6" s="5"/>
      <c r="E6" s="5" t="s">
        <v>577</v>
      </c>
      <c r="F6" s="5" t="s">
        <v>17</v>
      </c>
      <c r="G6" s="5" t="s">
        <v>22</v>
      </c>
      <c r="H6" s="5" t="s">
        <v>2</v>
      </c>
      <c r="I6" s="5" t="s">
        <v>2</v>
      </c>
      <c r="J6" s="5" t="s">
        <v>520</v>
      </c>
    </row>
    <row r="7" spans="1:10" x14ac:dyDescent="0.25">
      <c r="A7" s="5" t="s">
        <v>15</v>
      </c>
      <c r="B7" s="5" t="s">
        <v>125</v>
      </c>
      <c r="C7" s="5" t="s">
        <v>2</v>
      </c>
      <c r="D7" s="5"/>
      <c r="E7" s="5" t="s">
        <v>555</v>
      </c>
      <c r="F7" s="5" t="s">
        <v>17</v>
      </c>
      <c r="G7" s="5" t="s">
        <v>1681</v>
      </c>
      <c r="H7" s="5" t="s">
        <v>2</v>
      </c>
      <c r="I7" s="5" t="s">
        <v>2</v>
      </c>
      <c r="J7" s="5" t="s">
        <v>579</v>
      </c>
    </row>
    <row r="8" spans="1:10" x14ac:dyDescent="0.25">
      <c r="A8" s="5" t="s">
        <v>17</v>
      </c>
      <c r="B8" s="5" t="s">
        <v>53</v>
      </c>
      <c r="C8" s="5" t="s">
        <v>2</v>
      </c>
      <c r="D8" s="5" t="s">
        <v>506</v>
      </c>
      <c r="E8" s="5" t="s">
        <v>586</v>
      </c>
      <c r="F8" s="5" t="s">
        <v>17</v>
      </c>
      <c r="G8" s="5">
        <v>1</v>
      </c>
      <c r="H8" s="5" t="s">
        <v>2</v>
      </c>
      <c r="I8" s="5" t="s">
        <v>2</v>
      </c>
      <c r="J8" s="5" t="s">
        <v>587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589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53</v>
      </c>
      <c r="C5" s="5" t="s">
        <v>2</v>
      </c>
      <c r="D5" s="5"/>
      <c r="E5" s="5" t="s">
        <v>591</v>
      </c>
      <c r="F5" s="5" t="s">
        <v>17</v>
      </c>
      <c r="G5" s="5">
        <v>1</v>
      </c>
      <c r="H5" s="5" t="s">
        <v>2</v>
      </c>
      <c r="I5" s="5" t="s">
        <v>2</v>
      </c>
      <c r="J5" s="5" t="s">
        <v>592</v>
      </c>
    </row>
    <row r="6" spans="1:10" x14ac:dyDescent="0.25">
      <c r="A6" s="5" t="s">
        <v>17</v>
      </c>
      <c r="B6" s="5" t="s">
        <v>20</v>
      </c>
      <c r="C6" s="5" t="s">
        <v>2</v>
      </c>
      <c r="D6" s="5"/>
      <c r="E6" s="5" t="s">
        <v>519</v>
      </c>
      <c r="F6" s="5" t="s">
        <v>17</v>
      </c>
      <c r="G6" s="5" t="s">
        <v>22</v>
      </c>
      <c r="H6" s="5" t="s">
        <v>2</v>
      </c>
      <c r="I6" s="5" t="s">
        <v>2</v>
      </c>
      <c r="J6" s="5" t="s">
        <v>593</v>
      </c>
    </row>
    <row r="7" spans="1:10" x14ac:dyDescent="0.25">
      <c r="A7" s="5" t="s">
        <v>15</v>
      </c>
      <c r="B7" s="5" t="s">
        <v>125</v>
      </c>
      <c r="C7" s="5" t="s">
        <v>2</v>
      </c>
      <c r="D7" s="5"/>
      <c r="E7" s="5" t="s">
        <v>555</v>
      </c>
      <c r="F7" s="5" t="s">
        <v>17</v>
      </c>
      <c r="G7" s="5" t="s">
        <v>1682</v>
      </c>
      <c r="H7" s="5" t="s">
        <v>2</v>
      </c>
      <c r="I7" s="5" t="s">
        <v>2</v>
      </c>
      <c r="J7" s="5" t="s">
        <v>595</v>
      </c>
    </row>
    <row r="8" spans="1:10" x14ac:dyDescent="0.25">
      <c r="A8" s="5" t="s">
        <v>15</v>
      </c>
      <c r="B8" s="5" t="s">
        <v>53</v>
      </c>
      <c r="C8" s="5" t="s">
        <v>2</v>
      </c>
      <c r="D8" s="5"/>
      <c r="E8" s="5" t="s">
        <v>596</v>
      </c>
      <c r="F8" s="5" t="s">
        <v>17</v>
      </c>
      <c r="G8" s="5">
        <v>1</v>
      </c>
      <c r="H8" s="5" t="s">
        <v>2</v>
      </c>
      <c r="I8" s="5" t="s">
        <v>2</v>
      </c>
      <c r="J8" s="5" t="s">
        <v>597</v>
      </c>
    </row>
    <row r="9" spans="1:10" x14ac:dyDescent="0.25">
      <c r="A9" s="5" t="s">
        <v>17</v>
      </c>
      <c r="B9" s="5" t="s">
        <v>20</v>
      </c>
      <c r="C9" s="5" t="s">
        <v>2</v>
      </c>
      <c r="D9" s="5"/>
      <c r="E9" s="5" t="s">
        <v>519</v>
      </c>
      <c r="F9" s="5" t="s">
        <v>17</v>
      </c>
      <c r="G9" s="5" t="s">
        <v>22</v>
      </c>
      <c r="H9" s="5" t="s">
        <v>2</v>
      </c>
      <c r="I9" s="5" t="s">
        <v>2</v>
      </c>
      <c r="J9" s="5" t="s">
        <v>598</v>
      </c>
    </row>
    <row r="10" spans="1:10" x14ac:dyDescent="0.25">
      <c r="A10" s="5" t="s">
        <v>15</v>
      </c>
      <c r="B10" s="5" t="s">
        <v>125</v>
      </c>
      <c r="C10" s="5" t="s">
        <v>2</v>
      </c>
      <c r="D10" s="5"/>
      <c r="E10" s="5" t="s">
        <v>555</v>
      </c>
      <c r="F10" s="5" t="s">
        <v>17</v>
      </c>
      <c r="G10" s="5" t="s">
        <v>1683</v>
      </c>
      <c r="H10" s="5" t="s">
        <v>2</v>
      </c>
      <c r="I10" s="5" t="s">
        <v>2</v>
      </c>
      <c r="J10" s="5" t="s">
        <v>600</v>
      </c>
    </row>
    <row r="11" spans="1:10" x14ac:dyDescent="0.25">
      <c r="A11" s="5" t="s">
        <v>15</v>
      </c>
      <c r="B11" s="5" t="s">
        <v>44</v>
      </c>
      <c r="C11" s="12" t="s">
        <v>601</v>
      </c>
      <c r="D11" s="5"/>
      <c r="E11" s="5" t="s">
        <v>231</v>
      </c>
      <c r="F11" s="5" t="s">
        <v>17</v>
      </c>
      <c r="G11" s="5" t="s">
        <v>251</v>
      </c>
      <c r="H11" s="5" t="s">
        <v>2</v>
      </c>
      <c r="I11" s="5" t="s">
        <v>2</v>
      </c>
      <c r="J11" s="5" t="s">
        <v>530</v>
      </c>
    </row>
    <row r="12" spans="1:10" x14ac:dyDescent="0.25">
      <c r="A12" s="5" t="s">
        <v>17</v>
      </c>
      <c r="B12" s="6" t="s">
        <v>602</v>
      </c>
      <c r="C12" s="5" t="s">
        <v>2</v>
      </c>
      <c r="D12" s="5">
        <f>EXACT(G11,"CWT, CWS")</f>
      </c>
      <c r="E12" s="5" t="s">
        <v>603</v>
      </c>
      <c r="F12" s="5" t="s">
        <v>17</v>
      </c>
      <c r="G12" s="5" t="s">
        <v>2</v>
      </c>
      <c r="H12" s="5" t="s">
        <v>2</v>
      </c>
      <c r="I12" s="5" t="s">
        <v>2</v>
      </c>
      <c r="J12" s="5" t="s">
        <v>604</v>
      </c>
    </row>
    <row r="13" spans="1:10" x14ac:dyDescent="0.25" outlineLevel="1" collapsed="1">
      <c r="A13" s="7" t="s">
        <v>17</v>
      </c>
      <c r="B13" s="7" t="s">
        <v>53</v>
      </c>
      <c r="C13" s="7" t="s">
        <v>2</v>
      </c>
      <c r="D13" s="7" t="s">
        <v>506</v>
      </c>
      <c r="E13" s="7" t="s">
        <v>605</v>
      </c>
      <c r="F13" s="7" t="s">
        <v>17</v>
      </c>
      <c r="G13" s="7">
        <v>1</v>
      </c>
      <c r="H13" s="7" t="s">
        <v>2</v>
      </c>
      <c r="I13" s="7" t="s">
        <v>2</v>
      </c>
      <c r="J13" s="7" t="s">
        <v>606</v>
      </c>
    </row>
    <row r="14" spans="1:10" x14ac:dyDescent="0.25">
      <c r="A14" s="5" t="s">
        <v>17</v>
      </c>
      <c r="B14" s="6" t="s">
        <v>607</v>
      </c>
      <c r="C14" s="5" t="s">
        <v>2</v>
      </c>
      <c r="D14" s="5">
        <f>EXACT(G11,"HWT, IWT")</f>
      </c>
      <c r="E14" s="5" t="s">
        <v>603</v>
      </c>
      <c r="F14" s="5" t="s">
        <v>17</v>
      </c>
      <c r="G14" s="5" t="s">
        <v>2</v>
      </c>
      <c r="H14" s="5" t="s">
        <v>2</v>
      </c>
      <c r="I14" s="5" t="s">
        <v>2</v>
      </c>
      <c r="J14" s="5" t="s">
        <v>608</v>
      </c>
    </row>
    <row r="15" spans="1:10" x14ac:dyDescent="0.25" outlineLevel="1" collapsed="1">
      <c r="A15" s="7" t="s">
        <v>15</v>
      </c>
      <c r="B15" s="7" t="s">
        <v>53</v>
      </c>
      <c r="C15" s="7" t="s">
        <v>2</v>
      </c>
      <c r="D15" s="7"/>
      <c r="E15" s="7" t="s">
        <v>609</v>
      </c>
      <c r="F15" s="7" t="s">
        <v>17</v>
      </c>
      <c r="G15" s="7">
        <v>1</v>
      </c>
      <c r="H15" s="7" t="s">
        <v>2</v>
      </c>
      <c r="I15" s="7" t="s">
        <v>2</v>
      </c>
      <c r="J15" s="7" t="s">
        <v>610</v>
      </c>
    </row>
    <row r="16" spans="1:10" x14ac:dyDescent="0.25" outlineLevel="1" collapsed="1">
      <c r="A16" s="7" t="s">
        <v>17</v>
      </c>
      <c r="B16" s="7" t="s">
        <v>20</v>
      </c>
      <c r="C16" s="7" t="s">
        <v>2</v>
      </c>
      <c r="D16" s="7"/>
      <c r="E16" s="7" t="s">
        <v>519</v>
      </c>
      <c r="F16" s="7" t="s">
        <v>17</v>
      </c>
      <c r="G16" s="7" t="s">
        <v>22</v>
      </c>
      <c r="H16" s="7" t="s">
        <v>2</v>
      </c>
      <c r="I16" s="7" t="s">
        <v>2</v>
      </c>
      <c r="J16" s="7" t="s">
        <v>520</v>
      </c>
    </row>
    <row r="17" spans="1:10" x14ac:dyDescent="0.25" outlineLevel="1" collapsed="1">
      <c r="A17" s="7" t="s">
        <v>15</v>
      </c>
      <c r="B17" s="7" t="s">
        <v>125</v>
      </c>
      <c r="C17" s="7" t="s">
        <v>2</v>
      </c>
      <c r="D17" s="7"/>
      <c r="E17" s="7" t="s">
        <v>555</v>
      </c>
      <c r="F17" s="7" t="s">
        <v>17</v>
      </c>
      <c r="G17" s="7" t="s">
        <v>1684</v>
      </c>
      <c r="H17" s="7" t="s">
        <v>2</v>
      </c>
      <c r="I17" s="7" t="s">
        <v>2</v>
      </c>
      <c r="J17" s="7" t="s">
        <v>579</v>
      </c>
    </row>
    <row r="18" spans="1:10" x14ac:dyDescent="0.25" outlineLevel="1" collapsed="1">
      <c r="A18" s="7" t="s">
        <v>17</v>
      </c>
      <c r="B18" s="7" t="s">
        <v>53</v>
      </c>
      <c r="C18" s="7" t="s">
        <v>2</v>
      </c>
      <c r="D18" s="7" t="s">
        <v>506</v>
      </c>
      <c r="E18" s="7" t="s">
        <v>605</v>
      </c>
      <c r="F18" s="7" t="s">
        <v>17</v>
      </c>
      <c r="G18" s="7">
        <v>1</v>
      </c>
      <c r="H18" s="7" t="s">
        <v>2</v>
      </c>
      <c r="I18" s="7" t="s">
        <v>2</v>
      </c>
      <c r="J18" s="7" t="s">
        <v>606</v>
      </c>
    </row>
  </sheetData>
  <mergeCells count="3">
    <mergeCell ref="A1:J1"/>
    <mergeCell ref="B2:J2"/>
    <mergeCell ref="B3:J3"/>
  </mergeCells>
  <dataValidations count="1">
    <dataValidation type="list" allowBlank="1" sqref="G11:I11">
      <formula1>'Enums'!C2753:C2754</formula1>
    </dataValidation>
  </dataValidations>
  <hyperlinks>
    <hyperlink ref="B12" r:id="rId1" location="#'Adjusted quantity of safe drin'!A1"/>
    <hyperlink ref="B14" r:id="rId2" location="#'Adjusted quantity of safe d 2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1685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17</v>
      </c>
      <c r="B5" s="5" t="s">
        <v>53</v>
      </c>
      <c r="C5" s="5" t="s">
        <v>2</v>
      </c>
      <c r="D5" s="5" t="s">
        <v>506</v>
      </c>
      <c r="E5" s="5" t="s">
        <v>605</v>
      </c>
      <c r="F5" s="5" t="s">
        <v>17</v>
      </c>
      <c r="G5" s="5">
        <v>1</v>
      </c>
      <c r="H5" s="5" t="s">
        <v>2</v>
      </c>
      <c r="I5" s="5" t="s">
        <v>2</v>
      </c>
      <c r="J5" s="5" t="s">
        <v>606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1686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53</v>
      </c>
      <c r="C5" s="5" t="s">
        <v>2</v>
      </c>
      <c r="D5" s="5"/>
      <c r="E5" s="5" t="s">
        <v>609</v>
      </c>
      <c r="F5" s="5" t="s">
        <v>17</v>
      </c>
      <c r="G5" s="5">
        <v>1</v>
      </c>
      <c r="H5" s="5" t="s">
        <v>2</v>
      </c>
      <c r="I5" s="5" t="s">
        <v>2</v>
      </c>
      <c r="J5" s="5" t="s">
        <v>610</v>
      </c>
    </row>
    <row r="6" spans="1:10" x14ac:dyDescent="0.25">
      <c r="A6" s="5" t="s">
        <v>17</v>
      </c>
      <c r="B6" s="5" t="s">
        <v>20</v>
      </c>
      <c r="C6" s="5" t="s">
        <v>2</v>
      </c>
      <c r="D6" s="5"/>
      <c r="E6" s="5" t="s">
        <v>519</v>
      </c>
      <c r="F6" s="5" t="s">
        <v>17</v>
      </c>
      <c r="G6" s="5" t="s">
        <v>22</v>
      </c>
      <c r="H6" s="5" t="s">
        <v>2</v>
      </c>
      <c r="I6" s="5" t="s">
        <v>2</v>
      </c>
      <c r="J6" s="5" t="s">
        <v>520</v>
      </c>
    </row>
    <row r="7" spans="1:10" x14ac:dyDescent="0.25">
      <c r="A7" s="5" t="s">
        <v>15</v>
      </c>
      <c r="B7" s="5" t="s">
        <v>125</v>
      </c>
      <c r="C7" s="5" t="s">
        <v>2</v>
      </c>
      <c r="D7" s="5"/>
      <c r="E7" s="5" t="s">
        <v>555</v>
      </c>
      <c r="F7" s="5" t="s">
        <v>17</v>
      </c>
      <c r="G7" s="5" t="s">
        <v>1687</v>
      </c>
      <c r="H7" s="5" t="s">
        <v>2</v>
      </c>
      <c r="I7" s="5" t="s">
        <v>2</v>
      </c>
      <c r="J7" s="5" t="s">
        <v>579</v>
      </c>
    </row>
    <row r="8" spans="1:10" x14ac:dyDescent="0.25">
      <c r="A8" s="5" t="s">
        <v>17</v>
      </c>
      <c r="B8" s="5" t="s">
        <v>53</v>
      </c>
      <c r="C8" s="5" t="s">
        <v>2</v>
      </c>
      <c r="D8" s="5" t="s">
        <v>506</v>
      </c>
      <c r="E8" s="5" t="s">
        <v>605</v>
      </c>
      <c r="F8" s="5" t="s">
        <v>17</v>
      </c>
      <c r="G8" s="5">
        <v>1</v>
      </c>
      <c r="H8" s="5" t="s">
        <v>2</v>
      </c>
      <c r="I8" s="5" t="s">
        <v>2</v>
      </c>
      <c r="J8" s="5" t="s">
        <v>606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614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53</v>
      </c>
      <c r="C5" s="5" t="s">
        <v>2</v>
      </c>
      <c r="D5" s="5"/>
      <c r="E5" s="5" t="s">
        <v>616</v>
      </c>
      <c r="F5" s="5" t="s">
        <v>17</v>
      </c>
      <c r="G5" s="5">
        <v>1</v>
      </c>
      <c r="H5" s="5" t="s">
        <v>2</v>
      </c>
      <c r="I5" s="5" t="s">
        <v>2</v>
      </c>
      <c r="J5" s="5" t="s">
        <v>617</v>
      </c>
    </row>
    <row r="6" spans="1:10" x14ac:dyDescent="0.25">
      <c r="A6" s="5" t="s">
        <v>17</v>
      </c>
      <c r="B6" s="5" t="s">
        <v>53</v>
      </c>
      <c r="C6" s="5" t="s">
        <v>2</v>
      </c>
      <c r="D6" s="5" t="s">
        <v>506</v>
      </c>
      <c r="E6" s="5" t="s">
        <v>618</v>
      </c>
      <c r="F6" s="5" t="s">
        <v>17</v>
      </c>
      <c r="G6" s="5">
        <v>1</v>
      </c>
      <c r="H6" s="5" t="s">
        <v>2</v>
      </c>
      <c r="I6" s="5" t="s">
        <v>2</v>
      </c>
      <c r="J6" s="5" t="s">
        <v>619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657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44</v>
      </c>
      <c r="C5" s="12" t="s">
        <v>659</v>
      </c>
      <c r="D5" s="5"/>
      <c r="E5" s="5" t="s">
        <v>660</v>
      </c>
      <c r="F5" s="5" t="s">
        <v>17</v>
      </c>
      <c r="G5" s="5" t="s">
        <v>251</v>
      </c>
      <c r="H5" s="5" t="s">
        <v>2</v>
      </c>
      <c r="I5" s="5" t="s">
        <v>2</v>
      </c>
      <c r="J5" s="5" t="s">
        <v>530</v>
      </c>
    </row>
    <row r="6" spans="1:10" x14ac:dyDescent="0.25">
      <c r="A6" s="5" t="s">
        <v>15</v>
      </c>
      <c r="B6" s="6" t="s">
        <v>661</v>
      </c>
      <c r="C6" s="5" t="s">
        <v>2</v>
      </c>
      <c r="D6" s="5"/>
      <c r="E6" s="5" t="s">
        <v>662</v>
      </c>
      <c r="F6" s="5" t="s">
        <v>15</v>
      </c>
      <c r="G6" s="5" t="s">
        <v>2</v>
      </c>
      <c r="H6" s="5" t="s">
        <v>2</v>
      </c>
      <c r="I6" s="5" t="s">
        <v>2</v>
      </c>
      <c r="J6" s="5" t="s">
        <v>663</v>
      </c>
    </row>
    <row r="7" spans="1:10" x14ac:dyDescent="0.25" outlineLevel="1" collapsed="1">
      <c r="A7" s="7" t="s">
        <v>15</v>
      </c>
      <c r="B7" s="7" t="s">
        <v>20</v>
      </c>
      <c r="C7" s="7" t="s">
        <v>2</v>
      </c>
      <c r="D7" s="7"/>
      <c r="E7" s="7" t="s">
        <v>664</v>
      </c>
      <c r="F7" s="7" t="s">
        <v>17</v>
      </c>
      <c r="G7" s="7" t="s">
        <v>22</v>
      </c>
      <c r="H7" s="7" t="s">
        <v>2</v>
      </c>
      <c r="I7" s="7" t="s">
        <v>2</v>
      </c>
      <c r="J7" s="7" t="s">
        <v>665</v>
      </c>
    </row>
    <row r="8" spans="1:10" x14ac:dyDescent="0.25" outlineLevel="1" collapsed="1">
      <c r="A8" s="7" t="s">
        <v>15</v>
      </c>
      <c r="B8" s="7" t="s">
        <v>53</v>
      </c>
      <c r="C8" s="7" t="s">
        <v>2</v>
      </c>
      <c r="D8" s="7"/>
      <c r="E8" s="7" t="s">
        <v>666</v>
      </c>
      <c r="F8" s="7" t="s">
        <v>17</v>
      </c>
      <c r="G8" s="7">
        <v>1</v>
      </c>
      <c r="H8" s="7" t="s">
        <v>2</v>
      </c>
      <c r="I8" s="7" t="s">
        <v>2</v>
      </c>
      <c r="J8" s="7" t="s">
        <v>667</v>
      </c>
    </row>
    <row r="9" spans="1:10" x14ac:dyDescent="0.25" outlineLevel="1" collapsed="1">
      <c r="A9" s="7" t="s">
        <v>15</v>
      </c>
      <c r="B9" s="7" t="s">
        <v>194</v>
      </c>
      <c r="C9" s="7" t="s">
        <v>2</v>
      </c>
      <c r="D9" s="7"/>
      <c r="E9" s="7" t="s">
        <v>668</v>
      </c>
      <c r="F9" s="7" t="s">
        <v>17</v>
      </c>
      <c r="G9" s="7">
        <v>1</v>
      </c>
      <c r="H9" s="7" t="s">
        <v>2</v>
      </c>
      <c r="I9" s="7" t="s">
        <v>2</v>
      </c>
      <c r="J9" s="7" t="s">
        <v>669</v>
      </c>
    </row>
    <row r="10" spans="1:10" x14ac:dyDescent="0.25">
      <c r="A10" s="5" t="s">
        <v>17</v>
      </c>
      <c r="B10" s="5" t="s">
        <v>20</v>
      </c>
      <c r="C10" s="5" t="s">
        <v>2</v>
      </c>
      <c r="D10" s="5"/>
      <c r="E10" s="5" t="s">
        <v>519</v>
      </c>
      <c r="F10" s="5" t="s">
        <v>17</v>
      </c>
      <c r="G10" s="5" t="s">
        <v>22</v>
      </c>
      <c r="H10" s="5" t="s">
        <v>2</v>
      </c>
      <c r="I10" s="5" t="s">
        <v>2</v>
      </c>
      <c r="J10" s="5" t="s">
        <v>520</v>
      </c>
    </row>
    <row r="11" spans="1:10" x14ac:dyDescent="0.25">
      <c r="A11" s="5" t="s">
        <v>15</v>
      </c>
      <c r="B11" s="5" t="s">
        <v>125</v>
      </c>
      <c r="C11" s="5" t="s">
        <v>2</v>
      </c>
      <c r="D11" s="5"/>
      <c r="E11" s="5" t="s">
        <v>555</v>
      </c>
      <c r="F11" s="5" t="s">
        <v>17</v>
      </c>
      <c r="G11" s="5" t="s">
        <v>1688</v>
      </c>
      <c r="H11" s="5" t="s">
        <v>2</v>
      </c>
      <c r="I11" s="5" t="s">
        <v>2</v>
      </c>
      <c r="J11" s="5" t="s">
        <v>579</v>
      </c>
    </row>
    <row r="12" spans="1:10" x14ac:dyDescent="0.25">
      <c r="A12" s="5" t="s">
        <v>17</v>
      </c>
      <c r="B12" s="5" t="s">
        <v>53</v>
      </c>
      <c r="C12" s="5" t="s">
        <v>2</v>
      </c>
      <c r="D12" s="5" t="s">
        <v>506</v>
      </c>
      <c r="E12" s="5" t="s">
        <v>671</v>
      </c>
      <c r="F12" s="5" t="s">
        <v>17</v>
      </c>
      <c r="G12" s="5">
        <v>1</v>
      </c>
      <c r="H12" s="5" t="s">
        <v>2</v>
      </c>
      <c r="I12" s="5" t="s">
        <v>2</v>
      </c>
      <c r="J12" s="5" t="s">
        <v>672</v>
      </c>
    </row>
  </sheetData>
  <mergeCells count="3">
    <mergeCell ref="A1:J1"/>
    <mergeCell ref="B2:J2"/>
    <mergeCell ref="B3:J3"/>
  </mergeCells>
  <dataValidations count="1">
    <dataValidation type="list" allowBlank="1" sqref="G5:I5">
      <formula1>'Enums'!C2759:C2760</formula1>
    </dataValidation>
  </dataValidations>
  <hyperlinks>
    <hyperlink ref="B6" r:id="rId1" location="#'Deductions for Embodied Emissi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662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664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665</v>
      </c>
    </row>
    <row r="6" spans="1:10" x14ac:dyDescent="0.25">
      <c r="A6" s="5" t="s">
        <v>15</v>
      </c>
      <c r="B6" s="5" t="s">
        <v>53</v>
      </c>
      <c r="C6" s="5" t="s">
        <v>2</v>
      </c>
      <c r="D6" s="5"/>
      <c r="E6" s="5" t="s">
        <v>666</v>
      </c>
      <c r="F6" s="5" t="s">
        <v>17</v>
      </c>
      <c r="G6" s="5">
        <v>1</v>
      </c>
      <c r="H6" s="5" t="s">
        <v>2</v>
      </c>
      <c r="I6" s="5" t="s">
        <v>2</v>
      </c>
      <c r="J6" s="5" t="s">
        <v>667</v>
      </c>
    </row>
    <row r="7" spans="1:10" x14ac:dyDescent="0.25">
      <c r="A7" s="5" t="s">
        <v>15</v>
      </c>
      <c r="B7" s="5" t="s">
        <v>194</v>
      </c>
      <c r="C7" s="5" t="s">
        <v>2</v>
      </c>
      <c r="D7" s="5"/>
      <c r="E7" s="5" t="s">
        <v>668</v>
      </c>
      <c r="F7" s="5" t="s">
        <v>17</v>
      </c>
      <c r="G7" s="5">
        <v>1</v>
      </c>
      <c r="H7" s="5" t="s">
        <v>2</v>
      </c>
      <c r="I7" s="5" t="s">
        <v>2</v>
      </c>
      <c r="J7" s="5" t="s">
        <v>669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673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44</v>
      </c>
      <c r="C5" s="12" t="s">
        <v>675</v>
      </c>
      <c r="D5" s="5"/>
      <c r="E5" s="5" t="s">
        <v>676</v>
      </c>
      <c r="F5" s="5" t="s">
        <v>17</v>
      </c>
      <c r="G5" s="5" t="s">
        <v>677</v>
      </c>
      <c r="H5" s="5" t="s">
        <v>2</v>
      </c>
      <c r="I5" s="5" t="s">
        <v>2</v>
      </c>
      <c r="J5" s="5" t="s">
        <v>678</v>
      </c>
    </row>
    <row r="6" spans="1:10" x14ac:dyDescent="0.25">
      <c r="A6" s="5" t="s">
        <v>17</v>
      </c>
      <c r="B6" s="6" t="s">
        <v>679</v>
      </c>
      <c r="C6" s="5" t="s">
        <v>2</v>
      </c>
      <c r="D6" s="5">
        <f>EXACT(G5,"Option 1 - Default 2% deduction")</f>
      </c>
      <c r="E6" s="5" t="s">
        <v>680</v>
      </c>
      <c r="F6" s="5" t="s">
        <v>17</v>
      </c>
      <c r="G6" s="5" t="s">
        <v>2</v>
      </c>
      <c r="H6" s="5" t="s">
        <v>2</v>
      </c>
      <c r="I6" s="5" t="s">
        <v>2</v>
      </c>
      <c r="J6" s="5" t="s">
        <v>681</v>
      </c>
    </row>
    <row r="7" spans="1:10" x14ac:dyDescent="0.25" outlineLevel="1" collapsed="1">
      <c r="A7" s="7" t="s">
        <v>17</v>
      </c>
      <c r="B7" s="7" t="s">
        <v>53</v>
      </c>
      <c r="C7" s="7" t="s">
        <v>2</v>
      </c>
      <c r="D7" s="7" t="s">
        <v>506</v>
      </c>
      <c r="E7" s="7" t="s">
        <v>682</v>
      </c>
      <c r="F7" s="7" t="s">
        <v>17</v>
      </c>
      <c r="G7" s="7">
        <v>1</v>
      </c>
      <c r="H7" s="7" t="s">
        <v>2</v>
      </c>
      <c r="I7" s="7" t="s">
        <v>2</v>
      </c>
      <c r="J7" s="7" t="s">
        <v>683</v>
      </c>
    </row>
    <row r="8" spans="1:10" x14ac:dyDescent="0.25" outlineLevel="1" collapsed="1">
      <c r="A8" s="7" t="s">
        <v>17</v>
      </c>
      <c r="B8" s="7" t="s">
        <v>20</v>
      </c>
      <c r="C8" s="7" t="s">
        <v>2</v>
      </c>
      <c r="D8" s="7"/>
      <c r="E8" s="7" t="s">
        <v>519</v>
      </c>
      <c r="F8" s="7" t="s">
        <v>17</v>
      </c>
      <c r="G8" s="7" t="s">
        <v>22</v>
      </c>
      <c r="H8" s="7" t="s">
        <v>2</v>
      </c>
      <c r="I8" s="7" t="s">
        <v>2</v>
      </c>
      <c r="J8" s="7" t="s">
        <v>684</v>
      </c>
    </row>
    <row r="9" spans="1:10" x14ac:dyDescent="0.25">
      <c r="A9" s="5" t="s">
        <v>17</v>
      </c>
      <c r="B9" s="6" t="s">
        <v>685</v>
      </c>
      <c r="C9" s="5" t="s">
        <v>2</v>
      </c>
      <c r="D9" s="5">
        <f>EXACT(G5,"Option 3 - Detailed assessment")</f>
      </c>
      <c r="E9" s="5" t="s">
        <v>680</v>
      </c>
      <c r="F9" s="5" t="s">
        <v>17</v>
      </c>
      <c r="G9" s="5" t="s">
        <v>2</v>
      </c>
      <c r="H9" s="5" t="s">
        <v>2</v>
      </c>
      <c r="I9" s="5" t="s">
        <v>2</v>
      </c>
      <c r="J9" s="5" t="s">
        <v>686</v>
      </c>
    </row>
    <row r="10" spans="1:10" x14ac:dyDescent="0.25" outlineLevel="1" collapsed="1">
      <c r="A10" s="8" t="s">
        <v>15</v>
      </c>
      <c r="B10" s="9" t="s">
        <v>687</v>
      </c>
      <c r="C10" s="8" t="s">
        <v>2</v>
      </c>
      <c r="D10" s="8"/>
      <c r="E10" s="8" t="s">
        <v>688</v>
      </c>
      <c r="F10" s="8" t="s">
        <v>15</v>
      </c>
      <c r="G10" s="8" t="s">
        <v>2</v>
      </c>
      <c r="H10" s="8" t="s">
        <v>2</v>
      </c>
      <c r="I10" s="8" t="s">
        <v>2</v>
      </c>
      <c r="J10" s="8" t="s">
        <v>689</v>
      </c>
    </row>
    <row r="11" spans="1:10" x14ac:dyDescent="0.25" outlineLevel="2" collapsed="1">
      <c r="A11" s="7" t="s">
        <v>15</v>
      </c>
      <c r="B11" s="7" t="s">
        <v>20</v>
      </c>
      <c r="C11" s="7" t="s">
        <v>2</v>
      </c>
      <c r="D11" s="7"/>
      <c r="E11" s="7" t="s">
        <v>690</v>
      </c>
      <c r="F11" s="7" t="s">
        <v>17</v>
      </c>
      <c r="G11" s="7" t="s">
        <v>22</v>
      </c>
      <c r="H11" s="7" t="s">
        <v>2</v>
      </c>
      <c r="I11" s="7" t="s">
        <v>2</v>
      </c>
      <c r="J11" s="7" t="s">
        <v>691</v>
      </c>
    </row>
    <row r="12" spans="1:10" x14ac:dyDescent="0.25" outlineLevel="2" collapsed="1">
      <c r="A12" s="7" t="s">
        <v>15</v>
      </c>
      <c r="B12" s="7" t="s">
        <v>20</v>
      </c>
      <c r="C12" s="7" t="s">
        <v>2</v>
      </c>
      <c r="D12" s="7"/>
      <c r="E12" s="7" t="s">
        <v>692</v>
      </c>
      <c r="F12" s="7" t="s">
        <v>17</v>
      </c>
      <c r="G12" s="7" t="s">
        <v>22</v>
      </c>
      <c r="H12" s="7" t="s">
        <v>2</v>
      </c>
      <c r="I12" s="7" t="s">
        <v>2</v>
      </c>
      <c r="J12" s="7" t="s">
        <v>693</v>
      </c>
    </row>
    <row r="13" spans="1:10" x14ac:dyDescent="0.25" outlineLevel="2" collapsed="1">
      <c r="A13" s="7" t="s">
        <v>15</v>
      </c>
      <c r="B13" s="7" t="s">
        <v>125</v>
      </c>
      <c r="C13" s="7" t="s">
        <v>2</v>
      </c>
      <c r="D13" s="7"/>
      <c r="E13" s="7" t="s">
        <v>694</v>
      </c>
      <c r="F13" s="7" t="s">
        <v>17</v>
      </c>
      <c r="G13" s="7" t="s">
        <v>1689</v>
      </c>
      <c r="H13" s="7" t="s">
        <v>2</v>
      </c>
      <c r="I13" s="7" t="s">
        <v>2</v>
      </c>
      <c r="J13" s="7" t="s">
        <v>696</v>
      </c>
    </row>
    <row r="14" spans="1:10" x14ac:dyDescent="0.25" outlineLevel="2" collapsed="1">
      <c r="A14" s="7" t="s">
        <v>15</v>
      </c>
      <c r="B14" s="7" t="s">
        <v>47</v>
      </c>
      <c r="C14" s="7" t="s">
        <v>2</v>
      </c>
      <c r="D14" s="7"/>
      <c r="E14" s="7" t="s">
        <v>697</v>
      </c>
      <c r="F14" s="7" t="s">
        <v>17</v>
      </c>
      <c r="G14" s="7" t="b">
        <v>1</v>
      </c>
      <c r="H14" s="7" t="s">
        <v>2</v>
      </c>
      <c r="I14" s="7" t="s">
        <v>2</v>
      </c>
      <c r="J14" s="7" t="s">
        <v>698</v>
      </c>
    </row>
    <row r="15" spans="1:10" x14ac:dyDescent="0.25" outlineLevel="2" collapsed="1">
      <c r="A15" s="7" t="s">
        <v>17</v>
      </c>
      <c r="B15" s="7" t="s">
        <v>20</v>
      </c>
      <c r="C15" s="7" t="s">
        <v>2</v>
      </c>
      <c r="D15" s="7">
        <f>EXACT(G14,true)</f>
      </c>
      <c r="E15" s="7" t="s">
        <v>699</v>
      </c>
      <c r="F15" s="7" t="s">
        <v>17</v>
      </c>
      <c r="G15" s="7" t="s">
        <v>22</v>
      </c>
      <c r="H15" s="7" t="s">
        <v>2</v>
      </c>
      <c r="I15" s="7" t="s">
        <v>2</v>
      </c>
      <c r="J15" s="7" t="s">
        <v>700</v>
      </c>
    </row>
    <row r="16" spans="1:10" x14ac:dyDescent="0.25" outlineLevel="2" collapsed="1">
      <c r="A16" s="7" t="s">
        <v>17</v>
      </c>
      <c r="B16" s="7" t="s">
        <v>53</v>
      </c>
      <c r="C16" s="7" t="s">
        <v>2</v>
      </c>
      <c r="D16" s="7">
        <f>EXACT(G14,false)</f>
      </c>
      <c r="E16" s="7" t="s">
        <v>655</v>
      </c>
      <c r="F16" s="7" t="s">
        <v>17</v>
      </c>
      <c r="G16" s="7">
        <v>1</v>
      </c>
      <c r="H16" s="7" t="s">
        <v>2</v>
      </c>
      <c r="I16" s="7" t="s">
        <v>2</v>
      </c>
      <c r="J16" s="7" t="s">
        <v>656</v>
      </c>
    </row>
    <row r="17" spans="1:10" x14ac:dyDescent="0.25" outlineLevel="1" collapsed="1">
      <c r="A17" s="7" t="s">
        <v>17</v>
      </c>
      <c r="B17" s="7" t="s">
        <v>53</v>
      </c>
      <c r="C17" s="7" t="s">
        <v>2</v>
      </c>
      <c r="D17" s="7" t="s">
        <v>506</v>
      </c>
      <c r="E17" s="7" t="s">
        <v>701</v>
      </c>
      <c r="F17" s="7" t="s">
        <v>17</v>
      </c>
      <c r="G17" s="7">
        <v>1</v>
      </c>
      <c r="H17" s="7" t="s">
        <v>2</v>
      </c>
      <c r="I17" s="7" t="s">
        <v>2</v>
      </c>
      <c r="J17" s="7" t="s">
        <v>683</v>
      </c>
    </row>
  </sheetData>
  <mergeCells count="3">
    <mergeCell ref="A1:J1"/>
    <mergeCell ref="B2:J2"/>
    <mergeCell ref="B3:J3"/>
  </mergeCells>
  <dataValidations count="1">
    <dataValidation type="list" allowBlank="1" sqref="G5:I5">
      <formula1>'Enums'!C2761:C2762</formula1>
    </dataValidation>
  </dataValidations>
  <hyperlinks>
    <hyperlink ref="B6" r:id="rId1" location="#'Option 1 – Default 2% deductio'!A1"/>
    <hyperlink ref="B9" r:id="rId2" location="#'Option 3 - Detailed assessment'!A1"/>
    <hyperlink ref="B10" r:id="rId3" location="#'Leakage Emission Source Detail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1690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17</v>
      </c>
      <c r="B5" s="5" t="s">
        <v>53</v>
      </c>
      <c r="C5" s="5" t="s">
        <v>2</v>
      </c>
      <c r="D5" s="5" t="s">
        <v>506</v>
      </c>
      <c r="E5" s="5" t="s">
        <v>682</v>
      </c>
      <c r="F5" s="5" t="s">
        <v>17</v>
      </c>
      <c r="G5" s="5">
        <v>1</v>
      </c>
      <c r="H5" s="5" t="s">
        <v>2</v>
      </c>
      <c r="I5" s="5" t="s">
        <v>2</v>
      </c>
      <c r="J5" s="5" t="s">
        <v>683</v>
      </c>
    </row>
    <row r="6" spans="1:10" x14ac:dyDescent="0.25">
      <c r="A6" s="5" t="s">
        <v>17</v>
      </c>
      <c r="B6" s="5" t="s">
        <v>20</v>
      </c>
      <c r="C6" s="5" t="s">
        <v>2</v>
      </c>
      <c r="D6" s="5"/>
      <c r="E6" s="5" t="s">
        <v>519</v>
      </c>
      <c r="F6" s="5" t="s">
        <v>17</v>
      </c>
      <c r="G6" s="5" t="s">
        <v>22</v>
      </c>
      <c r="H6" s="5" t="s">
        <v>2</v>
      </c>
      <c r="I6" s="5" t="s">
        <v>2</v>
      </c>
      <c r="J6" s="5" t="s">
        <v>684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685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687</v>
      </c>
      <c r="C5" s="5" t="s">
        <v>2</v>
      </c>
      <c r="D5" s="5"/>
      <c r="E5" s="5" t="s">
        <v>688</v>
      </c>
      <c r="F5" s="5" t="s">
        <v>15</v>
      </c>
      <c r="G5" s="5" t="s">
        <v>2</v>
      </c>
      <c r="H5" s="5" t="s">
        <v>2</v>
      </c>
      <c r="I5" s="5" t="s">
        <v>2</v>
      </c>
      <c r="J5" s="5" t="s">
        <v>689</v>
      </c>
    </row>
    <row r="6" spans="1:10" x14ac:dyDescent="0.25" outlineLevel="1" collapsed="1">
      <c r="A6" s="7" t="s">
        <v>15</v>
      </c>
      <c r="B6" s="7" t="s">
        <v>20</v>
      </c>
      <c r="C6" s="7" t="s">
        <v>2</v>
      </c>
      <c r="D6" s="7"/>
      <c r="E6" s="7" t="s">
        <v>690</v>
      </c>
      <c r="F6" s="7" t="s">
        <v>17</v>
      </c>
      <c r="G6" s="7" t="s">
        <v>22</v>
      </c>
      <c r="H6" s="7" t="s">
        <v>2</v>
      </c>
      <c r="I6" s="7" t="s">
        <v>2</v>
      </c>
      <c r="J6" s="7" t="s">
        <v>691</v>
      </c>
    </row>
    <row r="7" spans="1:10" x14ac:dyDescent="0.25" outlineLevel="1" collapsed="1">
      <c r="A7" s="7" t="s">
        <v>15</v>
      </c>
      <c r="B7" s="7" t="s">
        <v>20</v>
      </c>
      <c r="C7" s="7" t="s">
        <v>2</v>
      </c>
      <c r="D7" s="7"/>
      <c r="E7" s="7" t="s">
        <v>692</v>
      </c>
      <c r="F7" s="7" t="s">
        <v>17</v>
      </c>
      <c r="G7" s="7" t="s">
        <v>22</v>
      </c>
      <c r="H7" s="7" t="s">
        <v>2</v>
      </c>
      <c r="I7" s="7" t="s">
        <v>2</v>
      </c>
      <c r="J7" s="7" t="s">
        <v>693</v>
      </c>
    </row>
    <row r="8" spans="1:10" x14ac:dyDescent="0.25" outlineLevel="1" collapsed="1">
      <c r="A8" s="7" t="s">
        <v>15</v>
      </c>
      <c r="B8" s="7" t="s">
        <v>125</v>
      </c>
      <c r="C8" s="7" t="s">
        <v>2</v>
      </c>
      <c r="D8" s="7"/>
      <c r="E8" s="7" t="s">
        <v>694</v>
      </c>
      <c r="F8" s="7" t="s">
        <v>17</v>
      </c>
      <c r="G8" s="7" t="s">
        <v>1691</v>
      </c>
      <c r="H8" s="7" t="s">
        <v>2</v>
      </c>
      <c r="I8" s="7" t="s">
        <v>2</v>
      </c>
      <c r="J8" s="7" t="s">
        <v>696</v>
      </c>
    </row>
    <row r="9" spans="1:10" x14ac:dyDescent="0.25" outlineLevel="1" collapsed="1">
      <c r="A9" s="7" t="s">
        <v>15</v>
      </c>
      <c r="B9" s="7" t="s">
        <v>47</v>
      </c>
      <c r="C9" s="7" t="s">
        <v>2</v>
      </c>
      <c r="D9" s="7"/>
      <c r="E9" s="7" t="s">
        <v>697</v>
      </c>
      <c r="F9" s="7" t="s">
        <v>17</v>
      </c>
      <c r="G9" s="7" t="b">
        <v>1</v>
      </c>
      <c r="H9" s="7" t="s">
        <v>2</v>
      </c>
      <c r="I9" s="7" t="s">
        <v>2</v>
      </c>
      <c r="J9" s="7" t="s">
        <v>698</v>
      </c>
    </row>
    <row r="10" spans="1:10" x14ac:dyDescent="0.25" outlineLevel="1" collapsed="1">
      <c r="A10" s="7" t="s">
        <v>17</v>
      </c>
      <c r="B10" s="7" t="s">
        <v>20</v>
      </c>
      <c r="C10" s="7" t="s">
        <v>2</v>
      </c>
      <c r="D10" s="7">
        <f>EXACT(G9,true)</f>
      </c>
      <c r="E10" s="7" t="s">
        <v>699</v>
      </c>
      <c r="F10" s="7" t="s">
        <v>17</v>
      </c>
      <c r="G10" s="7" t="s">
        <v>22</v>
      </c>
      <c r="H10" s="7" t="s">
        <v>2</v>
      </c>
      <c r="I10" s="7" t="s">
        <v>2</v>
      </c>
      <c r="J10" s="7" t="s">
        <v>700</v>
      </c>
    </row>
    <row r="11" spans="1:10" x14ac:dyDescent="0.25" outlineLevel="1" collapsed="1">
      <c r="A11" s="7" t="s">
        <v>17</v>
      </c>
      <c r="B11" s="7" t="s">
        <v>53</v>
      </c>
      <c r="C11" s="7" t="s">
        <v>2</v>
      </c>
      <c r="D11" s="7">
        <f>EXACT(G9,false)</f>
      </c>
      <c r="E11" s="7" t="s">
        <v>655</v>
      </c>
      <c r="F11" s="7" t="s">
        <v>17</v>
      </c>
      <c r="G11" s="7">
        <v>1</v>
      </c>
      <c r="H11" s="7" t="s">
        <v>2</v>
      </c>
      <c r="I11" s="7" t="s">
        <v>2</v>
      </c>
      <c r="J11" s="7" t="s">
        <v>656</v>
      </c>
    </row>
    <row r="12" spans="1:10" x14ac:dyDescent="0.25">
      <c r="A12" s="5" t="s">
        <v>17</v>
      </c>
      <c r="B12" s="5" t="s">
        <v>53</v>
      </c>
      <c r="C12" s="5" t="s">
        <v>2</v>
      </c>
      <c r="D12" s="5" t="s">
        <v>506</v>
      </c>
      <c r="E12" s="5" t="s">
        <v>701</v>
      </c>
      <c r="F12" s="5" t="s">
        <v>17</v>
      </c>
      <c r="G12" s="5">
        <v>1</v>
      </c>
      <c r="H12" s="5" t="s">
        <v>2</v>
      </c>
      <c r="I12" s="5" t="s">
        <v>2</v>
      </c>
      <c r="J12" s="5" t="s">
        <v>683</v>
      </c>
    </row>
  </sheetData>
  <mergeCells count="3">
    <mergeCell ref="A1:J1"/>
    <mergeCell ref="B2:J2"/>
    <mergeCell ref="B3:J3"/>
  </mergeCells>
  <hyperlinks>
    <hyperlink ref="B5" r:id="rId1" location="#'Leakage Emission Source Detail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688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690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691</v>
      </c>
    </row>
    <row r="6" spans="1:10" x14ac:dyDescent="0.25">
      <c r="A6" s="5" t="s">
        <v>15</v>
      </c>
      <c r="B6" s="5" t="s">
        <v>20</v>
      </c>
      <c r="C6" s="5" t="s">
        <v>2</v>
      </c>
      <c r="D6" s="5"/>
      <c r="E6" s="5" t="s">
        <v>692</v>
      </c>
      <c r="F6" s="5" t="s">
        <v>17</v>
      </c>
      <c r="G6" s="5" t="s">
        <v>22</v>
      </c>
      <c r="H6" s="5" t="s">
        <v>2</v>
      </c>
      <c r="I6" s="5" t="s">
        <v>2</v>
      </c>
      <c r="J6" s="5" t="s">
        <v>693</v>
      </c>
    </row>
    <row r="7" spans="1:10" x14ac:dyDescent="0.25">
      <c r="A7" s="5" t="s">
        <v>15</v>
      </c>
      <c r="B7" s="5" t="s">
        <v>125</v>
      </c>
      <c r="C7" s="5" t="s">
        <v>2</v>
      </c>
      <c r="D7" s="5"/>
      <c r="E7" s="5" t="s">
        <v>694</v>
      </c>
      <c r="F7" s="5" t="s">
        <v>17</v>
      </c>
      <c r="G7" s="5" t="s">
        <v>1692</v>
      </c>
      <c r="H7" s="5" t="s">
        <v>2</v>
      </c>
      <c r="I7" s="5" t="s">
        <v>2</v>
      </c>
      <c r="J7" s="5" t="s">
        <v>696</v>
      </c>
    </row>
    <row r="8" spans="1:10" x14ac:dyDescent="0.25">
      <c r="A8" s="5" t="s">
        <v>15</v>
      </c>
      <c r="B8" s="5" t="s">
        <v>47</v>
      </c>
      <c r="C8" s="5" t="s">
        <v>2</v>
      </c>
      <c r="D8" s="5"/>
      <c r="E8" s="5" t="s">
        <v>697</v>
      </c>
      <c r="F8" s="5" t="s">
        <v>17</v>
      </c>
      <c r="G8" s="5" t="b">
        <v>1</v>
      </c>
      <c r="H8" s="5" t="s">
        <v>2</v>
      </c>
      <c r="I8" s="5" t="s">
        <v>2</v>
      </c>
      <c r="J8" s="5" t="s">
        <v>698</v>
      </c>
    </row>
    <row r="9" spans="1:10" x14ac:dyDescent="0.25">
      <c r="A9" s="5" t="s">
        <v>17</v>
      </c>
      <c r="B9" s="5" t="s">
        <v>20</v>
      </c>
      <c r="C9" s="5" t="s">
        <v>2</v>
      </c>
      <c r="D9" s="5">
        <f>EXACT(G8,true)</f>
      </c>
      <c r="E9" s="5" t="s">
        <v>699</v>
      </c>
      <c r="F9" s="5" t="s">
        <v>17</v>
      </c>
      <c r="G9" s="5" t="s">
        <v>22</v>
      </c>
      <c r="H9" s="5" t="s">
        <v>2</v>
      </c>
      <c r="I9" s="5" t="s">
        <v>2</v>
      </c>
      <c r="J9" s="5" t="s">
        <v>700</v>
      </c>
    </row>
    <row r="10" spans="1:10" x14ac:dyDescent="0.25">
      <c r="A10" s="5" t="s">
        <v>17</v>
      </c>
      <c r="B10" s="5" t="s">
        <v>53</v>
      </c>
      <c r="C10" s="5" t="s">
        <v>2</v>
      </c>
      <c r="D10" s="5">
        <f>EXACT(G8,false)</f>
      </c>
      <c r="E10" s="5" t="s">
        <v>655</v>
      </c>
      <c r="F10" s="5" t="s">
        <v>17</v>
      </c>
      <c r="G10" s="5">
        <v>1</v>
      </c>
      <c r="H10" s="5" t="s">
        <v>2</v>
      </c>
      <c r="I10" s="5" t="s">
        <v>2</v>
      </c>
      <c r="J10" s="5" t="s">
        <v>656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654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657</v>
      </c>
      <c r="C5" s="5" t="s">
        <v>2</v>
      </c>
      <c r="D5" s="5"/>
      <c r="E5" s="5" t="s">
        <v>657</v>
      </c>
      <c r="F5" s="5" t="s">
        <v>17</v>
      </c>
      <c r="G5" s="5" t="s">
        <v>2</v>
      </c>
      <c r="H5" s="5" t="s">
        <v>2</v>
      </c>
      <c r="I5" s="5" t="s">
        <v>2</v>
      </c>
      <c r="J5" s="5" t="s">
        <v>658</v>
      </c>
    </row>
    <row r="6" spans="1:10" x14ac:dyDescent="0.25" outlineLevel="1" collapsed="1">
      <c r="A6" s="7" t="s">
        <v>15</v>
      </c>
      <c r="B6" s="7" t="s">
        <v>44</v>
      </c>
      <c r="C6" s="10" t="s">
        <v>659</v>
      </c>
      <c r="D6" s="7"/>
      <c r="E6" s="7" t="s">
        <v>660</v>
      </c>
      <c r="F6" s="7" t="s">
        <v>17</v>
      </c>
      <c r="G6" s="7" t="s">
        <v>251</v>
      </c>
      <c r="H6" s="7" t="s">
        <v>2</v>
      </c>
      <c r="I6" s="7" t="s">
        <v>2</v>
      </c>
      <c r="J6" s="7" t="s">
        <v>530</v>
      </c>
    </row>
    <row r="7" spans="1:10" x14ac:dyDescent="0.25" outlineLevel="1" collapsed="1">
      <c r="A7" s="8" t="s">
        <v>15</v>
      </c>
      <c r="B7" s="9" t="s">
        <v>661</v>
      </c>
      <c r="C7" s="8" t="s">
        <v>2</v>
      </c>
      <c r="D7" s="8"/>
      <c r="E7" s="8" t="s">
        <v>662</v>
      </c>
      <c r="F7" s="8" t="s">
        <v>15</v>
      </c>
      <c r="G7" s="8" t="s">
        <v>2</v>
      </c>
      <c r="H7" s="8" t="s">
        <v>2</v>
      </c>
      <c r="I7" s="8" t="s">
        <v>2</v>
      </c>
      <c r="J7" s="8" t="s">
        <v>663</v>
      </c>
    </row>
    <row r="8" spans="1:10" x14ac:dyDescent="0.25" outlineLevel="2" collapsed="1">
      <c r="A8" s="7" t="s">
        <v>15</v>
      </c>
      <c r="B8" s="7" t="s">
        <v>20</v>
      </c>
      <c r="C8" s="7" t="s">
        <v>2</v>
      </c>
      <c r="D8" s="7"/>
      <c r="E8" s="7" t="s">
        <v>664</v>
      </c>
      <c r="F8" s="7" t="s">
        <v>17</v>
      </c>
      <c r="G8" s="7" t="s">
        <v>22</v>
      </c>
      <c r="H8" s="7" t="s">
        <v>2</v>
      </c>
      <c r="I8" s="7" t="s">
        <v>2</v>
      </c>
      <c r="J8" s="7" t="s">
        <v>665</v>
      </c>
    </row>
    <row r="9" spans="1:10" x14ac:dyDescent="0.25" outlineLevel="2" collapsed="1">
      <c r="A9" s="7" t="s">
        <v>15</v>
      </c>
      <c r="B9" s="7" t="s">
        <v>53</v>
      </c>
      <c r="C9" s="7" t="s">
        <v>2</v>
      </c>
      <c r="D9" s="7"/>
      <c r="E9" s="7" t="s">
        <v>666</v>
      </c>
      <c r="F9" s="7" t="s">
        <v>17</v>
      </c>
      <c r="G9" s="7">
        <v>1</v>
      </c>
      <c r="H9" s="7" t="s">
        <v>2</v>
      </c>
      <c r="I9" s="7" t="s">
        <v>2</v>
      </c>
      <c r="J9" s="7" t="s">
        <v>667</v>
      </c>
    </row>
    <row r="10" spans="1:10" x14ac:dyDescent="0.25" outlineLevel="2" collapsed="1">
      <c r="A10" s="7" t="s">
        <v>15</v>
      </c>
      <c r="B10" s="7" t="s">
        <v>194</v>
      </c>
      <c r="C10" s="7" t="s">
        <v>2</v>
      </c>
      <c r="D10" s="7"/>
      <c r="E10" s="7" t="s">
        <v>668</v>
      </c>
      <c r="F10" s="7" t="s">
        <v>17</v>
      </c>
      <c r="G10" s="7">
        <v>1</v>
      </c>
      <c r="H10" s="7" t="s">
        <v>2</v>
      </c>
      <c r="I10" s="7" t="s">
        <v>2</v>
      </c>
      <c r="J10" s="7" t="s">
        <v>669</v>
      </c>
    </row>
    <row r="11" spans="1:10" x14ac:dyDescent="0.25" outlineLevel="1" collapsed="1">
      <c r="A11" s="7" t="s">
        <v>17</v>
      </c>
      <c r="B11" s="7" t="s">
        <v>20</v>
      </c>
      <c r="C11" s="7" t="s">
        <v>2</v>
      </c>
      <c r="D11" s="7"/>
      <c r="E11" s="7" t="s">
        <v>519</v>
      </c>
      <c r="F11" s="7" t="s">
        <v>17</v>
      </c>
      <c r="G11" s="7" t="s">
        <v>22</v>
      </c>
      <c r="H11" s="7" t="s">
        <v>2</v>
      </c>
      <c r="I11" s="7" t="s">
        <v>2</v>
      </c>
      <c r="J11" s="7" t="s">
        <v>520</v>
      </c>
    </row>
    <row r="12" spans="1:10" x14ac:dyDescent="0.25" outlineLevel="1" collapsed="1">
      <c r="A12" s="7" t="s">
        <v>15</v>
      </c>
      <c r="B12" s="7" t="s">
        <v>125</v>
      </c>
      <c r="C12" s="7" t="s">
        <v>2</v>
      </c>
      <c r="D12" s="7"/>
      <c r="E12" s="7" t="s">
        <v>555</v>
      </c>
      <c r="F12" s="7" t="s">
        <v>17</v>
      </c>
      <c r="G12" s="7" t="s">
        <v>1693</v>
      </c>
      <c r="H12" s="7" t="s">
        <v>2</v>
      </c>
      <c r="I12" s="7" t="s">
        <v>2</v>
      </c>
      <c r="J12" s="7" t="s">
        <v>579</v>
      </c>
    </row>
    <row r="13" spans="1:10" x14ac:dyDescent="0.25" outlineLevel="1" collapsed="1">
      <c r="A13" s="7" t="s">
        <v>17</v>
      </c>
      <c r="B13" s="7" t="s">
        <v>53</v>
      </c>
      <c r="C13" s="7" t="s">
        <v>2</v>
      </c>
      <c r="D13" s="7" t="s">
        <v>506</v>
      </c>
      <c r="E13" s="7" t="s">
        <v>671</v>
      </c>
      <c r="F13" s="7" t="s">
        <v>17</v>
      </c>
      <c r="G13" s="7">
        <v>1</v>
      </c>
      <c r="H13" s="7" t="s">
        <v>2</v>
      </c>
      <c r="I13" s="7" t="s">
        <v>2</v>
      </c>
      <c r="J13" s="7" t="s">
        <v>672</v>
      </c>
    </row>
    <row r="14" spans="1:10" x14ac:dyDescent="0.25">
      <c r="A14" s="5" t="s">
        <v>15</v>
      </c>
      <c r="B14" s="6" t="s">
        <v>673</v>
      </c>
      <c r="C14" s="5" t="s">
        <v>2</v>
      </c>
      <c r="D14" s="5"/>
      <c r="E14" s="5" t="s">
        <v>673</v>
      </c>
      <c r="F14" s="5" t="s">
        <v>17</v>
      </c>
      <c r="G14" s="5" t="s">
        <v>2</v>
      </c>
      <c r="H14" s="5" t="s">
        <v>2</v>
      </c>
      <c r="I14" s="5" t="s">
        <v>2</v>
      </c>
      <c r="J14" s="5" t="s">
        <v>674</v>
      </c>
    </row>
    <row r="15" spans="1:10" x14ac:dyDescent="0.25" outlineLevel="1" collapsed="1">
      <c r="A15" s="7" t="s">
        <v>15</v>
      </c>
      <c r="B15" s="7" t="s">
        <v>44</v>
      </c>
      <c r="C15" s="10" t="s">
        <v>675</v>
      </c>
      <c r="D15" s="7"/>
      <c r="E15" s="7" t="s">
        <v>676</v>
      </c>
      <c r="F15" s="7" t="s">
        <v>17</v>
      </c>
      <c r="G15" s="7" t="s">
        <v>677</v>
      </c>
      <c r="H15" s="7" t="s">
        <v>2</v>
      </c>
      <c r="I15" s="7" t="s">
        <v>2</v>
      </c>
      <c r="J15" s="7" t="s">
        <v>678</v>
      </c>
    </row>
    <row r="16" spans="1:10" x14ac:dyDescent="0.25" outlineLevel="1" collapsed="1">
      <c r="A16" s="8" t="s">
        <v>17</v>
      </c>
      <c r="B16" s="9" t="s">
        <v>679</v>
      </c>
      <c r="C16" s="8" t="s">
        <v>2</v>
      </c>
      <c r="D16" s="8">
        <f>EXACT(G15,"Option 1 - Default 2% deduction")</f>
      </c>
      <c r="E16" s="8" t="s">
        <v>680</v>
      </c>
      <c r="F16" s="8" t="s">
        <v>17</v>
      </c>
      <c r="G16" s="8" t="s">
        <v>2</v>
      </c>
      <c r="H16" s="8" t="s">
        <v>2</v>
      </c>
      <c r="I16" s="8" t="s">
        <v>2</v>
      </c>
      <c r="J16" s="8" t="s">
        <v>681</v>
      </c>
    </row>
    <row r="17" spans="1:10" x14ac:dyDescent="0.25" outlineLevel="2" collapsed="1">
      <c r="A17" s="7" t="s">
        <v>17</v>
      </c>
      <c r="B17" s="7" t="s">
        <v>53</v>
      </c>
      <c r="C17" s="7" t="s">
        <v>2</v>
      </c>
      <c r="D17" s="7" t="s">
        <v>506</v>
      </c>
      <c r="E17" s="7" t="s">
        <v>682</v>
      </c>
      <c r="F17" s="7" t="s">
        <v>17</v>
      </c>
      <c r="G17" s="7">
        <v>1</v>
      </c>
      <c r="H17" s="7" t="s">
        <v>2</v>
      </c>
      <c r="I17" s="7" t="s">
        <v>2</v>
      </c>
      <c r="J17" s="7" t="s">
        <v>683</v>
      </c>
    </row>
    <row r="18" spans="1:10" x14ac:dyDescent="0.25" outlineLevel="2" collapsed="1">
      <c r="A18" s="7" t="s">
        <v>17</v>
      </c>
      <c r="B18" s="7" t="s">
        <v>20</v>
      </c>
      <c r="C18" s="7" t="s">
        <v>2</v>
      </c>
      <c r="D18" s="7"/>
      <c r="E18" s="7" t="s">
        <v>519</v>
      </c>
      <c r="F18" s="7" t="s">
        <v>17</v>
      </c>
      <c r="G18" s="7" t="s">
        <v>22</v>
      </c>
      <c r="H18" s="7" t="s">
        <v>2</v>
      </c>
      <c r="I18" s="7" t="s">
        <v>2</v>
      </c>
      <c r="J18" s="7" t="s">
        <v>684</v>
      </c>
    </row>
    <row r="19" spans="1:10" x14ac:dyDescent="0.25" outlineLevel="1" collapsed="1">
      <c r="A19" s="8" t="s">
        <v>17</v>
      </c>
      <c r="B19" s="9" t="s">
        <v>685</v>
      </c>
      <c r="C19" s="8" t="s">
        <v>2</v>
      </c>
      <c r="D19" s="8">
        <f>EXACT(G15,"Option 3 - Detailed assessment")</f>
      </c>
      <c r="E19" s="8" t="s">
        <v>680</v>
      </c>
      <c r="F19" s="8" t="s">
        <v>17</v>
      </c>
      <c r="G19" s="8" t="s">
        <v>2</v>
      </c>
      <c r="H19" s="8" t="s">
        <v>2</v>
      </c>
      <c r="I19" s="8" t="s">
        <v>2</v>
      </c>
      <c r="J19" s="8" t="s">
        <v>686</v>
      </c>
    </row>
    <row r="20" spans="1:10" x14ac:dyDescent="0.25" outlineLevel="2" collapsed="1">
      <c r="A20" s="8" t="s">
        <v>15</v>
      </c>
      <c r="B20" s="9" t="s">
        <v>687</v>
      </c>
      <c r="C20" s="8" t="s">
        <v>2</v>
      </c>
      <c r="D20" s="8"/>
      <c r="E20" s="8" t="s">
        <v>688</v>
      </c>
      <c r="F20" s="8" t="s">
        <v>15</v>
      </c>
      <c r="G20" s="8" t="s">
        <v>2</v>
      </c>
      <c r="H20" s="8" t="s">
        <v>2</v>
      </c>
      <c r="I20" s="8" t="s">
        <v>2</v>
      </c>
      <c r="J20" s="8" t="s">
        <v>689</v>
      </c>
    </row>
    <row r="21" spans="1:10" x14ac:dyDescent="0.25" outlineLevel="3" collapsed="1">
      <c r="A21" s="7" t="s">
        <v>15</v>
      </c>
      <c r="B21" s="7" t="s">
        <v>20</v>
      </c>
      <c r="C21" s="7" t="s">
        <v>2</v>
      </c>
      <c r="D21" s="7"/>
      <c r="E21" s="7" t="s">
        <v>690</v>
      </c>
      <c r="F21" s="7" t="s">
        <v>17</v>
      </c>
      <c r="G21" s="7" t="s">
        <v>22</v>
      </c>
      <c r="H21" s="7" t="s">
        <v>2</v>
      </c>
      <c r="I21" s="7" t="s">
        <v>2</v>
      </c>
      <c r="J21" s="7" t="s">
        <v>691</v>
      </c>
    </row>
    <row r="22" spans="1:10" x14ac:dyDescent="0.25" outlineLevel="3" collapsed="1">
      <c r="A22" s="7" t="s">
        <v>15</v>
      </c>
      <c r="B22" s="7" t="s">
        <v>20</v>
      </c>
      <c r="C22" s="7" t="s">
        <v>2</v>
      </c>
      <c r="D22" s="7"/>
      <c r="E22" s="7" t="s">
        <v>692</v>
      </c>
      <c r="F22" s="7" t="s">
        <v>17</v>
      </c>
      <c r="G22" s="7" t="s">
        <v>22</v>
      </c>
      <c r="H22" s="7" t="s">
        <v>2</v>
      </c>
      <c r="I22" s="7" t="s">
        <v>2</v>
      </c>
      <c r="J22" s="7" t="s">
        <v>693</v>
      </c>
    </row>
    <row r="23" spans="1:10" x14ac:dyDescent="0.25" outlineLevel="3" collapsed="1">
      <c r="A23" s="7" t="s">
        <v>15</v>
      </c>
      <c r="B23" s="7" t="s">
        <v>125</v>
      </c>
      <c r="C23" s="7" t="s">
        <v>2</v>
      </c>
      <c r="D23" s="7"/>
      <c r="E23" s="7" t="s">
        <v>694</v>
      </c>
      <c r="F23" s="7" t="s">
        <v>17</v>
      </c>
      <c r="G23" s="7" t="s">
        <v>1694</v>
      </c>
      <c r="H23" s="7" t="s">
        <v>2</v>
      </c>
      <c r="I23" s="7" t="s">
        <v>2</v>
      </c>
      <c r="J23" s="7" t="s">
        <v>696</v>
      </c>
    </row>
    <row r="24" spans="1:10" x14ac:dyDescent="0.25" outlineLevel="3" collapsed="1">
      <c r="A24" s="7" t="s">
        <v>15</v>
      </c>
      <c r="B24" s="7" t="s">
        <v>47</v>
      </c>
      <c r="C24" s="7" t="s">
        <v>2</v>
      </c>
      <c r="D24" s="7"/>
      <c r="E24" s="7" t="s">
        <v>697</v>
      </c>
      <c r="F24" s="7" t="s">
        <v>17</v>
      </c>
      <c r="G24" s="7" t="b">
        <v>1</v>
      </c>
      <c r="H24" s="7" t="s">
        <v>2</v>
      </c>
      <c r="I24" s="7" t="s">
        <v>2</v>
      </c>
      <c r="J24" s="7" t="s">
        <v>698</v>
      </c>
    </row>
    <row r="25" spans="1:10" x14ac:dyDescent="0.25" outlineLevel="3" collapsed="1">
      <c r="A25" s="7" t="s">
        <v>17</v>
      </c>
      <c r="B25" s="7" t="s">
        <v>20</v>
      </c>
      <c r="C25" s="7" t="s">
        <v>2</v>
      </c>
      <c r="D25" s="7">
        <f>EXACT(G24,true)</f>
      </c>
      <c r="E25" s="7" t="s">
        <v>699</v>
      </c>
      <c r="F25" s="7" t="s">
        <v>17</v>
      </c>
      <c r="G25" s="7" t="s">
        <v>22</v>
      </c>
      <c r="H25" s="7" t="s">
        <v>2</v>
      </c>
      <c r="I25" s="7" t="s">
        <v>2</v>
      </c>
      <c r="J25" s="7" t="s">
        <v>700</v>
      </c>
    </row>
    <row r="26" spans="1:10" x14ac:dyDescent="0.25" outlineLevel="3" collapsed="1">
      <c r="A26" s="7" t="s">
        <v>17</v>
      </c>
      <c r="B26" s="7" t="s">
        <v>53</v>
      </c>
      <c r="C26" s="7" t="s">
        <v>2</v>
      </c>
      <c r="D26" s="7">
        <f>EXACT(G24,false)</f>
      </c>
      <c r="E26" s="7" t="s">
        <v>655</v>
      </c>
      <c r="F26" s="7" t="s">
        <v>17</v>
      </c>
      <c r="G26" s="7">
        <v>1</v>
      </c>
      <c r="H26" s="7" t="s">
        <v>2</v>
      </c>
      <c r="I26" s="7" t="s">
        <v>2</v>
      </c>
      <c r="J26" s="7" t="s">
        <v>656</v>
      </c>
    </row>
    <row r="27" spans="1:10" x14ac:dyDescent="0.25" outlineLevel="2" collapsed="1">
      <c r="A27" s="7" t="s">
        <v>17</v>
      </c>
      <c r="B27" s="7" t="s">
        <v>53</v>
      </c>
      <c r="C27" s="7" t="s">
        <v>2</v>
      </c>
      <c r="D27" s="7" t="s">
        <v>506</v>
      </c>
      <c r="E27" s="7" t="s">
        <v>701</v>
      </c>
      <c r="F27" s="7" t="s">
        <v>17</v>
      </c>
      <c r="G27" s="7">
        <v>1</v>
      </c>
      <c r="H27" s="7" t="s">
        <v>2</v>
      </c>
      <c r="I27" s="7" t="s">
        <v>2</v>
      </c>
      <c r="J27" s="7" t="s">
        <v>683</v>
      </c>
    </row>
    <row r="28" spans="1:10" x14ac:dyDescent="0.25">
      <c r="A28" s="5" t="s">
        <v>17</v>
      </c>
      <c r="B28" s="5" t="s">
        <v>53</v>
      </c>
      <c r="C28" s="5" t="s">
        <v>2</v>
      </c>
      <c r="D28" s="5" t="s">
        <v>506</v>
      </c>
      <c r="E28" s="5" t="s">
        <v>702</v>
      </c>
      <c r="F28" s="5" t="s">
        <v>17</v>
      </c>
      <c r="G28" s="5">
        <v>1</v>
      </c>
      <c r="H28" s="5" t="s">
        <v>2</v>
      </c>
      <c r="I28" s="5" t="s">
        <v>2</v>
      </c>
      <c r="J28" s="5" t="s">
        <v>656</v>
      </c>
    </row>
  </sheetData>
  <mergeCells count="3">
    <mergeCell ref="A1:J1"/>
    <mergeCell ref="B2:J2"/>
    <mergeCell ref="B3:J3"/>
  </mergeCells>
  <dataValidations count="2">
    <dataValidation type="list" allowBlank="1" sqref="G15:I15">
      <formula1>'Enums'!C2761:C2762</formula1>
    </dataValidation>
    <dataValidation type="list" allowBlank="1" sqref="G6:I6">
      <formula1>'Enums'!C2759:C2760</formula1>
    </dataValidation>
  </dataValidations>
  <hyperlinks>
    <hyperlink ref="B5" r:id="rId1" location="#'Embodied Emissions'!A1"/>
    <hyperlink ref="B7" r:id="rId2" location="#'Deductions for Embodied Emissi'!A1"/>
    <hyperlink ref="B14" r:id="rId3" location="#'Market and Behavioral Leakage'!A1"/>
    <hyperlink ref="B16" r:id="rId4" location="#'Option 1 – Default 2% deductio'!A1"/>
    <hyperlink ref="B19" r:id="rId5" location="#'Option 3 - Detailed assessment'!A1"/>
    <hyperlink ref="B20" r:id="rId6" location="#'Leakage Emission Source Detail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1695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356</v>
      </c>
      <c r="C5" s="5" t="s">
        <v>2</v>
      </c>
      <c r="D5" s="5"/>
      <c r="E5" s="5" t="s">
        <v>432</v>
      </c>
      <c r="F5" s="5" t="s">
        <v>17</v>
      </c>
      <c r="G5" s="5" t="s">
        <v>2</v>
      </c>
      <c r="H5" s="5" t="s">
        <v>2</v>
      </c>
      <c r="I5" s="5" t="s">
        <v>2</v>
      </c>
      <c r="J5" s="5" t="s">
        <v>433</v>
      </c>
    </row>
    <row r="6" spans="1:10" x14ac:dyDescent="0.25">
      <c r="A6" s="5" t="s">
        <v>15</v>
      </c>
      <c r="B6" s="6" t="s">
        <v>1076</v>
      </c>
      <c r="C6" s="5" t="s">
        <v>2</v>
      </c>
      <c r="D6" s="5"/>
      <c r="E6" s="5" t="s">
        <v>1073</v>
      </c>
      <c r="F6" s="5" t="s">
        <v>15</v>
      </c>
      <c r="G6" s="5" t="s">
        <v>2</v>
      </c>
      <c r="H6" s="5" t="s">
        <v>2</v>
      </c>
      <c r="I6" s="5" t="s">
        <v>2</v>
      </c>
      <c r="J6" s="5" t="s">
        <v>1077</v>
      </c>
    </row>
    <row r="7" spans="1:10" x14ac:dyDescent="0.25" outlineLevel="1" collapsed="1">
      <c r="A7" s="7" t="s">
        <v>15</v>
      </c>
      <c r="B7" s="7" t="s">
        <v>20</v>
      </c>
      <c r="C7" s="7" t="s">
        <v>2</v>
      </c>
      <c r="D7" s="7"/>
      <c r="E7" s="7" t="s">
        <v>1078</v>
      </c>
      <c r="F7" s="7" t="s">
        <v>17</v>
      </c>
      <c r="G7" s="7" t="s">
        <v>22</v>
      </c>
      <c r="H7" s="7" t="s">
        <v>2</v>
      </c>
      <c r="I7" s="7" t="s">
        <v>2</v>
      </c>
      <c r="J7" s="7" t="s">
        <v>1079</v>
      </c>
    </row>
    <row r="8" spans="1:10" x14ac:dyDescent="0.25" outlineLevel="1" collapsed="1">
      <c r="A8" s="7" t="s">
        <v>15</v>
      </c>
      <c r="B8" s="7" t="s">
        <v>133</v>
      </c>
      <c r="C8" s="7" t="s">
        <v>1065</v>
      </c>
      <c r="D8" s="7"/>
      <c r="E8" s="7" t="s">
        <v>1080</v>
      </c>
      <c r="F8" s="7" t="s">
        <v>17</v>
      </c>
      <c r="G8" s="7" t="s">
        <v>1696</v>
      </c>
      <c r="H8" s="7" t="s">
        <v>2</v>
      </c>
      <c r="I8" s="7" t="s">
        <v>2</v>
      </c>
      <c r="J8" s="7" t="s">
        <v>1082</v>
      </c>
    </row>
    <row r="9" spans="1:10" x14ac:dyDescent="0.25" outlineLevel="1" collapsed="1">
      <c r="A9" s="7" t="s">
        <v>15</v>
      </c>
      <c r="B9" s="7" t="s">
        <v>20</v>
      </c>
      <c r="C9" s="7" t="s">
        <v>2</v>
      </c>
      <c r="D9" s="7"/>
      <c r="E9" s="7" t="s">
        <v>1083</v>
      </c>
      <c r="F9" s="7" t="s">
        <v>17</v>
      </c>
      <c r="G9" s="7" t="s">
        <v>22</v>
      </c>
      <c r="H9" s="7" t="s">
        <v>2</v>
      </c>
      <c r="I9" s="7" t="s">
        <v>2</v>
      </c>
      <c r="J9" s="7" t="s">
        <v>1084</v>
      </c>
    </row>
  </sheetData>
  <mergeCells count="3">
    <mergeCell ref="A1:J1"/>
    <mergeCell ref="B2:J2"/>
    <mergeCell ref="B3:J3"/>
  </mergeCells>
  <hyperlinks>
    <hyperlink ref="B6" r:id="rId1" location="#'Baseline Treatment Method - I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1697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53</v>
      </c>
      <c r="C5" s="5" t="s">
        <v>2</v>
      </c>
      <c r="D5" s="5"/>
      <c r="E5" s="5" t="s">
        <v>1057</v>
      </c>
      <c r="F5" s="5" t="s">
        <v>17</v>
      </c>
      <c r="G5" s="5">
        <v>1</v>
      </c>
      <c r="H5" s="5" t="s">
        <v>2</v>
      </c>
      <c r="I5" s="5" t="s">
        <v>2</v>
      </c>
      <c r="J5" s="5" t="s">
        <v>1058</v>
      </c>
    </row>
    <row r="6" spans="1:10" x14ac:dyDescent="0.25">
      <c r="A6" s="5" t="s">
        <v>15</v>
      </c>
      <c r="B6" s="5" t="s">
        <v>53</v>
      </c>
      <c r="C6" s="5" t="s">
        <v>2</v>
      </c>
      <c r="D6" s="5"/>
      <c r="E6" s="5" t="s">
        <v>1059</v>
      </c>
      <c r="F6" s="5" t="s">
        <v>17</v>
      </c>
      <c r="G6" s="5">
        <v>1</v>
      </c>
      <c r="H6" s="5" t="s">
        <v>2</v>
      </c>
      <c r="I6" s="5" t="s">
        <v>2</v>
      </c>
      <c r="J6" s="5" t="s">
        <v>1060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1698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356</v>
      </c>
      <c r="C5" s="5" t="s">
        <v>2</v>
      </c>
      <c r="D5" s="5"/>
      <c r="E5" s="5" t="s">
        <v>432</v>
      </c>
      <c r="F5" s="5" t="s">
        <v>17</v>
      </c>
      <c r="G5" s="5" t="s">
        <v>2</v>
      </c>
      <c r="H5" s="5" t="s">
        <v>2</v>
      </c>
      <c r="I5" s="5" t="s">
        <v>2</v>
      </c>
      <c r="J5" s="5" t="s">
        <v>433</v>
      </c>
    </row>
    <row r="6" spans="1:10" x14ac:dyDescent="0.25">
      <c r="A6" s="5" t="s">
        <v>15</v>
      </c>
      <c r="B6" s="6" t="s">
        <v>1088</v>
      </c>
      <c r="C6" s="5" t="s">
        <v>2</v>
      </c>
      <c r="D6" s="5"/>
      <c r="E6" s="5" t="s">
        <v>1089</v>
      </c>
      <c r="F6" s="5" t="s">
        <v>15</v>
      </c>
      <c r="G6" s="5" t="s">
        <v>2</v>
      </c>
      <c r="H6" s="5" t="s">
        <v>2</v>
      </c>
      <c r="I6" s="5" t="s">
        <v>2</v>
      </c>
      <c r="J6" s="5" t="s">
        <v>1090</v>
      </c>
    </row>
    <row r="7" spans="1:10" x14ac:dyDescent="0.25" outlineLevel="1" collapsed="1">
      <c r="A7" s="7" t="s">
        <v>15</v>
      </c>
      <c r="B7" s="7" t="s">
        <v>133</v>
      </c>
      <c r="C7" s="7" t="s">
        <v>1091</v>
      </c>
      <c r="D7" s="7"/>
      <c r="E7" s="7" t="s">
        <v>502</v>
      </c>
      <c r="F7" s="7" t="s">
        <v>17</v>
      </c>
      <c r="G7" s="7" t="s">
        <v>1699</v>
      </c>
      <c r="H7" s="7" t="s">
        <v>2</v>
      </c>
      <c r="I7" s="7" t="s">
        <v>2</v>
      </c>
      <c r="J7" s="7" t="s">
        <v>503</v>
      </c>
    </row>
    <row r="8" spans="1:10" x14ac:dyDescent="0.25" outlineLevel="1" collapsed="1">
      <c r="A8" s="7" t="s">
        <v>15</v>
      </c>
      <c r="B8" s="7" t="s">
        <v>133</v>
      </c>
      <c r="C8" s="7" t="s">
        <v>1091</v>
      </c>
      <c r="D8" s="7"/>
      <c r="E8" s="7" t="s">
        <v>1093</v>
      </c>
      <c r="F8" s="7" t="s">
        <v>17</v>
      </c>
      <c r="G8" s="7" t="s">
        <v>1700</v>
      </c>
      <c r="H8" s="7" t="s">
        <v>2</v>
      </c>
      <c r="I8" s="7" t="s">
        <v>2</v>
      </c>
      <c r="J8" s="7" t="s">
        <v>1095</v>
      </c>
    </row>
    <row r="9" spans="1:10" x14ac:dyDescent="0.25" outlineLevel="1" collapsed="1">
      <c r="A9" s="7" t="s">
        <v>15</v>
      </c>
      <c r="B9" s="7" t="s">
        <v>133</v>
      </c>
      <c r="C9" s="7" t="s">
        <v>1065</v>
      </c>
      <c r="D9" s="7"/>
      <c r="E9" s="7" t="s">
        <v>1096</v>
      </c>
      <c r="F9" s="7" t="s">
        <v>17</v>
      </c>
      <c r="G9" s="7" t="s">
        <v>1701</v>
      </c>
      <c r="H9" s="7" t="s">
        <v>2</v>
      </c>
      <c r="I9" s="7" t="s">
        <v>2</v>
      </c>
      <c r="J9" s="7" t="s">
        <v>1098</v>
      </c>
    </row>
    <row r="10" spans="1:10" x14ac:dyDescent="0.25" outlineLevel="1" collapsed="1">
      <c r="A10" s="7" t="s">
        <v>15</v>
      </c>
      <c r="B10" s="7" t="s">
        <v>133</v>
      </c>
      <c r="C10" s="7" t="s">
        <v>1065</v>
      </c>
      <c r="D10" s="7"/>
      <c r="E10" s="7" t="s">
        <v>1099</v>
      </c>
      <c r="F10" s="7" t="s">
        <v>17</v>
      </c>
      <c r="G10" s="7" t="s">
        <v>1702</v>
      </c>
      <c r="H10" s="7" t="s">
        <v>2</v>
      </c>
      <c r="I10" s="7" t="s">
        <v>2</v>
      </c>
      <c r="J10" s="7" t="s">
        <v>1101</v>
      </c>
    </row>
  </sheetData>
  <mergeCells count="3">
    <mergeCell ref="A1:J1"/>
    <mergeCell ref="B2:J2"/>
    <mergeCell ref="B3:J3"/>
  </mergeCells>
  <hyperlinks>
    <hyperlink ref="B6" r:id="rId1" location="#'Stove Details - Item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711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125</v>
      </c>
      <c r="C5" s="5" t="s">
        <v>2</v>
      </c>
      <c r="D5" s="5"/>
      <c r="E5" s="5" t="s">
        <v>715</v>
      </c>
      <c r="F5" s="5" t="s">
        <v>17</v>
      </c>
      <c r="G5" s="5" t="s">
        <v>1703</v>
      </c>
      <c r="H5" s="5" t="s">
        <v>2</v>
      </c>
      <c r="I5" s="5" t="s">
        <v>2</v>
      </c>
      <c r="J5" s="5" t="s">
        <v>717</v>
      </c>
    </row>
    <row r="6" spans="1:10" x14ac:dyDescent="0.25">
      <c r="A6" s="5" t="s">
        <v>17</v>
      </c>
      <c r="B6" s="6" t="s">
        <v>712</v>
      </c>
      <c r="C6" s="5" t="s">
        <v>2</v>
      </c>
      <c r="D6" s="5"/>
      <c r="E6" s="5" t="s">
        <v>718</v>
      </c>
      <c r="F6" s="5" t="s">
        <v>15</v>
      </c>
      <c r="G6" s="5" t="s">
        <v>2</v>
      </c>
      <c r="H6" s="5" t="s">
        <v>2</v>
      </c>
      <c r="I6" s="5" t="s">
        <v>2</v>
      </c>
      <c r="J6" s="5" t="s">
        <v>719</v>
      </c>
    </row>
    <row r="7" spans="1:10" x14ac:dyDescent="0.25" outlineLevel="1" collapsed="1">
      <c r="A7" s="7" t="s">
        <v>15</v>
      </c>
      <c r="B7" s="7" t="s">
        <v>44</v>
      </c>
      <c r="C7" s="10" t="s">
        <v>720</v>
      </c>
      <c r="D7" s="7"/>
      <c r="E7" s="7" t="s">
        <v>721</v>
      </c>
      <c r="F7" s="7" t="s">
        <v>17</v>
      </c>
      <c r="G7" s="7" t="s">
        <v>722</v>
      </c>
      <c r="H7" s="7" t="s">
        <v>2</v>
      </c>
      <c r="I7" s="7" t="s">
        <v>2</v>
      </c>
      <c r="J7" s="7" t="s">
        <v>723</v>
      </c>
    </row>
    <row r="8" spans="1:10" x14ac:dyDescent="0.25" outlineLevel="1" collapsed="1">
      <c r="A8" s="7" t="s">
        <v>15</v>
      </c>
      <c r="B8" s="7" t="s">
        <v>125</v>
      </c>
      <c r="C8" s="7" t="s">
        <v>2</v>
      </c>
      <c r="D8" s="7"/>
      <c r="E8" s="7" t="s">
        <v>724</v>
      </c>
      <c r="F8" s="7" t="s">
        <v>17</v>
      </c>
      <c r="G8" s="7" t="s">
        <v>1704</v>
      </c>
      <c r="H8" s="7" t="s">
        <v>2</v>
      </c>
      <c r="I8" s="7" t="s">
        <v>2</v>
      </c>
      <c r="J8" s="7" t="s">
        <v>726</v>
      </c>
    </row>
  </sheetData>
  <mergeCells count="3">
    <mergeCell ref="A1:J1"/>
    <mergeCell ref="B2:J2"/>
    <mergeCell ref="B3:J3"/>
  </mergeCells>
  <dataValidations count="1">
    <dataValidation type="list" allowBlank="1" sqref="G7:I7">
      <formula1>'Enums'!C2763:C2778</formula1>
    </dataValidation>
  </dataValidations>
  <hyperlinks>
    <hyperlink ref="B6" r:id="rId1" location="#'SDG Co-Benefi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1705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1337</v>
      </c>
      <c r="C5" s="5" t="s">
        <v>2</v>
      </c>
      <c r="D5" s="5"/>
      <c r="E5" s="5" t="s">
        <v>1338</v>
      </c>
      <c r="F5" s="5" t="s">
        <v>15</v>
      </c>
      <c r="G5" s="5" t="s">
        <v>2</v>
      </c>
      <c r="H5" s="5" t="s">
        <v>2</v>
      </c>
      <c r="I5" s="5" t="s">
        <v>2</v>
      </c>
      <c r="J5" s="5" t="s">
        <v>1339</v>
      </c>
    </row>
    <row r="6" spans="1:10" x14ac:dyDescent="0.25" outlineLevel="1" collapsed="1">
      <c r="A6" s="7" t="s">
        <v>15</v>
      </c>
      <c r="B6" s="7" t="s">
        <v>20</v>
      </c>
      <c r="C6" s="7" t="s">
        <v>2</v>
      </c>
      <c r="D6" s="7"/>
      <c r="E6" s="7" t="s">
        <v>1338</v>
      </c>
      <c r="F6" s="7" t="s">
        <v>17</v>
      </c>
      <c r="G6" s="7" t="s">
        <v>22</v>
      </c>
      <c r="H6" s="7" t="s">
        <v>2</v>
      </c>
      <c r="I6" s="7" t="s">
        <v>2</v>
      </c>
      <c r="J6" s="7" t="s">
        <v>1340</v>
      </c>
    </row>
    <row r="7" spans="1:10" x14ac:dyDescent="0.25" outlineLevel="1" collapsed="1">
      <c r="A7" s="7" t="s">
        <v>15</v>
      </c>
      <c r="B7" s="7" t="s">
        <v>20</v>
      </c>
      <c r="C7" s="7" t="s">
        <v>2</v>
      </c>
      <c r="D7" s="7"/>
      <c r="E7" s="7" t="s">
        <v>1141</v>
      </c>
      <c r="F7" s="7" t="s">
        <v>17</v>
      </c>
      <c r="G7" s="7" t="s">
        <v>22</v>
      </c>
      <c r="H7" s="7" t="s">
        <v>2</v>
      </c>
      <c r="I7" s="7" t="s">
        <v>2</v>
      </c>
      <c r="J7" s="7" t="s">
        <v>1142</v>
      </c>
    </row>
    <row r="8" spans="1:10" x14ac:dyDescent="0.25" outlineLevel="1" collapsed="1">
      <c r="A8" s="7" t="s">
        <v>15</v>
      </c>
      <c r="B8" s="7" t="s">
        <v>20</v>
      </c>
      <c r="C8" s="7" t="s">
        <v>2</v>
      </c>
      <c r="D8" s="7"/>
      <c r="E8" s="7" t="s">
        <v>9</v>
      </c>
      <c r="F8" s="7" t="s">
        <v>17</v>
      </c>
      <c r="G8" s="7" t="s">
        <v>22</v>
      </c>
      <c r="H8" s="7" t="s">
        <v>2</v>
      </c>
      <c r="I8" s="7" t="s">
        <v>2</v>
      </c>
      <c r="J8" s="7" t="s">
        <v>1143</v>
      </c>
    </row>
    <row r="9" spans="1:10" x14ac:dyDescent="0.25" outlineLevel="1" collapsed="1">
      <c r="A9" s="7" t="s">
        <v>15</v>
      </c>
      <c r="B9" s="7" t="s">
        <v>20</v>
      </c>
      <c r="C9" s="7" t="s">
        <v>2</v>
      </c>
      <c r="D9" s="7"/>
      <c r="E9" s="7" t="s">
        <v>1144</v>
      </c>
      <c r="F9" s="7" t="s">
        <v>17</v>
      </c>
      <c r="G9" s="7" t="s">
        <v>22</v>
      </c>
      <c r="H9" s="7" t="s">
        <v>2</v>
      </c>
      <c r="I9" s="7" t="s">
        <v>2</v>
      </c>
      <c r="J9" s="7" t="s">
        <v>1145</v>
      </c>
    </row>
    <row r="10" spans="1:10" x14ac:dyDescent="0.25" outlineLevel="1" collapsed="1">
      <c r="A10" s="7" t="s">
        <v>15</v>
      </c>
      <c r="B10" s="7" t="s">
        <v>20</v>
      </c>
      <c r="C10" s="7" t="s">
        <v>2</v>
      </c>
      <c r="D10" s="7"/>
      <c r="E10" s="7" t="s">
        <v>1341</v>
      </c>
      <c r="F10" s="7" t="s">
        <v>17</v>
      </c>
      <c r="G10" s="7" t="s">
        <v>22</v>
      </c>
      <c r="H10" s="7" t="s">
        <v>2</v>
      </c>
      <c r="I10" s="7" t="s">
        <v>2</v>
      </c>
      <c r="J10" s="7" t="s">
        <v>1342</v>
      </c>
    </row>
    <row r="11" spans="1:10" x14ac:dyDescent="0.25" outlineLevel="1" collapsed="1">
      <c r="A11" s="7" t="s">
        <v>15</v>
      </c>
      <c r="B11" s="7" t="s">
        <v>20</v>
      </c>
      <c r="C11" s="7" t="s">
        <v>2</v>
      </c>
      <c r="D11" s="7"/>
      <c r="E11" s="7" t="s">
        <v>1343</v>
      </c>
      <c r="F11" s="7" t="s">
        <v>17</v>
      </c>
      <c r="G11" s="7" t="s">
        <v>22</v>
      </c>
      <c r="H11" s="7" t="s">
        <v>2</v>
      </c>
      <c r="I11" s="7" t="s">
        <v>2</v>
      </c>
      <c r="J11" s="7" t="s">
        <v>1344</v>
      </c>
    </row>
    <row r="12" spans="1:10" x14ac:dyDescent="0.25" outlineLevel="1" collapsed="1">
      <c r="A12" s="7" t="s">
        <v>15</v>
      </c>
      <c r="B12" s="7" t="s">
        <v>20</v>
      </c>
      <c r="C12" s="7" t="s">
        <v>2</v>
      </c>
      <c r="D12" s="7"/>
      <c r="E12" s="7" t="s">
        <v>1345</v>
      </c>
      <c r="F12" s="7" t="s">
        <v>17</v>
      </c>
      <c r="G12" s="7" t="s">
        <v>22</v>
      </c>
      <c r="H12" s="7" t="s">
        <v>2</v>
      </c>
      <c r="I12" s="7" t="s">
        <v>2</v>
      </c>
      <c r="J12" s="7" t="s">
        <v>1346</v>
      </c>
    </row>
    <row r="13" spans="1:10" x14ac:dyDescent="0.25" outlineLevel="1" collapsed="1">
      <c r="A13" s="7" t="s">
        <v>15</v>
      </c>
      <c r="B13" s="7" t="s">
        <v>20</v>
      </c>
      <c r="C13" s="7" t="s">
        <v>2</v>
      </c>
      <c r="D13" s="7"/>
      <c r="E13" s="7" t="s">
        <v>1150</v>
      </c>
      <c r="F13" s="7" t="s">
        <v>17</v>
      </c>
      <c r="G13" s="7" t="s">
        <v>22</v>
      </c>
      <c r="H13" s="7" t="s">
        <v>2</v>
      </c>
      <c r="I13" s="7" t="s">
        <v>2</v>
      </c>
      <c r="J13" s="7" t="s">
        <v>1151</v>
      </c>
    </row>
    <row r="14" spans="1:10" x14ac:dyDescent="0.25" outlineLevel="1" collapsed="1">
      <c r="A14" s="7" t="s">
        <v>15</v>
      </c>
      <c r="B14" s="7" t="s">
        <v>20</v>
      </c>
      <c r="C14" s="7" t="s">
        <v>2</v>
      </c>
      <c r="D14" s="7"/>
      <c r="E14" s="7" t="s">
        <v>1152</v>
      </c>
      <c r="F14" s="7" t="s">
        <v>17</v>
      </c>
      <c r="G14" s="7" t="s">
        <v>22</v>
      </c>
      <c r="H14" s="7" t="s">
        <v>2</v>
      </c>
      <c r="I14" s="7" t="s">
        <v>2</v>
      </c>
      <c r="J14" s="7" t="s">
        <v>1153</v>
      </c>
    </row>
    <row r="15" spans="1:10" x14ac:dyDescent="0.25">
      <c r="A15" s="5" t="s">
        <v>15</v>
      </c>
      <c r="B15" s="5" t="s">
        <v>125</v>
      </c>
      <c r="C15" s="5" t="s">
        <v>2</v>
      </c>
      <c r="D15" s="5"/>
      <c r="E15" s="5" t="s">
        <v>1347</v>
      </c>
      <c r="F15" s="5" t="s">
        <v>17</v>
      </c>
      <c r="G15" s="5" t="s">
        <v>1706</v>
      </c>
      <c r="H15" s="5" t="s">
        <v>2</v>
      </c>
      <c r="I15" s="5" t="s">
        <v>2</v>
      </c>
      <c r="J15" s="5" t="s">
        <v>1349</v>
      </c>
    </row>
    <row r="16" spans="1:10" x14ac:dyDescent="0.25">
      <c r="A16" s="5" t="s">
        <v>17</v>
      </c>
      <c r="B16" s="5" t="s">
        <v>125</v>
      </c>
      <c r="C16" s="5" t="s">
        <v>2</v>
      </c>
      <c r="D16" s="5"/>
      <c r="E16" s="5" t="s">
        <v>1350</v>
      </c>
      <c r="F16" s="5" t="s">
        <v>17</v>
      </c>
      <c r="G16" s="5" t="s">
        <v>1707</v>
      </c>
      <c r="H16" s="5" t="s">
        <v>2</v>
      </c>
      <c r="I16" s="5" t="s">
        <v>2</v>
      </c>
      <c r="J16" s="5" t="s">
        <v>1352</v>
      </c>
    </row>
  </sheetData>
  <mergeCells count="3">
    <mergeCell ref="A1:J1"/>
    <mergeCell ref="B2:J2"/>
    <mergeCell ref="B3:J3"/>
  </mergeCells>
  <hyperlinks>
    <hyperlink ref="B5" r:id="rId1" location="#'Monitoring Parameter - Item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26</v>
      </c>
      <c r="C5" s="5" t="s">
        <v>2</v>
      </c>
      <c r="D5" s="5"/>
      <c r="E5" s="5" t="s">
        <v>36</v>
      </c>
      <c r="F5" s="5" t="s">
        <v>17</v>
      </c>
      <c r="G5" s="5" t="s">
        <v>37</v>
      </c>
      <c r="H5" s="5" t="s">
        <v>2</v>
      </c>
      <c r="I5" s="5" t="s">
        <v>2</v>
      </c>
      <c r="J5" s="5" t="s">
        <v>38</v>
      </c>
    </row>
    <row r="6" spans="1:10" x14ac:dyDescent="0.25">
      <c r="A6" s="5" t="s">
        <v>15</v>
      </c>
      <c r="B6" s="5" t="s">
        <v>26</v>
      </c>
      <c r="C6" s="5" t="s">
        <v>2</v>
      </c>
      <c r="D6" s="5"/>
      <c r="E6" s="5" t="s">
        <v>39</v>
      </c>
      <c r="F6" s="5" t="s">
        <v>17</v>
      </c>
      <c r="G6" s="5" t="s">
        <v>37</v>
      </c>
      <c r="H6" s="5" t="s">
        <v>2</v>
      </c>
      <c r="I6" s="5" t="s">
        <v>2</v>
      </c>
      <c r="J6" s="5" t="s">
        <v>40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1460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34</v>
      </c>
      <c r="C5" s="5" t="s">
        <v>2</v>
      </c>
      <c r="D5" s="5"/>
      <c r="E5" s="5" t="s">
        <v>32</v>
      </c>
      <c r="F5" s="5" t="s">
        <v>17</v>
      </c>
      <c r="G5" s="5" t="s">
        <v>2</v>
      </c>
      <c r="H5" s="5" t="s">
        <v>2</v>
      </c>
      <c r="I5" s="5" t="s">
        <v>2</v>
      </c>
      <c r="J5" s="5" t="s">
        <v>35</v>
      </c>
    </row>
    <row r="6" spans="1:10" x14ac:dyDescent="0.25" outlineLevel="1" collapsed="1">
      <c r="A6" s="7" t="s">
        <v>15</v>
      </c>
      <c r="B6" s="7" t="s">
        <v>26</v>
      </c>
      <c r="C6" s="7" t="s">
        <v>2</v>
      </c>
      <c r="D6" s="7"/>
      <c r="E6" s="7" t="s">
        <v>36</v>
      </c>
      <c r="F6" s="7" t="s">
        <v>17</v>
      </c>
      <c r="G6" s="7" t="s">
        <v>37</v>
      </c>
      <c r="H6" s="7" t="s">
        <v>2</v>
      </c>
      <c r="I6" s="7" t="s">
        <v>2</v>
      </c>
      <c r="J6" s="7" t="s">
        <v>38</v>
      </c>
    </row>
    <row r="7" spans="1:10" x14ac:dyDescent="0.25" outlineLevel="1" collapsed="1">
      <c r="A7" s="7" t="s">
        <v>15</v>
      </c>
      <c r="B7" s="7" t="s">
        <v>26</v>
      </c>
      <c r="C7" s="7" t="s">
        <v>2</v>
      </c>
      <c r="D7" s="7"/>
      <c r="E7" s="7" t="s">
        <v>39</v>
      </c>
      <c r="F7" s="7" t="s">
        <v>17</v>
      </c>
      <c r="G7" s="7" t="s">
        <v>37</v>
      </c>
      <c r="H7" s="7" t="s">
        <v>2</v>
      </c>
      <c r="I7" s="7" t="s">
        <v>2</v>
      </c>
      <c r="J7" s="7" t="s">
        <v>40</v>
      </c>
    </row>
  </sheetData>
  <mergeCells count="3">
    <mergeCell ref="A1:J1"/>
    <mergeCell ref="B2:J2"/>
    <mergeCell ref="B3:J3"/>
  </mergeCells>
  <hyperlinks>
    <hyperlink ref="B5" r:id="rId1" location="#'Duration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2778"/>
  <sheetFormatPr defaultRowHeight="15" outlineLevelRow="0" outlineLevelCol="0" x14ac:dyDescent="55"/>
  <cols>
    <col min="1" max="1" width="30" customWidth="1"/>
    <col min="2" max="2" width="20" customWidth="1"/>
    <col min="3" max="3" width="30" customWidth="1"/>
  </cols>
  <sheetData>
    <row r="1" spans="1:3" x14ac:dyDescent="0.25">
      <c r="A1" s="14" t="s">
        <v>1708</v>
      </c>
      <c r="B1" s="14" t="s">
        <v>1709</v>
      </c>
      <c r="C1" s="14" t="s">
        <v>1710</v>
      </c>
    </row>
    <row r="2" spans="1:3" x14ac:dyDescent="0.25">
      <c r="A2" s="15" t="s">
        <v>41</v>
      </c>
      <c r="B2" s="15" t="s">
        <v>17</v>
      </c>
      <c r="C2" s="15" t="s">
        <v>1711</v>
      </c>
    </row>
    <row r="3" spans="3:3" x14ac:dyDescent="0.25">
      <c r="C3" s="15" t="s">
        <v>1712</v>
      </c>
    </row>
    <row r="4" spans="3:3" x14ac:dyDescent="0.25">
      <c r="C4" s="15" t="s">
        <v>1713</v>
      </c>
    </row>
    <row r="5" spans="1:3" x14ac:dyDescent="0.25">
      <c r="A5" s="15" t="s">
        <v>139</v>
      </c>
      <c r="B5" s="15" t="s">
        <v>17</v>
      </c>
      <c r="C5" s="15" t="s">
        <v>140</v>
      </c>
    </row>
    <row r="6" spans="3:3" x14ac:dyDescent="0.25">
      <c r="C6" s="15" t="s">
        <v>1714</v>
      </c>
    </row>
    <row r="7" spans="3:3" x14ac:dyDescent="0.25">
      <c r="C7" s="15" t="s">
        <v>1715</v>
      </c>
    </row>
    <row r="8" spans="3:3" x14ac:dyDescent="0.25">
      <c r="C8" s="15" t="s">
        <v>1716</v>
      </c>
    </row>
    <row r="9" spans="3:3" x14ac:dyDescent="0.25">
      <c r="C9" s="15" t="s">
        <v>1717</v>
      </c>
    </row>
    <row r="10" spans="1:3" x14ac:dyDescent="0.25">
      <c r="A10" s="15" t="s">
        <v>231</v>
      </c>
      <c r="B10" s="15" t="s">
        <v>17</v>
      </c>
      <c r="C10" s="15" t="s">
        <v>234</v>
      </c>
    </row>
    <row r="11" spans="3:3" x14ac:dyDescent="0.25">
      <c r="C11" s="15" t="s">
        <v>1718</v>
      </c>
    </row>
    <row r="12" spans="1:3" x14ac:dyDescent="0.25">
      <c r="A12" s="15" t="s">
        <v>235</v>
      </c>
      <c r="B12" s="15" t="s">
        <v>17</v>
      </c>
      <c r="C12" s="15" t="s">
        <v>238</v>
      </c>
    </row>
    <row r="13" spans="3:3" x14ac:dyDescent="0.25">
      <c r="C13" s="15" t="s">
        <v>1719</v>
      </c>
    </row>
    <row r="14" spans="3:3" x14ac:dyDescent="0.25">
      <c r="C14" s="15" t="s">
        <v>1720</v>
      </c>
    </row>
    <row r="15" spans="3:3" x14ac:dyDescent="0.25">
      <c r="C15" s="15" t="s">
        <v>1721</v>
      </c>
    </row>
    <row r="16" spans="3:3" x14ac:dyDescent="0.25">
      <c r="C16" s="15" t="s">
        <v>1722</v>
      </c>
    </row>
    <row r="17" spans="3:3" x14ac:dyDescent="0.25">
      <c r="C17" s="15" t="s">
        <v>1723</v>
      </c>
    </row>
    <row r="18" spans="3:3" x14ac:dyDescent="0.25">
      <c r="C18" s="15" t="s">
        <v>1724</v>
      </c>
    </row>
    <row r="19" spans="1:3" x14ac:dyDescent="0.25">
      <c r="A19" s="15" t="s">
        <v>1725</v>
      </c>
      <c r="B19" s="15" t="s">
        <v>17</v>
      </c>
      <c r="C19" s="15" t="s">
        <v>245</v>
      </c>
    </row>
    <row r="20" spans="3:3" x14ac:dyDescent="0.25">
      <c r="C20" s="15" t="s">
        <v>1726</v>
      </c>
    </row>
    <row r="21" spans="3:3" x14ac:dyDescent="0.25">
      <c r="C21" s="15" t="s">
        <v>1727</v>
      </c>
    </row>
    <row r="22" spans="3:3" x14ac:dyDescent="0.25">
      <c r="C22" s="15" t="s">
        <v>1724</v>
      </c>
    </row>
    <row r="23" spans="1:3" x14ac:dyDescent="0.25">
      <c r="A23" s="15" t="s">
        <v>250</v>
      </c>
      <c r="B23" s="15" t="s">
        <v>17</v>
      </c>
      <c r="C23" s="15" t="s">
        <v>251</v>
      </c>
    </row>
    <row r="24" spans="3:3" x14ac:dyDescent="0.25">
      <c r="C24" s="15" t="s">
        <v>1728</v>
      </c>
    </row>
    <row r="25" spans="1:3" x14ac:dyDescent="0.25">
      <c r="A25" s="15" t="s">
        <v>337</v>
      </c>
      <c r="B25" s="15" t="s">
        <v>17</v>
      </c>
      <c r="C25" s="15" t="s">
        <v>1729</v>
      </c>
    </row>
    <row r="26" spans="3:3" x14ac:dyDescent="0.25">
      <c r="C26" s="15" t="s">
        <v>1730</v>
      </c>
    </row>
    <row r="27" spans="3:3" x14ac:dyDescent="0.25">
      <c r="C27" s="15" t="s">
        <v>1731</v>
      </c>
    </row>
    <row r="28" spans="3:3" x14ac:dyDescent="0.25">
      <c r="C28" s="15" t="s">
        <v>1732</v>
      </c>
    </row>
    <row r="29" spans="3:3" x14ac:dyDescent="0.25">
      <c r="C29" s="15" t="s">
        <v>1733</v>
      </c>
    </row>
    <row r="30" spans="3:3" x14ac:dyDescent="0.25">
      <c r="C30" s="15" t="s">
        <v>1734</v>
      </c>
    </row>
    <row r="31" spans="3:3" x14ac:dyDescent="0.25">
      <c r="C31" s="15" t="s">
        <v>1735</v>
      </c>
    </row>
    <row r="32" spans="3:3" x14ac:dyDescent="0.25">
      <c r="C32" s="15" t="s">
        <v>1736</v>
      </c>
    </row>
    <row r="33" spans="3:3" x14ac:dyDescent="0.25">
      <c r="C33" s="15" t="s">
        <v>1737</v>
      </c>
    </row>
    <row r="34" spans="3:3" x14ac:dyDescent="0.25">
      <c r="C34" s="15" t="s">
        <v>1738</v>
      </c>
    </row>
    <row r="35" spans="3:3" x14ac:dyDescent="0.25">
      <c r="C35" s="15" t="s">
        <v>1739</v>
      </c>
    </row>
    <row r="36" spans="3:3" x14ac:dyDescent="0.25">
      <c r="C36" s="15" t="s">
        <v>1740</v>
      </c>
    </row>
    <row r="37" spans="3:3" x14ac:dyDescent="0.25">
      <c r="C37" s="15" t="s">
        <v>1741</v>
      </c>
    </row>
    <row r="38" spans="3:3" x14ac:dyDescent="0.25">
      <c r="C38" s="15" t="s">
        <v>1742</v>
      </c>
    </row>
    <row r="39" spans="3:3" x14ac:dyDescent="0.25">
      <c r="C39" s="15" t="s">
        <v>1743</v>
      </c>
    </row>
    <row r="40" spans="3:3" x14ac:dyDescent="0.25">
      <c r="C40" s="15" t="s">
        <v>1744</v>
      </c>
    </row>
    <row r="41" spans="3:3" x14ac:dyDescent="0.25">
      <c r="C41" s="15" t="s">
        <v>1745</v>
      </c>
    </row>
    <row r="42" spans="3:3" x14ac:dyDescent="0.25">
      <c r="C42" s="15" t="s">
        <v>1746</v>
      </c>
    </row>
    <row r="43" spans="3:3" x14ac:dyDescent="0.25">
      <c r="C43" s="15" t="s">
        <v>1747</v>
      </c>
    </row>
    <row r="44" spans="3:3" x14ac:dyDescent="0.25">
      <c r="C44" s="15" t="s">
        <v>1748</v>
      </c>
    </row>
    <row r="45" spans="3:3" x14ac:dyDescent="0.25">
      <c r="C45" s="15" t="s">
        <v>1749</v>
      </c>
    </row>
    <row r="46" spans="3:3" x14ac:dyDescent="0.25">
      <c r="C46" s="15" t="s">
        <v>1750</v>
      </c>
    </row>
    <row r="47" spans="3:3" x14ac:dyDescent="0.25">
      <c r="C47" s="15" t="s">
        <v>1751</v>
      </c>
    </row>
    <row r="48" spans="3:3" x14ac:dyDescent="0.25">
      <c r="C48" s="15" t="s">
        <v>1752</v>
      </c>
    </row>
    <row r="49" spans="3:3" x14ac:dyDescent="0.25">
      <c r="C49" s="15" t="s">
        <v>1753</v>
      </c>
    </row>
    <row r="50" spans="3:3" x14ac:dyDescent="0.25">
      <c r="C50" s="15" t="s">
        <v>1754</v>
      </c>
    </row>
    <row r="51" spans="3:3" x14ac:dyDescent="0.25">
      <c r="C51" s="15" t="s">
        <v>1755</v>
      </c>
    </row>
    <row r="52" spans="3:3" x14ac:dyDescent="0.25">
      <c r="C52" s="15" t="s">
        <v>1756</v>
      </c>
    </row>
    <row r="53" spans="3:3" x14ac:dyDescent="0.25">
      <c r="C53" s="15" t="s">
        <v>1757</v>
      </c>
    </row>
    <row r="54" spans="3:3" x14ac:dyDescent="0.25">
      <c r="C54" s="15" t="s">
        <v>1758</v>
      </c>
    </row>
    <row r="55" spans="3:3" x14ac:dyDescent="0.25">
      <c r="C55" s="15" t="s">
        <v>1759</v>
      </c>
    </row>
    <row r="56" spans="3:3" x14ac:dyDescent="0.25">
      <c r="C56" s="15" t="s">
        <v>1760</v>
      </c>
    </row>
    <row r="57" spans="3:3" x14ac:dyDescent="0.25">
      <c r="C57" s="15" t="s">
        <v>1761</v>
      </c>
    </row>
    <row r="58" spans="3:3" x14ac:dyDescent="0.25">
      <c r="C58" s="15" t="s">
        <v>1762</v>
      </c>
    </row>
    <row r="59" spans="3:3" x14ac:dyDescent="0.25">
      <c r="C59" s="15" t="s">
        <v>1763</v>
      </c>
    </row>
    <row r="60" spans="3:3" x14ac:dyDescent="0.25">
      <c r="C60" s="15" t="s">
        <v>1764</v>
      </c>
    </row>
    <row r="61" spans="3:3" x14ac:dyDescent="0.25">
      <c r="C61" s="15" t="s">
        <v>1765</v>
      </c>
    </row>
    <row r="62" spans="3:3" x14ac:dyDescent="0.25">
      <c r="C62" s="15" t="s">
        <v>1766</v>
      </c>
    </row>
    <row r="63" spans="3:3" x14ac:dyDescent="0.25">
      <c r="C63" s="15" t="s">
        <v>1767</v>
      </c>
    </row>
    <row r="64" spans="3:3" x14ac:dyDescent="0.25">
      <c r="C64" s="15" t="s">
        <v>1768</v>
      </c>
    </row>
    <row r="65" spans="3:3" x14ac:dyDescent="0.25">
      <c r="C65" s="15" t="s">
        <v>1769</v>
      </c>
    </row>
    <row r="66" spans="3:3" x14ac:dyDescent="0.25">
      <c r="C66" s="15" t="s">
        <v>1770</v>
      </c>
    </row>
    <row r="67" spans="3:3" x14ac:dyDescent="0.25">
      <c r="C67" s="15" t="s">
        <v>1771</v>
      </c>
    </row>
    <row r="68" spans="3:3" x14ac:dyDescent="0.25">
      <c r="C68" s="15" t="s">
        <v>1772</v>
      </c>
    </row>
    <row r="69" spans="3:3" x14ac:dyDescent="0.25">
      <c r="C69" s="15" t="s">
        <v>1773</v>
      </c>
    </row>
    <row r="70" spans="3:3" x14ac:dyDescent="0.25">
      <c r="C70" s="15" t="s">
        <v>1774</v>
      </c>
    </row>
    <row r="71" spans="3:3" x14ac:dyDescent="0.25">
      <c r="C71" s="15" t="s">
        <v>1775</v>
      </c>
    </row>
    <row r="72" spans="3:3" x14ac:dyDescent="0.25">
      <c r="C72" s="15" t="s">
        <v>1776</v>
      </c>
    </row>
    <row r="73" spans="3:3" x14ac:dyDescent="0.25">
      <c r="C73" s="15" t="s">
        <v>1777</v>
      </c>
    </row>
    <row r="74" spans="3:3" x14ac:dyDescent="0.25">
      <c r="C74" s="15" t="s">
        <v>1778</v>
      </c>
    </row>
    <row r="75" spans="3:3" x14ac:dyDescent="0.25">
      <c r="C75" s="15" t="s">
        <v>1779</v>
      </c>
    </row>
    <row r="76" spans="3:3" x14ac:dyDescent="0.25">
      <c r="C76" s="15" t="s">
        <v>1780</v>
      </c>
    </row>
    <row r="77" spans="3:3" x14ac:dyDescent="0.25">
      <c r="C77" s="15" t="s">
        <v>1781</v>
      </c>
    </row>
    <row r="78" spans="3:3" x14ac:dyDescent="0.25">
      <c r="C78" s="15" t="s">
        <v>1782</v>
      </c>
    </row>
    <row r="79" spans="3:3" x14ac:dyDescent="0.25">
      <c r="C79" s="15" t="s">
        <v>1783</v>
      </c>
    </row>
    <row r="80" spans="3:3" x14ac:dyDescent="0.25">
      <c r="C80" s="15" t="s">
        <v>1784</v>
      </c>
    </row>
    <row r="81" spans="3:3" x14ac:dyDescent="0.25">
      <c r="C81" s="15" t="s">
        <v>1785</v>
      </c>
    </row>
    <row r="82" spans="3:3" x14ac:dyDescent="0.25">
      <c r="C82" s="15" t="s">
        <v>1786</v>
      </c>
    </row>
    <row r="83" spans="3:3" x14ac:dyDescent="0.25">
      <c r="C83" s="15" t="s">
        <v>1787</v>
      </c>
    </row>
    <row r="84" spans="3:3" x14ac:dyDescent="0.25">
      <c r="C84" s="15" t="s">
        <v>1788</v>
      </c>
    </row>
    <row r="85" spans="3:3" x14ac:dyDescent="0.25">
      <c r="C85" s="15" t="s">
        <v>1789</v>
      </c>
    </row>
    <row r="86" spans="3:3" x14ac:dyDescent="0.25">
      <c r="C86" s="15" t="s">
        <v>1790</v>
      </c>
    </row>
    <row r="87" spans="3:3" x14ac:dyDescent="0.25">
      <c r="C87" s="15" t="s">
        <v>1791</v>
      </c>
    </row>
    <row r="88" spans="3:3" x14ac:dyDescent="0.25">
      <c r="C88" s="15" t="s">
        <v>1792</v>
      </c>
    </row>
    <row r="89" spans="3:3" x14ac:dyDescent="0.25">
      <c r="C89" s="15" t="s">
        <v>1793</v>
      </c>
    </row>
    <row r="90" spans="3:3" x14ac:dyDescent="0.25">
      <c r="C90" s="15" t="s">
        <v>1794</v>
      </c>
    </row>
    <row r="91" spans="3:3" x14ac:dyDescent="0.25">
      <c r="C91" s="15" t="s">
        <v>1795</v>
      </c>
    </row>
    <row r="92" spans="3:3" x14ac:dyDescent="0.25">
      <c r="C92" s="15" t="s">
        <v>1796</v>
      </c>
    </row>
    <row r="93" spans="3:3" x14ac:dyDescent="0.25">
      <c r="C93" s="15" t="s">
        <v>1797</v>
      </c>
    </row>
    <row r="94" spans="3:3" x14ac:dyDescent="0.25">
      <c r="C94" s="15" t="s">
        <v>1798</v>
      </c>
    </row>
    <row r="95" spans="3:3" x14ac:dyDescent="0.25">
      <c r="C95" s="15" t="s">
        <v>1799</v>
      </c>
    </row>
    <row r="96" spans="3:3" x14ac:dyDescent="0.25">
      <c r="C96" s="15" t="s">
        <v>1800</v>
      </c>
    </row>
    <row r="97" spans="3:3" x14ac:dyDescent="0.25">
      <c r="C97" s="15" t="s">
        <v>1801</v>
      </c>
    </row>
    <row r="98" spans="3:3" x14ac:dyDescent="0.25">
      <c r="C98" s="15" t="s">
        <v>1802</v>
      </c>
    </row>
    <row r="99" spans="3:3" x14ac:dyDescent="0.25">
      <c r="C99" s="15" t="s">
        <v>1803</v>
      </c>
    </row>
    <row r="100" spans="3:3" x14ac:dyDescent="0.25">
      <c r="C100" s="15" t="s">
        <v>1804</v>
      </c>
    </row>
    <row r="101" spans="3:3" x14ac:dyDescent="0.25">
      <c r="C101" s="15" t="s">
        <v>1805</v>
      </c>
    </row>
    <row r="102" spans="3:3" x14ac:dyDescent="0.25">
      <c r="C102" s="15" t="s">
        <v>1806</v>
      </c>
    </row>
    <row r="103" spans="3:3" x14ac:dyDescent="0.25">
      <c r="C103" s="15" t="s">
        <v>1807</v>
      </c>
    </row>
    <row r="104" spans="3:3" x14ac:dyDescent="0.25">
      <c r="C104" s="15" t="s">
        <v>1808</v>
      </c>
    </row>
    <row r="105" spans="3:3" x14ac:dyDescent="0.25">
      <c r="C105" s="15" t="s">
        <v>1809</v>
      </c>
    </row>
    <row r="106" spans="3:3" x14ac:dyDescent="0.25">
      <c r="C106" s="15" t="s">
        <v>1810</v>
      </c>
    </row>
    <row r="107" spans="3:3" x14ac:dyDescent="0.25">
      <c r="C107" s="15" t="s">
        <v>1811</v>
      </c>
    </row>
    <row r="108" spans="3:3" x14ac:dyDescent="0.25">
      <c r="C108" s="15" t="s">
        <v>1812</v>
      </c>
    </row>
    <row r="109" spans="3:3" x14ac:dyDescent="0.25">
      <c r="C109" s="15" t="s">
        <v>1813</v>
      </c>
    </row>
    <row r="110" spans="3:3" x14ac:dyDescent="0.25">
      <c r="C110" s="15" t="s">
        <v>1814</v>
      </c>
    </row>
    <row r="111" spans="3:3" x14ac:dyDescent="0.25">
      <c r="C111" s="15" t="s">
        <v>1815</v>
      </c>
    </row>
    <row r="112" spans="3:3" x14ac:dyDescent="0.25">
      <c r="C112" s="15" t="s">
        <v>1816</v>
      </c>
    </row>
    <row r="113" spans="3:3" x14ac:dyDescent="0.25">
      <c r="C113" s="15" t="s">
        <v>1817</v>
      </c>
    </row>
    <row r="114" spans="3:3" x14ac:dyDescent="0.25">
      <c r="C114" s="15" t="s">
        <v>1818</v>
      </c>
    </row>
    <row r="115" spans="3:3" x14ac:dyDescent="0.25">
      <c r="C115" s="15" t="s">
        <v>1819</v>
      </c>
    </row>
    <row r="116" spans="3:3" x14ac:dyDescent="0.25">
      <c r="C116" s="15" t="s">
        <v>1820</v>
      </c>
    </row>
    <row r="117" spans="3:3" x14ac:dyDescent="0.25">
      <c r="C117" s="15" t="s">
        <v>1821</v>
      </c>
    </row>
    <row r="118" spans="3:3" x14ac:dyDescent="0.25">
      <c r="C118" s="15" t="s">
        <v>1822</v>
      </c>
    </row>
    <row r="119" spans="3:3" x14ac:dyDescent="0.25">
      <c r="C119" s="15" t="s">
        <v>1823</v>
      </c>
    </row>
    <row r="120" spans="3:3" x14ac:dyDescent="0.25">
      <c r="C120" s="15" t="s">
        <v>1824</v>
      </c>
    </row>
    <row r="121" spans="3:3" x14ac:dyDescent="0.25">
      <c r="C121" s="15" t="s">
        <v>1825</v>
      </c>
    </row>
    <row r="122" spans="3:3" x14ac:dyDescent="0.25">
      <c r="C122" s="15" t="s">
        <v>1826</v>
      </c>
    </row>
    <row r="123" spans="3:3" x14ac:dyDescent="0.25">
      <c r="C123" s="15" t="s">
        <v>1827</v>
      </c>
    </row>
    <row r="124" spans="3:3" x14ac:dyDescent="0.25">
      <c r="C124" s="15" t="s">
        <v>1828</v>
      </c>
    </row>
    <row r="125" spans="3:3" x14ac:dyDescent="0.25">
      <c r="C125" s="15" t="s">
        <v>1829</v>
      </c>
    </row>
    <row r="126" spans="3:3" x14ac:dyDescent="0.25">
      <c r="C126" s="15" t="s">
        <v>1830</v>
      </c>
    </row>
    <row r="127" spans="3:3" x14ac:dyDescent="0.25">
      <c r="C127" s="15" t="s">
        <v>1831</v>
      </c>
    </row>
    <row r="128" spans="3:3" x14ac:dyDescent="0.25">
      <c r="C128" s="15" t="s">
        <v>1832</v>
      </c>
    </row>
    <row r="129" spans="3:3" x14ac:dyDescent="0.25">
      <c r="C129" s="15" t="s">
        <v>1833</v>
      </c>
    </row>
    <row r="130" spans="3:3" x14ac:dyDescent="0.25">
      <c r="C130" s="15" t="s">
        <v>1834</v>
      </c>
    </row>
    <row r="131" spans="3:3" x14ac:dyDescent="0.25">
      <c r="C131" s="15" t="s">
        <v>1835</v>
      </c>
    </row>
    <row r="132" spans="3:3" x14ac:dyDescent="0.25">
      <c r="C132" s="15" t="s">
        <v>1836</v>
      </c>
    </row>
    <row r="133" spans="3:3" x14ac:dyDescent="0.25">
      <c r="C133" s="15" t="s">
        <v>1837</v>
      </c>
    </row>
    <row r="134" spans="3:3" x14ac:dyDescent="0.25">
      <c r="C134" s="15" t="s">
        <v>1838</v>
      </c>
    </row>
    <row r="135" spans="3:3" x14ac:dyDescent="0.25">
      <c r="C135" s="15" t="s">
        <v>1839</v>
      </c>
    </row>
    <row r="136" spans="3:3" x14ac:dyDescent="0.25">
      <c r="C136" s="15" t="s">
        <v>1840</v>
      </c>
    </row>
    <row r="137" spans="3:3" x14ac:dyDescent="0.25">
      <c r="C137" s="15" t="s">
        <v>1841</v>
      </c>
    </row>
    <row r="138" spans="3:3" x14ac:dyDescent="0.25">
      <c r="C138" s="15" t="s">
        <v>1842</v>
      </c>
    </row>
    <row r="139" spans="3:3" x14ac:dyDescent="0.25">
      <c r="C139" s="15" t="s">
        <v>1843</v>
      </c>
    </row>
    <row r="140" spans="3:3" x14ac:dyDescent="0.25">
      <c r="C140" s="15" t="s">
        <v>1844</v>
      </c>
    </row>
    <row r="141" spans="3:3" x14ac:dyDescent="0.25">
      <c r="C141" s="15" t="s">
        <v>1845</v>
      </c>
    </row>
    <row r="142" spans="3:3" x14ac:dyDescent="0.25">
      <c r="C142" s="15" t="s">
        <v>1846</v>
      </c>
    </row>
    <row r="143" spans="3:3" x14ac:dyDescent="0.25">
      <c r="C143" s="15" t="s">
        <v>1847</v>
      </c>
    </row>
    <row r="144" spans="3:3" x14ac:dyDescent="0.25">
      <c r="C144" s="15" t="s">
        <v>1848</v>
      </c>
    </row>
    <row r="145" spans="3:3" x14ac:dyDescent="0.25">
      <c r="C145" s="15" t="s">
        <v>1849</v>
      </c>
    </row>
    <row r="146" spans="3:3" x14ac:dyDescent="0.25">
      <c r="C146" s="15" t="s">
        <v>1850</v>
      </c>
    </row>
    <row r="147" spans="3:3" x14ac:dyDescent="0.25">
      <c r="C147" s="15" t="s">
        <v>1851</v>
      </c>
    </row>
    <row r="148" spans="3:3" x14ac:dyDescent="0.25">
      <c r="C148" s="15" t="s">
        <v>1852</v>
      </c>
    </row>
    <row r="149" spans="3:3" x14ac:dyDescent="0.25">
      <c r="C149" s="15" t="s">
        <v>1853</v>
      </c>
    </row>
    <row r="150" spans="3:3" x14ac:dyDescent="0.25">
      <c r="C150" s="15" t="s">
        <v>1854</v>
      </c>
    </row>
    <row r="151" spans="3:3" x14ac:dyDescent="0.25">
      <c r="C151" s="15" t="s">
        <v>1855</v>
      </c>
    </row>
    <row r="152" spans="3:3" x14ac:dyDescent="0.25">
      <c r="C152" s="15" t="s">
        <v>1856</v>
      </c>
    </row>
    <row r="153" spans="3:3" x14ac:dyDescent="0.25">
      <c r="C153" s="15" t="s">
        <v>1857</v>
      </c>
    </row>
    <row r="154" spans="3:3" x14ac:dyDescent="0.25">
      <c r="C154" s="15" t="s">
        <v>1858</v>
      </c>
    </row>
    <row r="155" spans="3:3" x14ac:dyDescent="0.25">
      <c r="C155" s="15" t="s">
        <v>1859</v>
      </c>
    </row>
    <row r="156" spans="3:3" x14ac:dyDescent="0.25">
      <c r="C156" s="15" t="s">
        <v>1860</v>
      </c>
    </row>
    <row r="157" spans="3:3" x14ac:dyDescent="0.25">
      <c r="C157" s="15" t="s">
        <v>1861</v>
      </c>
    </row>
    <row r="158" spans="3:3" x14ac:dyDescent="0.25">
      <c r="C158" s="15" t="s">
        <v>1862</v>
      </c>
    </row>
    <row r="159" spans="3:3" x14ac:dyDescent="0.25">
      <c r="C159" s="15" t="s">
        <v>1863</v>
      </c>
    </row>
    <row r="160" spans="3:3" x14ac:dyDescent="0.25">
      <c r="C160" s="15" t="s">
        <v>1864</v>
      </c>
    </row>
    <row r="161" spans="3:3" x14ac:dyDescent="0.25">
      <c r="C161" s="15" t="s">
        <v>1865</v>
      </c>
    </row>
    <row r="162" spans="3:3" x14ac:dyDescent="0.25">
      <c r="C162" s="15" t="s">
        <v>1866</v>
      </c>
    </row>
    <row r="163" spans="3:3" x14ac:dyDescent="0.25">
      <c r="C163" s="15" t="s">
        <v>1867</v>
      </c>
    </row>
    <row r="164" spans="3:3" x14ac:dyDescent="0.25">
      <c r="C164" s="15" t="s">
        <v>1868</v>
      </c>
    </row>
    <row r="165" spans="3:3" x14ac:dyDescent="0.25">
      <c r="C165" s="15" t="s">
        <v>1869</v>
      </c>
    </row>
    <row r="166" spans="3:3" x14ac:dyDescent="0.25">
      <c r="C166" s="15" t="s">
        <v>1870</v>
      </c>
    </row>
    <row r="167" spans="3:3" x14ac:dyDescent="0.25">
      <c r="C167" s="15" t="s">
        <v>1871</v>
      </c>
    </row>
    <row r="168" spans="3:3" x14ac:dyDescent="0.25">
      <c r="C168" s="15" t="s">
        <v>1872</v>
      </c>
    </row>
    <row r="169" spans="3:3" x14ac:dyDescent="0.25">
      <c r="C169" s="15" t="s">
        <v>1873</v>
      </c>
    </row>
    <row r="170" spans="3:3" x14ac:dyDescent="0.25">
      <c r="C170" s="15" t="s">
        <v>1874</v>
      </c>
    </row>
    <row r="171" spans="3:3" x14ac:dyDescent="0.25">
      <c r="C171" s="15" t="s">
        <v>1875</v>
      </c>
    </row>
    <row r="172" spans="3:3" x14ac:dyDescent="0.25">
      <c r="C172" s="15" t="s">
        <v>1876</v>
      </c>
    </row>
    <row r="173" spans="3:3" x14ac:dyDescent="0.25">
      <c r="C173" s="15" t="s">
        <v>1877</v>
      </c>
    </row>
    <row r="174" spans="3:3" x14ac:dyDescent="0.25">
      <c r="C174" s="15" t="s">
        <v>1878</v>
      </c>
    </row>
    <row r="175" spans="3:3" x14ac:dyDescent="0.25">
      <c r="C175" s="15" t="s">
        <v>1879</v>
      </c>
    </row>
    <row r="176" spans="3:3" x14ac:dyDescent="0.25">
      <c r="C176" s="15" t="s">
        <v>1880</v>
      </c>
    </row>
    <row r="177" spans="3:3" x14ac:dyDescent="0.25">
      <c r="C177" s="15" t="s">
        <v>1881</v>
      </c>
    </row>
    <row r="178" spans="3:3" x14ac:dyDescent="0.25">
      <c r="C178" s="15" t="s">
        <v>1882</v>
      </c>
    </row>
    <row r="179" spans="3:3" x14ac:dyDescent="0.25">
      <c r="C179" s="15" t="s">
        <v>1883</v>
      </c>
    </row>
    <row r="180" spans="3:3" x14ac:dyDescent="0.25">
      <c r="C180" s="15" t="s">
        <v>1884</v>
      </c>
    </row>
    <row r="181" spans="3:3" x14ac:dyDescent="0.25">
      <c r="C181" s="15" t="s">
        <v>1885</v>
      </c>
    </row>
    <row r="182" spans="3:3" x14ac:dyDescent="0.25">
      <c r="C182" s="15" t="s">
        <v>1886</v>
      </c>
    </row>
    <row r="183" spans="3:3" x14ac:dyDescent="0.25">
      <c r="C183" s="15" t="s">
        <v>1887</v>
      </c>
    </row>
    <row r="184" spans="3:3" x14ac:dyDescent="0.25">
      <c r="C184" s="15" t="s">
        <v>1888</v>
      </c>
    </row>
    <row r="185" spans="3:3" x14ac:dyDescent="0.25">
      <c r="C185" s="15" t="s">
        <v>1889</v>
      </c>
    </row>
    <row r="186" spans="3:3" x14ac:dyDescent="0.25">
      <c r="C186" s="15" t="s">
        <v>1890</v>
      </c>
    </row>
    <row r="187" spans="3:3" x14ac:dyDescent="0.25">
      <c r="C187" s="15" t="s">
        <v>1891</v>
      </c>
    </row>
    <row r="188" spans="3:3" x14ac:dyDescent="0.25">
      <c r="C188" s="15" t="s">
        <v>1892</v>
      </c>
    </row>
    <row r="189" spans="3:3" x14ac:dyDescent="0.25">
      <c r="C189" s="15" t="s">
        <v>1893</v>
      </c>
    </row>
    <row r="190" spans="3:3" x14ac:dyDescent="0.25">
      <c r="C190" s="15" t="s">
        <v>1894</v>
      </c>
    </row>
    <row r="191" spans="3:3" x14ac:dyDescent="0.25">
      <c r="C191" s="15" t="s">
        <v>1895</v>
      </c>
    </row>
    <row r="192" spans="3:3" x14ac:dyDescent="0.25">
      <c r="C192" s="15" t="s">
        <v>1896</v>
      </c>
    </row>
    <row r="193" spans="3:3" x14ac:dyDescent="0.25">
      <c r="C193" s="15" t="s">
        <v>1897</v>
      </c>
    </row>
    <row r="194" spans="3:3" x14ac:dyDescent="0.25">
      <c r="C194" s="15" t="s">
        <v>1898</v>
      </c>
    </row>
    <row r="195" spans="3:3" x14ac:dyDescent="0.25">
      <c r="C195" s="15" t="s">
        <v>1899</v>
      </c>
    </row>
    <row r="196" spans="3:3" x14ac:dyDescent="0.25">
      <c r="C196" s="15" t="s">
        <v>1900</v>
      </c>
    </row>
    <row r="197" spans="3:3" x14ac:dyDescent="0.25">
      <c r="C197" s="15" t="s">
        <v>1901</v>
      </c>
    </row>
    <row r="198" spans="3:3" x14ac:dyDescent="0.25">
      <c r="C198" s="15" t="s">
        <v>1902</v>
      </c>
    </row>
    <row r="199" spans="3:3" x14ac:dyDescent="0.25">
      <c r="C199" s="15" t="s">
        <v>1903</v>
      </c>
    </row>
    <row r="200" spans="3:3" x14ac:dyDescent="0.25">
      <c r="C200" s="15" t="s">
        <v>1904</v>
      </c>
    </row>
    <row r="201" spans="3:3" x14ac:dyDescent="0.25">
      <c r="C201" s="15" t="s">
        <v>1905</v>
      </c>
    </row>
    <row r="202" spans="3:3" x14ac:dyDescent="0.25">
      <c r="C202" s="15" t="s">
        <v>1906</v>
      </c>
    </row>
    <row r="203" spans="3:3" x14ac:dyDescent="0.25">
      <c r="C203" s="15" t="s">
        <v>1907</v>
      </c>
    </row>
    <row r="204" spans="3:3" x14ac:dyDescent="0.25">
      <c r="C204" s="15" t="s">
        <v>1908</v>
      </c>
    </row>
    <row r="205" spans="3:3" x14ac:dyDescent="0.25">
      <c r="C205" s="15" t="s">
        <v>1909</v>
      </c>
    </row>
    <row r="206" spans="3:3" x14ac:dyDescent="0.25">
      <c r="C206" s="15" t="s">
        <v>1910</v>
      </c>
    </row>
    <row r="207" spans="3:3" x14ac:dyDescent="0.25">
      <c r="C207" s="15" t="s">
        <v>1911</v>
      </c>
    </row>
    <row r="208" spans="3:3" x14ac:dyDescent="0.25">
      <c r="C208" s="15" t="s">
        <v>1912</v>
      </c>
    </row>
    <row r="209" spans="3:3" x14ac:dyDescent="0.25">
      <c r="C209" s="15" t="s">
        <v>1913</v>
      </c>
    </row>
    <row r="210" spans="3:3" x14ac:dyDescent="0.25">
      <c r="C210" s="15" t="s">
        <v>1914</v>
      </c>
    </row>
    <row r="211" spans="3:3" x14ac:dyDescent="0.25">
      <c r="C211" s="15" t="s">
        <v>1915</v>
      </c>
    </row>
    <row r="212" spans="3:3" x14ac:dyDescent="0.25">
      <c r="C212" s="15" t="s">
        <v>1916</v>
      </c>
    </row>
    <row r="213" spans="3:3" x14ac:dyDescent="0.25">
      <c r="C213" s="15" t="s">
        <v>1917</v>
      </c>
    </row>
    <row r="214" spans="3:3" x14ac:dyDescent="0.25">
      <c r="C214" s="15" t="s">
        <v>1918</v>
      </c>
    </row>
    <row r="215" spans="3:3" x14ac:dyDescent="0.25">
      <c r="C215" s="15" t="s">
        <v>1919</v>
      </c>
    </row>
    <row r="216" spans="3:3" x14ac:dyDescent="0.25">
      <c r="C216" s="15" t="s">
        <v>1920</v>
      </c>
    </row>
    <row r="217" spans="3:3" x14ac:dyDescent="0.25">
      <c r="C217" s="15" t="s">
        <v>1921</v>
      </c>
    </row>
    <row r="218" spans="3:3" x14ac:dyDescent="0.25">
      <c r="C218" s="15" t="s">
        <v>1922</v>
      </c>
    </row>
    <row r="219" spans="3:3" x14ac:dyDescent="0.25">
      <c r="C219" s="15" t="s">
        <v>1923</v>
      </c>
    </row>
    <row r="220" spans="3:3" x14ac:dyDescent="0.25">
      <c r="C220" s="15" t="s">
        <v>1924</v>
      </c>
    </row>
    <row r="221" spans="3:3" x14ac:dyDescent="0.25">
      <c r="C221" s="15" t="s">
        <v>1925</v>
      </c>
    </row>
    <row r="222" spans="3:3" x14ac:dyDescent="0.25">
      <c r="C222" s="15" t="s">
        <v>1926</v>
      </c>
    </row>
    <row r="223" spans="3:3" x14ac:dyDescent="0.25">
      <c r="C223" s="15" t="s">
        <v>1927</v>
      </c>
    </row>
    <row r="224" spans="3:3" x14ac:dyDescent="0.25">
      <c r="C224" s="15" t="s">
        <v>1928</v>
      </c>
    </row>
    <row r="225" spans="3:3" x14ac:dyDescent="0.25">
      <c r="C225" s="15" t="s">
        <v>1929</v>
      </c>
    </row>
    <row r="226" spans="3:3" x14ac:dyDescent="0.25">
      <c r="C226" s="15" t="s">
        <v>1930</v>
      </c>
    </row>
    <row r="227" spans="3:3" x14ac:dyDescent="0.25">
      <c r="C227" s="15" t="s">
        <v>1931</v>
      </c>
    </row>
    <row r="228" spans="3:3" x14ac:dyDescent="0.25">
      <c r="C228" s="15" t="s">
        <v>1932</v>
      </c>
    </row>
    <row r="229" spans="3:3" x14ac:dyDescent="0.25">
      <c r="C229" s="15" t="s">
        <v>1933</v>
      </c>
    </row>
    <row r="230" spans="3:3" x14ac:dyDescent="0.25">
      <c r="C230" s="15" t="s">
        <v>1934</v>
      </c>
    </row>
    <row r="231" spans="3:3" x14ac:dyDescent="0.25">
      <c r="C231" s="15" t="s">
        <v>1935</v>
      </c>
    </row>
    <row r="232" spans="3:3" x14ac:dyDescent="0.25">
      <c r="C232" s="15" t="s">
        <v>1936</v>
      </c>
    </row>
    <row r="233" spans="3:3" x14ac:dyDescent="0.25">
      <c r="C233" s="15" t="s">
        <v>1937</v>
      </c>
    </row>
    <row r="234" spans="3:3" x14ac:dyDescent="0.25">
      <c r="C234" s="15" t="s">
        <v>1938</v>
      </c>
    </row>
    <row r="235" spans="3:3" x14ac:dyDescent="0.25">
      <c r="C235" s="15" t="s">
        <v>1939</v>
      </c>
    </row>
    <row r="236" spans="3:3" x14ac:dyDescent="0.25">
      <c r="C236" s="15" t="s">
        <v>340</v>
      </c>
    </row>
    <row r="237" spans="3:3" x14ac:dyDescent="0.25">
      <c r="C237" s="15" t="s">
        <v>1940</v>
      </c>
    </row>
    <row r="238" spans="3:3" x14ac:dyDescent="0.25">
      <c r="C238" s="15" t="s">
        <v>1941</v>
      </c>
    </row>
    <row r="239" spans="3:3" x14ac:dyDescent="0.25">
      <c r="C239" s="15" t="s">
        <v>1942</v>
      </c>
    </row>
    <row r="240" spans="3:3" x14ac:dyDescent="0.25">
      <c r="C240" s="15" t="s">
        <v>1943</v>
      </c>
    </row>
    <row r="241" spans="3:3" x14ac:dyDescent="0.25">
      <c r="C241" s="15" t="s">
        <v>1944</v>
      </c>
    </row>
    <row r="242" spans="3:3" x14ac:dyDescent="0.25">
      <c r="C242" s="15" t="s">
        <v>1945</v>
      </c>
    </row>
    <row r="243" spans="3:3" x14ac:dyDescent="0.25">
      <c r="C243" s="15" t="s">
        <v>1946</v>
      </c>
    </row>
    <row r="244" spans="3:3" x14ac:dyDescent="0.25">
      <c r="C244" s="15" t="s">
        <v>1947</v>
      </c>
    </row>
    <row r="245" spans="3:3" x14ac:dyDescent="0.25">
      <c r="C245" s="15" t="s">
        <v>1948</v>
      </c>
    </row>
    <row r="246" spans="3:3" x14ac:dyDescent="0.25">
      <c r="C246" s="15" t="s">
        <v>1949</v>
      </c>
    </row>
    <row r="247" spans="3:3" x14ac:dyDescent="0.25">
      <c r="C247" s="15" t="s">
        <v>1950</v>
      </c>
    </row>
    <row r="248" spans="3:3" x14ac:dyDescent="0.25">
      <c r="C248" s="15" t="s">
        <v>1951</v>
      </c>
    </row>
    <row r="249" spans="3:3" x14ac:dyDescent="0.25">
      <c r="C249" s="15" t="s">
        <v>1952</v>
      </c>
    </row>
    <row r="250" spans="3:3" x14ac:dyDescent="0.25">
      <c r="C250" s="15" t="s">
        <v>1953</v>
      </c>
    </row>
    <row r="251" spans="3:3" x14ac:dyDescent="0.25">
      <c r="C251" s="15" t="s">
        <v>1954</v>
      </c>
    </row>
    <row r="252" spans="3:3" x14ac:dyDescent="0.25">
      <c r="C252" s="15" t="s">
        <v>1955</v>
      </c>
    </row>
    <row r="253" spans="3:3" x14ac:dyDescent="0.25">
      <c r="C253" s="15" t="s">
        <v>1956</v>
      </c>
    </row>
    <row r="254" spans="3:3" x14ac:dyDescent="0.25">
      <c r="C254" s="15" t="s">
        <v>1957</v>
      </c>
    </row>
    <row r="255" spans="3:3" x14ac:dyDescent="0.25">
      <c r="C255" s="15" t="s">
        <v>1958</v>
      </c>
    </row>
    <row r="256" spans="3:3" x14ac:dyDescent="0.25">
      <c r="C256" s="15" t="s">
        <v>1959</v>
      </c>
    </row>
    <row r="257" spans="3:3" x14ac:dyDescent="0.25">
      <c r="C257" s="15" t="s">
        <v>1960</v>
      </c>
    </row>
    <row r="258" spans="3:3" x14ac:dyDescent="0.25">
      <c r="C258" s="15" t="s">
        <v>1961</v>
      </c>
    </row>
    <row r="259" spans="3:3" x14ac:dyDescent="0.25">
      <c r="C259" s="15" t="s">
        <v>1962</v>
      </c>
    </row>
    <row r="260" spans="3:3" x14ac:dyDescent="0.25">
      <c r="C260" s="15" t="s">
        <v>1963</v>
      </c>
    </row>
    <row r="261" spans="3:3" x14ac:dyDescent="0.25">
      <c r="C261" s="15" t="s">
        <v>1964</v>
      </c>
    </row>
    <row r="262" spans="3:3" x14ac:dyDescent="0.25">
      <c r="C262" s="15" t="s">
        <v>1965</v>
      </c>
    </row>
    <row r="263" spans="3:3" x14ac:dyDescent="0.25">
      <c r="C263" s="15" t="s">
        <v>1966</v>
      </c>
    </row>
    <row r="264" spans="3:3" x14ac:dyDescent="0.25">
      <c r="C264" s="15" t="s">
        <v>1967</v>
      </c>
    </row>
    <row r="265" spans="3:3" x14ac:dyDescent="0.25">
      <c r="C265" s="15" t="s">
        <v>1968</v>
      </c>
    </row>
    <row r="266" spans="3:3" x14ac:dyDescent="0.25">
      <c r="C266" s="15" t="s">
        <v>1969</v>
      </c>
    </row>
    <row r="267" spans="3:3" x14ac:dyDescent="0.25">
      <c r="C267" s="15" t="s">
        <v>1970</v>
      </c>
    </row>
    <row r="268" spans="3:3" x14ac:dyDescent="0.25">
      <c r="C268" s="15" t="s">
        <v>1971</v>
      </c>
    </row>
    <row r="269" spans="3:3" x14ac:dyDescent="0.25">
      <c r="C269" s="15" t="s">
        <v>1972</v>
      </c>
    </row>
    <row r="270" spans="3:3" x14ac:dyDescent="0.25">
      <c r="C270" s="15" t="s">
        <v>1973</v>
      </c>
    </row>
    <row r="271" spans="3:3" x14ac:dyDescent="0.25">
      <c r="C271" s="15" t="s">
        <v>1974</v>
      </c>
    </row>
    <row r="272" spans="3:3" x14ac:dyDescent="0.25">
      <c r="C272" s="15" t="s">
        <v>1975</v>
      </c>
    </row>
    <row r="273" spans="3:3" x14ac:dyDescent="0.25">
      <c r="C273" s="15" t="s">
        <v>1976</v>
      </c>
    </row>
    <row r="274" spans="3:3" x14ac:dyDescent="0.25">
      <c r="C274" s="15" t="s">
        <v>1977</v>
      </c>
    </row>
    <row r="275" spans="3:3" x14ac:dyDescent="0.25">
      <c r="C275" s="15" t="s">
        <v>1978</v>
      </c>
    </row>
    <row r="276" spans="3:3" x14ac:dyDescent="0.25">
      <c r="C276" s="15" t="s">
        <v>1979</v>
      </c>
    </row>
    <row r="277" spans="3:3" x14ac:dyDescent="0.25">
      <c r="C277" s="15" t="s">
        <v>1980</v>
      </c>
    </row>
    <row r="278" spans="1:3" x14ac:dyDescent="0.25">
      <c r="A278" s="15" t="s">
        <v>353</v>
      </c>
      <c r="B278" s="15" t="s">
        <v>17</v>
      </c>
      <c r="C278" s="15" t="s">
        <v>354</v>
      </c>
    </row>
    <row r="279" spans="3:3" x14ac:dyDescent="0.25">
      <c r="C279" s="15" t="s">
        <v>1981</v>
      </c>
    </row>
    <row r="280" spans="1:3" x14ac:dyDescent="0.25">
      <c r="A280" s="15" t="s">
        <v>1982</v>
      </c>
      <c r="B280" s="15" t="s">
        <v>17</v>
      </c>
      <c r="C280" s="15" t="s">
        <v>251</v>
      </c>
    </row>
    <row r="281" spans="3:3" x14ac:dyDescent="0.25">
      <c r="C281" s="15" t="s">
        <v>1728</v>
      </c>
    </row>
    <row r="282" spans="1:3" x14ac:dyDescent="0.25">
      <c r="A282" s="15" t="s">
        <v>1983</v>
      </c>
      <c r="B282" s="15" t="s">
        <v>17</v>
      </c>
      <c r="C282" s="15" t="s">
        <v>251</v>
      </c>
    </row>
    <row r="283" spans="3:3" x14ac:dyDescent="0.25">
      <c r="C283" s="15" t="s">
        <v>1728</v>
      </c>
    </row>
    <row r="284" spans="1:3" x14ac:dyDescent="0.25">
      <c r="A284" s="15" t="s">
        <v>1984</v>
      </c>
      <c r="B284" s="15" t="s">
        <v>17</v>
      </c>
      <c r="C284" s="15" t="s">
        <v>251</v>
      </c>
    </row>
    <row r="285" spans="3:3" x14ac:dyDescent="0.25">
      <c r="C285" s="15" t="s">
        <v>1728</v>
      </c>
    </row>
    <row r="286" spans="1:3" x14ac:dyDescent="0.25">
      <c r="A286" s="15" t="s">
        <v>660</v>
      </c>
      <c r="B286" s="15" t="s">
        <v>17</v>
      </c>
      <c r="C286" s="15" t="s">
        <v>251</v>
      </c>
    </row>
    <row r="287" spans="3:3" x14ac:dyDescent="0.25">
      <c r="C287" s="15" t="s">
        <v>1728</v>
      </c>
    </row>
    <row r="288" spans="1:3" x14ac:dyDescent="0.25">
      <c r="A288" s="15" t="s">
        <v>1985</v>
      </c>
      <c r="B288" s="15" t="s">
        <v>17</v>
      </c>
      <c r="C288" s="15" t="s">
        <v>677</v>
      </c>
    </row>
    <row r="289" spans="3:3" x14ac:dyDescent="0.25">
      <c r="C289" s="15" t="s">
        <v>685</v>
      </c>
    </row>
    <row r="290" spans="1:3" x14ac:dyDescent="0.25">
      <c r="A290" s="15" t="s">
        <v>721</v>
      </c>
      <c r="B290" s="15" t="s">
        <v>17</v>
      </c>
      <c r="C290" s="15" t="s">
        <v>722</v>
      </c>
    </row>
    <row r="291" spans="3:3" x14ac:dyDescent="0.25">
      <c r="C291" s="15" t="s">
        <v>1986</v>
      </c>
    </row>
    <row r="292" spans="3:3" x14ac:dyDescent="0.25">
      <c r="C292" s="15" t="s">
        <v>1987</v>
      </c>
    </row>
    <row r="293" spans="3:3" x14ac:dyDescent="0.25">
      <c r="C293" s="15" t="s">
        <v>1988</v>
      </c>
    </row>
    <row r="294" spans="3:3" x14ac:dyDescent="0.25">
      <c r="C294" s="15" t="s">
        <v>1989</v>
      </c>
    </row>
    <row r="295" spans="3:3" x14ac:dyDescent="0.25">
      <c r="C295" s="15" t="s">
        <v>1990</v>
      </c>
    </row>
    <row r="296" spans="3:3" x14ac:dyDescent="0.25">
      <c r="C296" s="15" t="s">
        <v>1991</v>
      </c>
    </row>
    <row r="297" spans="3:3" x14ac:dyDescent="0.25">
      <c r="C297" s="15" t="s">
        <v>1992</v>
      </c>
    </row>
    <row r="298" spans="3:3" x14ac:dyDescent="0.25">
      <c r="C298" s="15" t="s">
        <v>1993</v>
      </c>
    </row>
    <row r="299" spans="3:3" x14ac:dyDescent="0.25">
      <c r="C299" s="15" t="s">
        <v>1994</v>
      </c>
    </row>
    <row r="300" spans="3:3" x14ac:dyDescent="0.25">
      <c r="C300" s="15" t="s">
        <v>1995</v>
      </c>
    </row>
    <row r="301" spans="3:3" x14ac:dyDescent="0.25">
      <c r="C301" s="15" t="s">
        <v>1996</v>
      </c>
    </row>
    <row r="302" spans="3:3" x14ac:dyDescent="0.25">
      <c r="C302" s="15" t="s">
        <v>1997</v>
      </c>
    </row>
    <row r="303" spans="3:3" x14ac:dyDescent="0.25">
      <c r="C303" s="15" t="s">
        <v>1998</v>
      </c>
    </row>
    <row r="304" spans="3:3" x14ac:dyDescent="0.25">
      <c r="C304" s="15" t="s">
        <v>1999</v>
      </c>
    </row>
    <row r="305" spans="3:3" x14ac:dyDescent="0.25">
      <c r="C305" s="15" t="s">
        <v>2000</v>
      </c>
    </row>
    <row r="306" spans="1:3" x14ac:dyDescent="0.25">
      <c r="A306" s="15" t="s">
        <v>735</v>
      </c>
      <c r="B306" s="15" t="s">
        <v>17</v>
      </c>
      <c r="C306" s="15" t="s">
        <v>736</v>
      </c>
    </row>
    <row r="307" spans="3:3" x14ac:dyDescent="0.25">
      <c r="C307" s="15" t="s">
        <v>2001</v>
      </c>
    </row>
    <row r="308" spans="1:3" x14ac:dyDescent="0.25">
      <c r="A308" s="15" t="s">
        <v>743</v>
      </c>
      <c r="B308" s="15" t="s">
        <v>17</v>
      </c>
      <c r="C308" s="15" t="s">
        <v>744</v>
      </c>
    </row>
    <row r="309" spans="3:3" x14ac:dyDescent="0.25">
      <c r="C309" s="15" t="s">
        <v>2002</v>
      </c>
    </row>
    <row r="310" spans="3:3" x14ac:dyDescent="0.25">
      <c r="C310" s="15" t="s">
        <v>2003</v>
      </c>
    </row>
    <row r="311" spans="3:3" x14ac:dyDescent="0.25">
      <c r="C311" s="15" t="s">
        <v>2004</v>
      </c>
    </row>
    <row r="312" spans="1:3" x14ac:dyDescent="0.25">
      <c r="A312" s="15" t="s">
        <v>750</v>
      </c>
      <c r="B312" s="15" t="s">
        <v>17</v>
      </c>
      <c r="C312" s="15" t="s">
        <v>751</v>
      </c>
    </row>
    <row r="313" spans="3:3" x14ac:dyDescent="0.25">
      <c r="C313" s="15" t="s">
        <v>2005</v>
      </c>
    </row>
    <row r="314" spans="3:3" x14ac:dyDescent="0.25">
      <c r="C314" s="15" t="s">
        <v>2006</v>
      </c>
    </row>
    <row r="315" spans="1:3" x14ac:dyDescent="0.25">
      <c r="A315" s="15" t="s">
        <v>761</v>
      </c>
      <c r="B315" s="15" t="s">
        <v>17</v>
      </c>
      <c r="C315" s="15" t="s">
        <v>762</v>
      </c>
    </row>
    <row r="316" spans="3:3" x14ac:dyDescent="0.25">
      <c r="C316" s="15" t="s">
        <v>2007</v>
      </c>
    </row>
    <row r="317" spans="3:3" x14ac:dyDescent="0.25">
      <c r="C317" s="15" t="s">
        <v>2008</v>
      </c>
    </row>
    <row r="318" spans="3:3" x14ac:dyDescent="0.25">
      <c r="C318" s="15" t="s">
        <v>2009</v>
      </c>
    </row>
    <row r="319" spans="3:3" x14ac:dyDescent="0.25">
      <c r="C319" s="15" t="s">
        <v>2010</v>
      </c>
    </row>
    <row r="320" spans="3:3" x14ac:dyDescent="0.25">
      <c r="C320" s="15" t="s">
        <v>2011</v>
      </c>
    </row>
    <row r="321" spans="3:3" x14ac:dyDescent="0.25">
      <c r="C321" s="15" t="s">
        <v>2012</v>
      </c>
    </row>
    <row r="322" spans="3:3" x14ac:dyDescent="0.25">
      <c r="C322" s="15" t="s">
        <v>2013</v>
      </c>
    </row>
    <row r="323" spans="3:3" x14ac:dyDescent="0.25">
      <c r="C323" s="15" t="s">
        <v>2014</v>
      </c>
    </row>
    <row r="324" spans="3:3" x14ac:dyDescent="0.25">
      <c r="C324" s="15" t="s">
        <v>2015</v>
      </c>
    </row>
    <row r="325" spans="3:3" x14ac:dyDescent="0.25">
      <c r="C325" s="15" t="s">
        <v>2016</v>
      </c>
    </row>
    <row r="326" spans="3:3" x14ac:dyDescent="0.25">
      <c r="C326" s="15" t="s">
        <v>2017</v>
      </c>
    </row>
    <row r="327" spans="3:3" x14ac:dyDescent="0.25">
      <c r="C327" s="15" t="s">
        <v>2018</v>
      </c>
    </row>
    <row r="328" spans="3:3" x14ac:dyDescent="0.25">
      <c r="C328" s="15" t="s">
        <v>2019</v>
      </c>
    </row>
    <row r="329" spans="3:3" x14ac:dyDescent="0.25">
      <c r="C329" s="15" t="s">
        <v>2020</v>
      </c>
    </row>
    <row r="330" spans="3:3" x14ac:dyDescent="0.25">
      <c r="C330" s="15" t="s">
        <v>2021</v>
      </c>
    </row>
    <row r="331" spans="1:3" x14ac:dyDescent="0.25">
      <c r="A331" s="15" t="s">
        <v>2022</v>
      </c>
      <c r="B331" s="15" t="s">
        <v>17</v>
      </c>
      <c r="C331" s="15" t="s">
        <v>1729</v>
      </c>
    </row>
    <row r="332" spans="3:3" x14ac:dyDescent="0.25">
      <c r="C332" s="15" t="s">
        <v>1730</v>
      </c>
    </row>
    <row r="333" spans="3:3" x14ac:dyDescent="0.25">
      <c r="C333" s="15" t="s">
        <v>1731</v>
      </c>
    </row>
    <row r="334" spans="3:3" x14ac:dyDescent="0.25">
      <c r="C334" s="15" t="s">
        <v>1732</v>
      </c>
    </row>
    <row r="335" spans="3:3" x14ac:dyDescent="0.25">
      <c r="C335" s="15" t="s">
        <v>1733</v>
      </c>
    </row>
    <row r="336" spans="3:3" x14ac:dyDescent="0.25">
      <c r="C336" s="15" t="s">
        <v>1734</v>
      </c>
    </row>
    <row r="337" spans="3:3" x14ac:dyDescent="0.25">
      <c r="C337" s="15" t="s">
        <v>1735</v>
      </c>
    </row>
    <row r="338" spans="3:3" x14ac:dyDescent="0.25">
      <c r="C338" s="15" t="s">
        <v>1736</v>
      </c>
    </row>
    <row r="339" spans="3:3" x14ac:dyDescent="0.25">
      <c r="C339" s="15" t="s">
        <v>1737</v>
      </c>
    </row>
    <row r="340" spans="3:3" x14ac:dyDescent="0.25">
      <c r="C340" s="15" t="s">
        <v>1738</v>
      </c>
    </row>
    <row r="341" spans="3:3" x14ac:dyDescent="0.25">
      <c r="C341" s="15" t="s">
        <v>1739</v>
      </c>
    </row>
    <row r="342" spans="3:3" x14ac:dyDescent="0.25">
      <c r="C342" s="15" t="s">
        <v>1740</v>
      </c>
    </row>
    <row r="343" spans="3:3" x14ac:dyDescent="0.25">
      <c r="C343" s="15" t="s">
        <v>1741</v>
      </c>
    </row>
    <row r="344" spans="3:3" x14ac:dyDescent="0.25">
      <c r="C344" s="15" t="s">
        <v>1742</v>
      </c>
    </row>
    <row r="345" spans="3:3" x14ac:dyDescent="0.25">
      <c r="C345" s="15" t="s">
        <v>1743</v>
      </c>
    </row>
    <row r="346" spans="3:3" x14ac:dyDescent="0.25">
      <c r="C346" s="15" t="s">
        <v>1744</v>
      </c>
    </row>
    <row r="347" spans="3:3" x14ac:dyDescent="0.25">
      <c r="C347" s="15" t="s">
        <v>1745</v>
      </c>
    </row>
    <row r="348" spans="3:3" x14ac:dyDescent="0.25">
      <c r="C348" s="15" t="s">
        <v>1746</v>
      </c>
    </row>
    <row r="349" spans="3:3" x14ac:dyDescent="0.25">
      <c r="C349" s="15" t="s">
        <v>1747</v>
      </c>
    </row>
    <row r="350" spans="3:3" x14ac:dyDescent="0.25">
      <c r="C350" s="15" t="s">
        <v>1748</v>
      </c>
    </row>
    <row r="351" spans="3:3" x14ac:dyDescent="0.25">
      <c r="C351" s="15" t="s">
        <v>1749</v>
      </c>
    </row>
    <row r="352" spans="3:3" x14ac:dyDescent="0.25">
      <c r="C352" s="15" t="s">
        <v>1750</v>
      </c>
    </row>
    <row r="353" spans="3:3" x14ac:dyDescent="0.25">
      <c r="C353" s="15" t="s">
        <v>1751</v>
      </c>
    </row>
    <row r="354" spans="3:3" x14ac:dyDescent="0.25">
      <c r="C354" s="15" t="s">
        <v>1752</v>
      </c>
    </row>
    <row r="355" spans="3:3" x14ac:dyDescent="0.25">
      <c r="C355" s="15" t="s">
        <v>1753</v>
      </c>
    </row>
    <row r="356" spans="3:3" x14ac:dyDescent="0.25">
      <c r="C356" s="15" t="s">
        <v>1754</v>
      </c>
    </row>
    <row r="357" spans="3:3" x14ac:dyDescent="0.25">
      <c r="C357" s="15" t="s">
        <v>1755</v>
      </c>
    </row>
    <row r="358" spans="3:3" x14ac:dyDescent="0.25">
      <c r="C358" s="15" t="s">
        <v>1756</v>
      </c>
    </row>
    <row r="359" spans="3:3" x14ac:dyDescent="0.25">
      <c r="C359" s="15" t="s">
        <v>1757</v>
      </c>
    </row>
    <row r="360" spans="3:3" x14ac:dyDescent="0.25">
      <c r="C360" s="15" t="s">
        <v>1758</v>
      </c>
    </row>
    <row r="361" spans="3:3" x14ac:dyDescent="0.25">
      <c r="C361" s="15" t="s">
        <v>1759</v>
      </c>
    </row>
    <row r="362" spans="3:3" x14ac:dyDescent="0.25">
      <c r="C362" s="15" t="s">
        <v>1760</v>
      </c>
    </row>
    <row r="363" spans="3:3" x14ac:dyDescent="0.25">
      <c r="C363" s="15" t="s">
        <v>1761</v>
      </c>
    </row>
    <row r="364" spans="3:3" x14ac:dyDescent="0.25">
      <c r="C364" s="15" t="s">
        <v>1762</v>
      </c>
    </row>
    <row r="365" spans="3:3" x14ac:dyDescent="0.25">
      <c r="C365" s="15" t="s">
        <v>1763</v>
      </c>
    </row>
    <row r="366" spans="3:3" x14ac:dyDescent="0.25">
      <c r="C366" s="15" t="s">
        <v>1764</v>
      </c>
    </row>
    <row r="367" spans="3:3" x14ac:dyDescent="0.25">
      <c r="C367" s="15" t="s">
        <v>1765</v>
      </c>
    </row>
    <row r="368" spans="3:3" x14ac:dyDescent="0.25">
      <c r="C368" s="15" t="s">
        <v>1766</v>
      </c>
    </row>
    <row r="369" spans="3:3" x14ac:dyDescent="0.25">
      <c r="C369" s="15" t="s">
        <v>1767</v>
      </c>
    </row>
    <row r="370" spans="3:3" x14ac:dyDescent="0.25">
      <c r="C370" s="15" t="s">
        <v>1768</v>
      </c>
    </row>
    <row r="371" spans="3:3" x14ac:dyDescent="0.25">
      <c r="C371" s="15" t="s">
        <v>1769</v>
      </c>
    </row>
    <row r="372" spans="3:3" x14ac:dyDescent="0.25">
      <c r="C372" s="15" t="s">
        <v>1770</v>
      </c>
    </row>
    <row r="373" spans="3:3" x14ac:dyDescent="0.25">
      <c r="C373" s="15" t="s">
        <v>1771</v>
      </c>
    </row>
    <row r="374" spans="3:3" x14ac:dyDescent="0.25">
      <c r="C374" s="15" t="s">
        <v>1772</v>
      </c>
    </row>
    <row r="375" spans="3:3" x14ac:dyDescent="0.25">
      <c r="C375" s="15" t="s">
        <v>1773</v>
      </c>
    </row>
    <row r="376" spans="3:3" x14ac:dyDescent="0.25">
      <c r="C376" s="15" t="s">
        <v>1774</v>
      </c>
    </row>
    <row r="377" spans="3:3" x14ac:dyDescent="0.25">
      <c r="C377" s="15" t="s">
        <v>1775</v>
      </c>
    </row>
    <row r="378" spans="3:3" x14ac:dyDescent="0.25">
      <c r="C378" s="15" t="s">
        <v>1776</v>
      </c>
    </row>
    <row r="379" spans="3:3" x14ac:dyDescent="0.25">
      <c r="C379" s="15" t="s">
        <v>1777</v>
      </c>
    </row>
    <row r="380" spans="3:3" x14ac:dyDescent="0.25">
      <c r="C380" s="15" t="s">
        <v>1778</v>
      </c>
    </row>
    <row r="381" spans="3:3" x14ac:dyDescent="0.25">
      <c r="C381" s="15" t="s">
        <v>1779</v>
      </c>
    </row>
    <row r="382" spans="3:3" x14ac:dyDescent="0.25">
      <c r="C382" s="15" t="s">
        <v>1780</v>
      </c>
    </row>
    <row r="383" spans="3:3" x14ac:dyDescent="0.25">
      <c r="C383" s="15" t="s">
        <v>1781</v>
      </c>
    </row>
    <row r="384" spans="3:3" x14ac:dyDescent="0.25">
      <c r="C384" s="15" t="s">
        <v>1782</v>
      </c>
    </row>
    <row r="385" spans="3:3" x14ac:dyDescent="0.25">
      <c r="C385" s="15" t="s">
        <v>1783</v>
      </c>
    </row>
    <row r="386" spans="3:3" x14ac:dyDescent="0.25">
      <c r="C386" s="15" t="s">
        <v>1784</v>
      </c>
    </row>
    <row r="387" spans="3:3" x14ac:dyDescent="0.25">
      <c r="C387" s="15" t="s">
        <v>1785</v>
      </c>
    </row>
    <row r="388" spans="3:3" x14ac:dyDescent="0.25">
      <c r="C388" s="15" t="s">
        <v>1786</v>
      </c>
    </row>
    <row r="389" spans="3:3" x14ac:dyDescent="0.25">
      <c r="C389" s="15" t="s">
        <v>1787</v>
      </c>
    </row>
    <row r="390" spans="3:3" x14ac:dyDescent="0.25">
      <c r="C390" s="15" t="s">
        <v>1788</v>
      </c>
    </row>
    <row r="391" spans="3:3" x14ac:dyDescent="0.25">
      <c r="C391" s="15" t="s">
        <v>1789</v>
      </c>
    </row>
    <row r="392" spans="3:3" x14ac:dyDescent="0.25">
      <c r="C392" s="15" t="s">
        <v>1790</v>
      </c>
    </row>
    <row r="393" spans="3:3" x14ac:dyDescent="0.25">
      <c r="C393" s="15" t="s">
        <v>1791</v>
      </c>
    </row>
    <row r="394" spans="3:3" x14ac:dyDescent="0.25">
      <c r="C394" s="15" t="s">
        <v>1792</v>
      </c>
    </row>
    <row r="395" spans="3:3" x14ac:dyDescent="0.25">
      <c r="C395" s="15" t="s">
        <v>1793</v>
      </c>
    </row>
    <row r="396" spans="3:3" x14ac:dyDescent="0.25">
      <c r="C396" s="15" t="s">
        <v>1794</v>
      </c>
    </row>
    <row r="397" spans="3:3" x14ac:dyDescent="0.25">
      <c r="C397" s="15" t="s">
        <v>1795</v>
      </c>
    </row>
    <row r="398" spans="3:3" x14ac:dyDescent="0.25">
      <c r="C398" s="15" t="s">
        <v>1796</v>
      </c>
    </row>
    <row r="399" spans="3:3" x14ac:dyDescent="0.25">
      <c r="C399" s="15" t="s">
        <v>1797</v>
      </c>
    </row>
    <row r="400" spans="3:3" x14ac:dyDescent="0.25">
      <c r="C400" s="15" t="s">
        <v>1798</v>
      </c>
    </row>
    <row r="401" spans="3:3" x14ac:dyDescent="0.25">
      <c r="C401" s="15" t="s">
        <v>1799</v>
      </c>
    </row>
    <row r="402" spans="3:3" x14ac:dyDescent="0.25">
      <c r="C402" s="15" t="s">
        <v>1800</v>
      </c>
    </row>
    <row r="403" spans="3:3" x14ac:dyDescent="0.25">
      <c r="C403" s="15" t="s">
        <v>1801</v>
      </c>
    </row>
    <row r="404" spans="3:3" x14ac:dyDescent="0.25">
      <c r="C404" s="15" t="s">
        <v>1802</v>
      </c>
    </row>
    <row r="405" spans="3:3" x14ac:dyDescent="0.25">
      <c r="C405" s="15" t="s">
        <v>1803</v>
      </c>
    </row>
    <row r="406" spans="3:3" x14ac:dyDescent="0.25">
      <c r="C406" s="15" t="s">
        <v>1804</v>
      </c>
    </row>
    <row r="407" spans="3:3" x14ac:dyDescent="0.25">
      <c r="C407" s="15" t="s">
        <v>1805</v>
      </c>
    </row>
    <row r="408" spans="3:3" x14ac:dyDescent="0.25">
      <c r="C408" s="15" t="s">
        <v>1806</v>
      </c>
    </row>
    <row r="409" spans="3:3" x14ac:dyDescent="0.25">
      <c r="C409" s="15" t="s">
        <v>1807</v>
      </c>
    </row>
    <row r="410" spans="3:3" x14ac:dyDescent="0.25">
      <c r="C410" s="15" t="s">
        <v>1808</v>
      </c>
    </row>
    <row r="411" spans="3:3" x14ac:dyDescent="0.25">
      <c r="C411" s="15" t="s">
        <v>1809</v>
      </c>
    </row>
    <row r="412" spans="3:3" x14ac:dyDescent="0.25">
      <c r="C412" s="15" t="s">
        <v>1810</v>
      </c>
    </row>
    <row r="413" spans="3:3" x14ac:dyDescent="0.25">
      <c r="C413" s="15" t="s">
        <v>1811</v>
      </c>
    </row>
    <row r="414" spans="3:3" x14ac:dyDescent="0.25">
      <c r="C414" s="15" t="s">
        <v>1812</v>
      </c>
    </row>
    <row r="415" spans="3:3" x14ac:dyDescent="0.25">
      <c r="C415" s="15" t="s">
        <v>1813</v>
      </c>
    </row>
    <row r="416" spans="3:3" x14ac:dyDescent="0.25">
      <c r="C416" s="15" t="s">
        <v>1814</v>
      </c>
    </row>
    <row r="417" spans="3:3" x14ac:dyDescent="0.25">
      <c r="C417" s="15" t="s">
        <v>1815</v>
      </c>
    </row>
    <row r="418" spans="3:3" x14ac:dyDescent="0.25">
      <c r="C418" s="15" t="s">
        <v>1816</v>
      </c>
    </row>
    <row r="419" spans="3:3" x14ac:dyDescent="0.25">
      <c r="C419" s="15" t="s">
        <v>1817</v>
      </c>
    </row>
    <row r="420" spans="3:3" x14ac:dyDescent="0.25">
      <c r="C420" s="15" t="s">
        <v>1818</v>
      </c>
    </row>
    <row r="421" spans="3:3" x14ac:dyDescent="0.25">
      <c r="C421" s="15" t="s">
        <v>1819</v>
      </c>
    </row>
    <row r="422" spans="3:3" x14ac:dyDescent="0.25">
      <c r="C422" s="15" t="s">
        <v>1820</v>
      </c>
    </row>
    <row r="423" spans="3:3" x14ac:dyDescent="0.25">
      <c r="C423" s="15" t="s">
        <v>1821</v>
      </c>
    </row>
    <row r="424" spans="3:3" x14ac:dyDescent="0.25">
      <c r="C424" s="15" t="s">
        <v>1822</v>
      </c>
    </row>
    <row r="425" spans="3:3" x14ac:dyDescent="0.25">
      <c r="C425" s="15" t="s">
        <v>1823</v>
      </c>
    </row>
    <row r="426" spans="3:3" x14ac:dyDescent="0.25">
      <c r="C426" s="15" t="s">
        <v>1824</v>
      </c>
    </row>
    <row r="427" spans="3:3" x14ac:dyDescent="0.25">
      <c r="C427" s="15" t="s">
        <v>1825</v>
      </c>
    </row>
    <row r="428" spans="3:3" x14ac:dyDescent="0.25">
      <c r="C428" s="15" t="s">
        <v>1826</v>
      </c>
    </row>
    <row r="429" spans="3:3" x14ac:dyDescent="0.25">
      <c r="C429" s="15" t="s">
        <v>1827</v>
      </c>
    </row>
    <row r="430" spans="3:3" x14ac:dyDescent="0.25">
      <c r="C430" s="15" t="s">
        <v>1828</v>
      </c>
    </row>
    <row r="431" spans="3:3" x14ac:dyDescent="0.25">
      <c r="C431" s="15" t="s">
        <v>1829</v>
      </c>
    </row>
    <row r="432" spans="3:3" x14ac:dyDescent="0.25">
      <c r="C432" s="15" t="s">
        <v>1830</v>
      </c>
    </row>
    <row r="433" spans="3:3" x14ac:dyDescent="0.25">
      <c r="C433" s="15" t="s">
        <v>1831</v>
      </c>
    </row>
    <row r="434" spans="3:3" x14ac:dyDescent="0.25">
      <c r="C434" s="15" t="s">
        <v>1832</v>
      </c>
    </row>
    <row r="435" spans="3:3" x14ac:dyDescent="0.25">
      <c r="C435" s="15" t="s">
        <v>1833</v>
      </c>
    </row>
    <row r="436" spans="3:3" x14ac:dyDescent="0.25">
      <c r="C436" s="15" t="s">
        <v>1834</v>
      </c>
    </row>
    <row r="437" spans="3:3" x14ac:dyDescent="0.25">
      <c r="C437" s="15" t="s">
        <v>1835</v>
      </c>
    </row>
    <row r="438" spans="3:3" x14ac:dyDescent="0.25">
      <c r="C438" s="15" t="s">
        <v>1836</v>
      </c>
    </row>
    <row r="439" spans="3:3" x14ac:dyDescent="0.25">
      <c r="C439" s="15" t="s">
        <v>1837</v>
      </c>
    </row>
    <row r="440" spans="3:3" x14ac:dyDescent="0.25">
      <c r="C440" s="15" t="s">
        <v>1838</v>
      </c>
    </row>
    <row r="441" spans="3:3" x14ac:dyDescent="0.25">
      <c r="C441" s="15" t="s">
        <v>1839</v>
      </c>
    </row>
    <row r="442" spans="3:3" x14ac:dyDescent="0.25">
      <c r="C442" s="15" t="s">
        <v>1840</v>
      </c>
    </row>
    <row r="443" spans="3:3" x14ac:dyDescent="0.25">
      <c r="C443" s="15" t="s">
        <v>1841</v>
      </c>
    </row>
    <row r="444" spans="3:3" x14ac:dyDescent="0.25">
      <c r="C444" s="15" t="s">
        <v>1842</v>
      </c>
    </row>
    <row r="445" spans="3:3" x14ac:dyDescent="0.25">
      <c r="C445" s="15" t="s">
        <v>1843</v>
      </c>
    </row>
    <row r="446" spans="3:3" x14ac:dyDescent="0.25">
      <c r="C446" s="15" t="s">
        <v>1844</v>
      </c>
    </row>
    <row r="447" spans="3:3" x14ac:dyDescent="0.25">
      <c r="C447" s="15" t="s">
        <v>1845</v>
      </c>
    </row>
    <row r="448" spans="3:3" x14ac:dyDescent="0.25">
      <c r="C448" s="15" t="s">
        <v>1846</v>
      </c>
    </row>
    <row r="449" spans="3:3" x14ac:dyDescent="0.25">
      <c r="C449" s="15" t="s">
        <v>1847</v>
      </c>
    </row>
    <row r="450" spans="3:3" x14ac:dyDescent="0.25">
      <c r="C450" s="15" t="s">
        <v>1848</v>
      </c>
    </row>
    <row r="451" spans="3:3" x14ac:dyDescent="0.25">
      <c r="C451" s="15" t="s">
        <v>1849</v>
      </c>
    </row>
    <row r="452" spans="3:3" x14ac:dyDescent="0.25">
      <c r="C452" s="15" t="s">
        <v>1850</v>
      </c>
    </row>
    <row r="453" spans="3:3" x14ac:dyDescent="0.25">
      <c r="C453" s="15" t="s">
        <v>1851</v>
      </c>
    </row>
    <row r="454" spans="3:3" x14ac:dyDescent="0.25">
      <c r="C454" s="15" t="s">
        <v>1852</v>
      </c>
    </row>
    <row r="455" spans="3:3" x14ac:dyDescent="0.25">
      <c r="C455" s="15" t="s">
        <v>1853</v>
      </c>
    </row>
    <row r="456" spans="3:3" x14ac:dyDescent="0.25">
      <c r="C456" s="15" t="s">
        <v>1854</v>
      </c>
    </row>
    <row r="457" spans="3:3" x14ac:dyDescent="0.25">
      <c r="C457" s="15" t="s">
        <v>1855</v>
      </c>
    </row>
    <row r="458" spans="3:3" x14ac:dyDescent="0.25">
      <c r="C458" s="15" t="s">
        <v>1856</v>
      </c>
    </row>
    <row r="459" spans="3:3" x14ac:dyDescent="0.25">
      <c r="C459" s="15" t="s">
        <v>1857</v>
      </c>
    </row>
    <row r="460" spans="3:3" x14ac:dyDescent="0.25">
      <c r="C460" s="15" t="s">
        <v>1858</v>
      </c>
    </row>
    <row r="461" spans="3:3" x14ac:dyDescent="0.25">
      <c r="C461" s="15" t="s">
        <v>1859</v>
      </c>
    </row>
    <row r="462" spans="3:3" x14ac:dyDescent="0.25">
      <c r="C462" s="15" t="s">
        <v>1860</v>
      </c>
    </row>
    <row r="463" spans="3:3" x14ac:dyDescent="0.25">
      <c r="C463" s="15" t="s">
        <v>1861</v>
      </c>
    </row>
    <row r="464" spans="3:3" x14ac:dyDescent="0.25">
      <c r="C464" s="15" t="s">
        <v>1862</v>
      </c>
    </row>
    <row r="465" spans="3:3" x14ac:dyDescent="0.25">
      <c r="C465" s="15" t="s">
        <v>1863</v>
      </c>
    </row>
    <row r="466" spans="3:3" x14ac:dyDescent="0.25">
      <c r="C466" s="15" t="s">
        <v>1864</v>
      </c>
    </row>
    <row r="467" spans="3:3" x14ac:dyDescent="0.25">
      <c r="C467" s="15" t="s">
        <v>1865</v>
      </c>
    </row>
    <row r="468" spans="3:3" x14ac:dyDescent="0.25">
      <c r="C468" s="15" t="s">
        <v>1866</v>
      </c>
    </row>
    <row r="469" spans="3:3" x14ac:dyDescent="0.25">
      <c r="C469" s="15" t="s">
        <v>1867</v>
      </c>
    </row>
    <row r="470" spans="3:3" x14ac:dyDescent="0.25">
      <c r="C470" s="15" t="s">
        <v>1868</v>
      </c>
    </row>
    <row r="471" spans="3:3" x14ac:dyDescent="0.25">
      <c r="C471" s="15" t="s">
        <v>1869</v>
      </c>
    </row>
    <row r="472" spans="3:3" x14ac:dyDescent="0.25">
      <c r="C472" s="15" t="s">
        <v>1870</v>
      </c>
    </row>
    <row r="473" spans="3:3" x14ac:dyDescent="0.25">
      <c r="C473" s="15" t="s">
        <v>1871</v>
      </c>
    </row>
    <row r="474" spans="3:3" x14ac:dyDescent="0.25">
      <c r="C474" s="15" t="s">
        <v>1872</v>
      </c>
    </row>
    <row r="475" spans="3:3" x14ac:dyDescent="0.25">
      <c r="C475" s="15" t="s">
        <v>1873</v>
      </c>
    </row>
    <row r="476" spans="3:3" x14ac:dyDescent="0.25">
      <c r="C476" s="15" t="s">
        <v>1874</v>
      </c>
    </row>
    <row r="477" spans="3:3" x14ac:dyDescent="0.25">
      <c r="C477" s="15" t="s">
        <v>1875</v>
      </c>
    </row>
    <row r="478" spans="3:3" x14ac:dyDescent="0.25">
      <c r="C478" s="15" t="s">
        <v>1876</v>
      </c>
    </row>
    <row r="479" spans="3:3" x14ac:dyDescent="0.25">
      <c r="C479" s="15" t="s">
        <v>1877</v>
      </c>
    </row>
    <row r="480" spans="3:3" x14ac:dyDescent="0.25">
      <c r="C480" s="15" t="s">
        <v>1878</v>
      </c>
    </row>
    <row r="481" spans="3:3" x14ac:dyDescent="0.25">
      <c r="C481" s="15" t="s">
        <v>1879</v>
      </c>
    </row>
    <row r="482" spans="3:3" x14ac:dyDescent="0.25">
      <c r="C482" s="15" t="s">
        <v>1880</v>
      </c>
    </row>
    <row r="483" spans="3:3" x14ac:dyDescent="0.25">
      <c r="C483" s="15" t="s">
        <v>1881</v>
      </c>
    </row>
    <row r="484" spans="3:3" x14ac:dyDescent="0.25">
      <c r="C484" s="15" t="s">
        <v>1882</v>
      </c>
    </row>
    <row r="485" spans="3:3" x14ac:dyDescent="0.25">
      <c r="C485" s="15" t="s">
        <v>1883</v>
      </c>
    </row>
    <row r="486" spans="3:3" x14ac:dyDescent="0.25">
      <c r="C486" s="15" t="s">
        <v>1884</v>
      </c>
    </row>
    <row r="487" spans="3:3" x14ac:dyDescent="0.25">
      <c r="C487" s="15" t="s">
        <v>1885</v>
      </c>
    </row>
    <row r="488" spans="3:3" x14ac:dyDescent="0.25">
      <c r="C488" s="15" t="s">
        <v>1886</v>
      </c>
    </row>
    <row r="489" spans="3:3" x14ac:dyDescent="0.25">
      <c r="C489" s="15" t="s">
        <v>1887</v>
      </c>
    </row>
    <row r="490" spans="3:3" x14ac:dyDescent="0.25">
      <c r="C490" s="15" t="s">
        <v>1888</v>
      </c>
    </row>
    <row r="491" spans="3:3" x14ac:dyDescent="0.25">
      <c r="C491" s="15" t="s">
        <v>1889</v>
      </c>
    </row>
    <row r="492" spans="3:3" x14ac:dyDescent="0.25">
      <c r="C492" s="15" t="s">
        <v>1890</v>
      </c>
    </row>
    <row r="493" spans="3:3" x14ac:dyDescent="0.25">
      <c r="C493" s="15" t="s">
        <v>1891</v>
      </c>
    </row>
    <row r="494" spans="3:3" x14ac:dyDescent="0.25">
      <c r="C494" s="15" t="s">
        <v>1892</v>
      </c>
    </row>
    <row r="495" spans="3:3" x14ac:dyDescent="0.25">
      <c r="C495" s="15" t="s">
        <v>1893</v>
      </c>
    </row>
    <row r="496" spans="3:3" x14ac:dyDescent="0.25">
      <c r="C496" s="15" t="s">
        <v>1894</v>
      </c>
    </row>
    <row r="497" spans="3:3" x14ac:dyDescent="0.25">
      <c r="C497" s="15" t="s">
        <v>1895</v>
      </c>
    </row>
    <row r="498" spans="3:3" x14ac:dyDescent="0.25">
      <c r="C498" s="15" t="s">
        <v>1896</v>
      </c>
    </row>
    <row r="499" spans="3:3" x14ac:dyDescent="0.25">
      <c r="C499" s="15" t="s">
        <v>1897</v>
      </c>
    </row>
    <row r="500" spans="3:3" x14ac:dyDescent="0.25">
      <c r="C500" s="15" t="s">
        <v>1898</v>
      </c>
    </row>
    <row r="501" spans="3:3" x14ac:dyDescent="0.25">
      <c r="C501" s="15" t="s">
        <v>1899</v>
      </c>
    </row>
    <row r="502" spans="3:3" x14ac:dyDescent="0.25">
      <c r="C502" s="15" t="s">
        <v>1900</v>
      </c>
    </row>
    <row r="503" spans="3:3" x14ac:dyDescent="0.25">
      <c r="C503" s="15" t="s">
        <v>1901</v>
      </c>
    </row>
    <row r="504" spans="3:3" x14ac:dyDescent="0.25">
      <c r="C504" s="15" t="s">
        <v>1902</v>
      </c>
    </row>
    <row r="505" spans="3:3" x14ac:dyDescent="0.25">
      <c r="C505" s="15" t="s">
        <v>1903</v>
      </c>
    </row>
    <row r="506" spans="3:3" x14ac:dyDescent="0.25">
      <c r="C506" s="15" t="s">
        <v>1904</v>
      </c>
    </row>
    <row r="507" spans="3:3" x14ac:dyDescent="0.25">
      <c r="C507" s="15" t="s">
        <v>1905</v>
      </c>
    </row>
    <row r="508" spans="3:3" x14ac:dyDescent="0.25">
      <c r="C508" s="15" t="s">
        <v>1906</v>
      </c>
    </row>
    <row r="509" spans="3:3" x14ac:dyDescent="0.25">
      <c r="C509" s="15" t="s">
        <v>1907</v>
      </c>
    </row>
    <row r="510" spans="3:3" x14ac:dyDescent="0.25">
      <c r="C510" s="15" t="s">
        <v>1908</v>
      </c>
    </row>
    <row r="511" spans="3:3" x14ac:dyDescent="0.25">
      <c r="C511" s="15" t="s">
        <v>1909</v>
      </c>
    </row>
    <row r="512" spans="3:3" x14ac:dyDescent="0.25">
      <c r="C512" s="15" t="s">
        <v>1910</v>
      </c>
    </row>
    <row r="513" spans="3:3" x14ac:dyDescent="0.25">
      <c r="C513" s="15" t="s">
        <v>1911</v>
      </c>
    </row>
    <row r="514" spans="3:3" x14ac:dyDescent="0.25">
      <c r="C514" s="15" t="s">
        <v>1912</v>
      </c>
    </row>
    <row r="515" spans="3:3" x14ac:dyDescent="0.25">
      <c r="C515" s="15" t="s">
        <v>1913</v>
      </c>
    </row>
    <row r="516" spans="3:3" x14ac:dyDescent="0.25">
      <c r="C516" s="15" t="s">
        <v>1914</v>
      </c>
    </row>
    <row r="517" spans="3:3" x14ac:dyDescent="0.25">
      <c r="C517" s="15" t="s">
        <v>1915</v>
      </c>
    </row>
    <row r="518" spans="3:3" x14ac:dyDescent="0.25">
      <c r="C518" s="15" t="s">
        <v>1916</v>
      </c>
    </row>
    <row r="519" spans="3:3" x14ac:dyDescent="0.25">
      <c r="C519" s="15" t="s">
        <v>1917</v>
      </c>
    </row>
    <row r="520" spans="3:3" x14ac:dyDescent="0.25">
      <c r="C520" s="15" t="s">
        <v>1918</v>
      </c>
    </row>
    <row r="521" spans="3:3" x14ac:dyDescent="0.25">
      <c r="C521" s="15" t="s">
        <v>1919</v>
      </c>
    </row>
    <row r="522" spans="3:3" x14ac:dyDescent="0.25">
      <c r="C522" s="15" t="s">
        <v>1920</v>
      </c>
    </row>
    <row r="523" spans="3:3" x14ac:dyDescent="0.25">
      <c r="C523" s="15" t="s">
        <v>1921</v>
      </c>
    </row>
    <row r="524" spans="3:3" x14ac:dyDescent="0.25">
      <c r="C524" s="15" t="s">
        <v>1922</v>
      </c>
    </row>
    <row r="525" spans="3:3" x14ac:dyDescent="0.25">
      <c r="C525" s="15" t="s">
        <v>1923</v>
      </c>
    </row>
    <row r="526" spans="3:3" x14ac:dyDescent="0.25">
      <c r="C526" s="15" t="s">
        <v>1924</v>
      </c>
    </row>
    <row r="527" spans="3:3" x14ac:dyDescent="0.25">
      <c r="C527" s="15" t="s">
        <v>1925</v>
      </c>
    </row>
    <row r="528" spans="3:3" x14ac:dyDescent="0.25">
      <c r="C528" s="15" t="s">
        <v>1926</v>
      </c>
    </row>
    <row r="529" spans="3:3" x14ac:dyDescent="0.25">
      <c r="C529" s="15" t="s">
        <v>1927</v>
      </c>
    </row>
    <row r="530" spans="3:3" x14ac:dyDescent="0.25">
      <c r="C530" s="15" t="s">
        <v>1928</v>
      </c>
    </row>
    <row r="531" spans="3:3" x14ac:dyDescent="0.25">
      <c r="C531" s="15" t="s">
        <v>1929</v>
      </c>
    </row>
    <row r="532" spans="3:3" x14ac:dyDescent="0.25">
      <c r="C532" s="15" t="s">
        <v>1930</v>
      </c>
    </row>
    <row r="533" spans="3:3" x14ac:dyDescent="0.25">
      <c r="C533" s="15" t="s">
        <v>1931</v>
      </c>
    </row>
    <row r="534" spans="3:3" x14ac:dyDescent="0.25">
      <c r="C534" s="15" t="s">
        <v>1932</v>
      </c>
    </row>
    <row r="535" spans="3:3" x14ac:dyDescent="0.25">
      <c r="C535" s="15" t="s">
        <v>1933</v>
      </c>
    </row>
    <row r="536" spans="3:3" x14ac:dyDescent="0.25">
      <c r="C536" s="15" t="s">
        <v>1934</v>
      </c>
    </row>
    <row r="537" spans="3:3" x14ac:dyDescent="0.25">
      <c r="C537" s="15" t="s">
        <v>1935</v>
      </c>
    </row>
    <row r="538" spans="3:3" x14ac:dyDescent="0.25">
      <c r="C538" s="15" t="s">
        <v>1936</v>
      </c>
    </row>
    <row r="539" spans="3:3" x14ac:dyDescent="0.25">
      <c r="C539" s="15" t="s">
        <v>1937</v>
      </c>
    </row>
    <row r="540" spans="3:3" x14ac:dyDescent="0.25">
      <c r="C540" s="15" t="s">
        <v>1938</v>
      </c>
    </row>
    <row r="541" spans="3:3" x14ac:dyDescent="0.25">
      <c r="C541" s="15" t="s">
        <v>1939</v>
      </c>
    </row>
    <row r="542" spans="3:3" x14ac:dyDescent="0.25">
      <c r="C542" s="15" t="s">
        <v>340</v>
      </c>
    </row>
    <row r="543" spans="3:3" x14ac:dyDescent="0.25">
      <c r="C543" s="15" t="s">
        <v>1940</v>
      </c>
    </row>
    <row r="544" spans="3:3" x14ac:dyDescent="0.25">
      <c r="C544" s="15" t="s">
        <v>1941</v>
      </c>
    </row>
    <row r="545" spans="3:3" x14ac:dyDescent="0.25">
      <c r="C545" s="15" t="s">
        <v>1942</v>
      </c>
    </row>
    <row r="546" spans="3:3" x14ac:dyDescent="0.25">
      <c r="C546" s="15" t="s">
        <v>1943</v>
      </c>
    </row>
    <row r="547" spans="3:3" x14ac:dyDescent="0.25">
      <c r="C547" s="15" t="s">
        <v>1944</v>
      </c>
    </row>
    <row r="548" spans="3:3" x14ac:dyDescent="0.25">
      <c r="C548" s="15" t="s">
        <v>1945</v>
      </c>
    </row>
    <row r="549" spans="3:3" x14ac:dyDescent="0.25">
      <c r="C549" s="15" t="s">
        <v>1946</v>
      </c>
    </row>
    <row r="550" spans="3:3" x14ac:dyDescent="0.25">
      <c r="C550" s="15" t="s">
        <v>1947</v>
      </c>
    </row>
    <row r="551" spans="3:3" x14ac:dyDescent="0.25">
      <c r="C551" s="15" t="s">
        <v>1948</v>
      </c>
    </row>
    <row r="552" spans="3:3" x14ac:dyDescent="0.25">
      <c r="C552" s="15" t="s">
        <v>1949</v>
      </c>
    </row>
    <row r="553" spans="3:3" x14ac:dyDescent="0.25">
      <c r="C553" s="15" t="s">
        <v>1950</v>
      </c>
    </row>
    <row r="554" spans="3:3" x14ac:dyDescent="0.25">
      <c r="C554" s="15" t="s">
        <v>1951</v>
      </c>
    </row>
    <row r="555" spans="3:3" x14ac:dyDescent="0.25">
      <c r="C555" s="15" t="s">
        <v>1952</v>
      </c>
    </row>
    <row r="556" spans="3:3" x14ac:dyDescent="0.25">
      <c r="C556" s="15" t="s">
        <v>1953</v>
      </c>
    </row>
    <row r="557" spans="3:3" x14ac:dyDescent="0.25">
      <c r="C557" s="15" t="s">
        <v>1954</v>
      </c>
    </row>
    <row r="558" spans="3:3" x14ac:dyDescent="0.25">
      <c r="C558" s="15" t="s">
        <v>1955</v>
      </c>
    </row>
    <row r="559" spans="3:3" x14ac:dyDescent="0.25">
      <c r="C559" s="15" t="s">
        <v>1956</v>
      </c>
    </row>
    <row r="560" spans="3:3" x14ac:dyDescent="0.25">
      <c r="C560" s="15" t="s">
        <v>1957</v>
      </c>
    </row>
    <row r="561" spans="3:3" x14ac:dyDescent="0.25">
      <c r="C561" s="15" t="s">
        <v>1958</v>
      </c>
    </row>
    <row r="562" spans="3:3" x14ac:dyDescent="0.25">
      <c r="C562" s="15" t="s">
        <v>1959</v>
      </c>
    </row>
    <row r="563" spans="3:3" x14ac:dyDescent="0.25">
      <c r="C563" s="15" t="s">
        <v>1960</v>
      </c>
    </row>
    <row r="564" spans="3:3" x14ac:dyDescent="0.25">
      <c r="C564" s="15" t="s">
        <v>1961</v>
      </c>
    </row>
    <row r="565" spans="3:3" x14ac:dyDescent="0.25">
      <c r="C565" s="15" t="s">
        <v>1962</v>
      </c>
    </row>
    <row r="566" spans="3:3" x14ac:dyDescent="0.25">
      <c r="C566" s="15" t="s">
        <v>1963</v>
      </c>
    </row>
    <row r="567" spans="3:3" x14ac:dyDescent="0.25">
      <c r="C567" s="15" t="s">
        <v>1964</v>
      </c>
    </row>
    <row r="568" spans="3:3" x14ac:dyDescent="0.25">
      <c r="C568" s="15" t="s">
        <v>1965</v>
      </c>
    </row>
    <row r="569" spans="3:3" x14ac:dyDescent="0.25">
      <c r="C569" s="15" t="s">
        <v>1966</v>
      </c>
    </row>
    <row r="570" spans="3:3" x14ac:dyDescent="0.25">
      <c r="C570" s="15" t="s">
        <v>1967</v>
      </c>
    </row>
    <row r="571" spans="3:3" x14ac:dyDescent="0.25">
      <c r="C571" s="15" t="s">
        <v>1968</v>
      </c>
    </row>
    <row r="572" spans="3:3" x14ac:dyDescent="0.25">
      <c r="C572" s="15" t="s">
        <v>1969</v>
      </c>
    </row>
    <row r="573" spans="3:3" x14ac:dyDescent="0.25">
      <c r="C573" s="15" t="s">
        <v>1970</v>
      </c>
    </row>
    <row r="574" spans="3:3" x14ac:dyDescent="0.25">
      <c r="C574" s="15" t="s">
        <v>1971</v>
      </c>
    </row>
    <row r="575" spans="3:3" x14ac:dyDescent="0.25">
      <c r="C575" s="15" t="s">
        <v>1972</v>
      </c>
    </row>
    <row r="576" spans="3:3" x14ac:dyDescent="0.25">
      <c r="C576" s="15" t="s">
        <v>1973</v>
      </c>
    </row>
    <row r="577" spans="3:3" x14ac:dyDescent="0.25">
      <c r="C577" s="15" t="s">
        <v>1974</v>
      </c>
    </row>
    <row r="578" spans="3:3" x14ac:dyDescent="0.25">
      <c r="C578" s="15" t="s">
        <v>1975</v>
      </c>
    </row>
    <row r="579" spans="3:3" x14ac:dyDescent="0.25">
      <c r="C579" s="15" t="s">
        <v>1976</v>
      </c>
    </row>
    <row r="580" spans="3:3" x14ac:dyDescent="0.25">
      <c r="C580" s="15" t="s">
        <v>1977</v>
      </c>
    </row>
    <row r="581" spans="3:3" x14ac:dyDescent="0.25">
      <c r="C581" s="15" t="s">
        <v>1978</v>
      </c>
    </row>
    <row r="582" spans="3:3" x14ac:dyDescent="0.25">
      <c r="C582" s="15" t="s">
        <v>1979</v>
      </c>
    </row>
    <row r="583" spans="3:3" x14ac:dyDescent="0.25">
      <c r="C583" s="15" t="s">
        <v>1980</v>
      </c>
    </row>
    <row r="584" spans="1:3" x14ac:dyDescent="0.25">
      <c r="A584" s="15" t="s">
        <v>2023</v>
      </c>
      <c r="B584" s="15" t="s">
        <v>17</v>
      </c>
      <c r="C584" s="15" t="s">
        <v>354</v>
      </c>
    </row>
    <row r="585" spans="3:3" x14ac:dyDescent="0.25">
      <c r="C585" s="15" t="s">
        <v>1981</v>
      </c>
    </row>
    <row r="586" spans="1:3" x14ac:dyDescent="0.25">
      <c r="A586" s="15" t="s">
        <v>2024</v>
      </c>
      <c r="B586" s="15" t="s">
        <v>17</v>
      </c>
      <c r="C586" s="15" t="s">
        <v>234</v>
      </c>
    </row>
    <row r="587" spans="3:3" x14ac:dyDescent="0.25">
      <c r="C587" s="15" t="s">
        <v>1718</v>
      </c>
    </row>
    <row r="588" spans="1:3" x14ac:dyDescent="0.25">
      <c r="A588" s="15" t="s">
        <v>2025</v>
      </c>
      <c r="B588" s="15" t="s">
        <v>17</v>
      </c>
      <c r="C588" s="15" t="s">
        <v>238</v>
      </c>
    </row>
    <row r="589" spans="3:3" x14ac:dyDescent="0.25">
      <c r="C589" s="15" t="s">
        <v>1719</v>
      </c>
    </row>
    <row r="590" spans="3:3" x14ac:dyDescent="0.25">
      <c r="C590" s="15" t="s">
        <v>1720</v>
      </c>
    </row>
    <row r="591" spans="3:3" x14ac:dyDescent="0.25">
      <c r="C591" s="15" t="s">
        <v>1721</v>
      </c>
    </row>
    <row r="592" spans="3:3" x14ac:dyDescent="0.25">
      <c r="C592" s="15" t="s">
        <v>1722</v>
      </c>
    </row>
    <row r="593" spans="3:3" x14ac:dyDescent="0.25">
      <c r="C593" s="15" t="s">
        <v>1723</v>
      </c>
    </row>
    <row r="594" spans="3:3" x14ac:dyDescent="0.25">
      <c r="C594" s="15" t="s">
        <v>1724</v>
      </c>
    </row>
    <row r="595" spans="1:3" x14ac:dyDescent="0.25">
      <c r="A595" s="15" t="s">
        <v>2026</v>
      </c>
      <c r="B595" s="15" t="s">
        <v>17</v>
      </c>
      <c r="C595" s="15" t="s">
        <v>245</v>
      </c>
    </row>
    <row r="596" spans="3:3" x14ac:dyDescent="0.25">
      <c r="C596" s="15" t="s">
        <v>1726</v>
      </c>
    </row>
    <row r="597" spans="3:3" x14ac:dyDescent="0.25">
      <c r="C597" s="15" t="s">
        <v>1727</v>
      </c>
    </row>
    <row r="598" spans="3:3" x14ac:dyDescent="0.25">
      <c r="C598" s="15" t="s">
        <v>1724</v>
      </c>
    </row>
    <row r="599" spans="1:3" x14ac:dyDescent="0.25">
      <c r="A599" s="15" t="s">
        <v>2027</v>
      </c>
      <c r="B599" s="15" t="s">
        <v>17</v>
      </c>
      <c r="C599" s="15" t="s">
        <v>251</v>
      </c>
    </row>
    <row r="600" spans="3:3" x14ac:dyDescent="0.25">
      <c r="C600" s="15" t="s">
        <v>1728</v>
      </c>
    </row>
    <row r="601" spans="1:3" x14ac:dyDescent="0.25">
      <c r="A601" s="15" t="s">
        <v>827</v>
      </c>
      <c r="B601" s="15" t="s">
        <v>17</v>
      </c>
      <c r="C601" s="15" t="s">
        <v>15</v>
      </c>
    </row>
    <row r="602" spans="3:3" x14ac:dyDescent="0.25">
      <c r="C602" s="15" t="s">
        <v>17</v>
      </c>
    </row>
    <row r="603" spans="1:3" x14ac:dyDescent="0.25">
      <c r="A603" s="15" t="s">
        <v>905</v>
      </c>
      <c r="B603" s="15" t="s">
        <v>17</v>
      </c>
      <c r="C603" s="15" t="s">
        <v>906</v>
      </c>
    </row>
    <row r="604" spans="3:3" x14ac:dyDescent="0.25">
      <c r="C604" s="15" t="s">
        <v>2028</v>
      </c>
    </row>
    <row r="605" spans="1:3" x14ac:dyDescent="0.25">
      <c r="A605" s="15" t="s">
        <v>2029</v>
      </c>
      <c r="B605" s="15" t="s">
        <v>17</v>
      </c>
      <c r="C605" s="15" t="s">
        <v>736</v>
      </c>
    </row>
    <row r="606" spans="3:3" x14ac:dyDescent="0.25">
      <c r="C606" s="15" t="s">
        <v>2001</v>
      </c>
    </row>
    <row r="607" spans="1:3" x14ac:dyDescent="0.25">
      <c r="A607" s="15" t="s">
        <v>2030</v>
      </c>
      <c r="B607" s="15" t="s">
        <v>17</v>
      </c>
      <c r="C607" s="15" t="s">
        <v>744</v>
      </c>
    </row>
    <row r="608" spans="3:3" x14ac:dyDescent="0.25">
      <c r="C608" s="15" t="s">
        <v>2002</v>
      </c>
    </row>
    <row r="609" spans="3:3" x14ac:dyDescent="0.25">
      <c r="C609" s="15" t="s">
        <v>2003</v>
      </c>
    </row>
    <row r="610" spans="3:3" x14ac:dyDescent="0.25">
      <c r="C610" s="15" t="s">
        <v>2004</v>
      </c>
    </row>
    <row r="611" spans="1:3" x14ac:dyDescent="0.25">
      <c r="A611" s="15" t="s">
        <v>2031</v>
      </c>
      <c r="B611" s="15" t="s">
        <v>17</v>
      </c>
      <c r="C611" s="15" t="s">
        <v>751</v>
      </c>
    </row>
    <row r="612" spans="3:3" x14ac:dyDescent="0.25">
      <c r="C612" s="15" t="s">
        <v>2005</v>
      </c>
    </row>
    <row r="613" spans="3:3" x14ac:dyDescent="0.25">
      <c r="C613" s="15" t="s">
        <v>2006</v>
      </c>
    </row>
    <row r="614" spans="1:3" x14ac:dyDescent="0.25">
      <c r="A614" s="15" t="s">
        <v>2032</v>
      </c>
      <c r="B614" s="15" t="s">
        <v>17</v>
      </c>
      <c r="C614" s="15" t="s">
        <v>762</v>
      </c>
    </row>
    <row r="615" spans="3:3" x14ac:dyDescent="0.25">
      <c r="C615" s="15" t="s">
        <v>2007</v>
      </c>
    </row>
    <row r="616" spans="3:3" x14ac:dyDescent="0.25">
      <c r="C616" s="15" t="s">
        <v>2008</v>
      </c>
    </row>
    <row r="617" spans="3:3" x14ac:dyDescent="0.25">
      <c r="C617" s="15" t="s">
        <v>2009</v>
      </c>
    </row>
    <row r="618" spans="3:3" x14ac:dyDescent="0.25">
      <c r="C618" s="15" t="s">
        <v>2010</v>
      </c>
    </row>
    <row r="619" spans="3:3" x14ac:dyDescent="0.25">
      <c r="C619" s="15" t="s">
        <v>2011</v>
      </c>
    </row>
    <row r="620" spans="3:3" x14ac:dyDescent="0.25">
      <c r="C620" s="15" t="s">
        <v>2012</v>
      </c>
    </row>
    <row r="621" spans="3:3" x14ac:dyDescent="0.25">
      <c r="C621" s="15" t="s">
        <v>2013</v>
      </c>
    </row>
    <row r="622" spans="3:3" x14ac:dyDescent="0.25">
      <c r="C622" s="15" t="s">
        <v>2014</v>
      </c>
    </row>
    <row r="623" spans="3:3" x14ac:dyDescent="0.25">
      <c r="C623" s="15" t="s">
        <v>2015</v>
      </c>
    </row>
    <row r="624" spans="3:3" x14ac:dyDescent="0.25">
      <c r="C624" s="15" t="s">
        <v>2016</v>
      </c>
    </row>
    <row r="625" spans="3:3" x14ac:dyDescent="0.25">
      <c r="C625" s="15" t="s">
        <v>2017</v>
      </c>
    </row>
    <row r="626" spans="3:3" x14ac:dyDescent="0.25">
      <c r="C626" s="15" t="s">
        <v>2018</v>
      </c>
    </row>
    <row r="627" spans="3:3" x14ac:dyDescent="0.25">
      <c r="C627" s="15" t="s">
        <v>2019</v>
      </c>
    </row>
    <row r="628" spans="3:3" x14ac:dyDescent="0.25">
      <c r="C628" s="15" t="s">
        <v>2020</v>
      </c>
    </row>
    <row r="629" spans="3:3" x14ac:dyDescent="0.25">
      <c r="C629" s="15" t="s">
        <v>2021</v>
      </c>
    </row>
    <row r="630" spans="1:3" x14ac:dyDescent="0.25">
      <c r="A630" s="15" t="s">
        <v>2033</v>
      </c>
      <c r="B630" s="15" t="s">
        <v>17</v>
      </c>
      <c r="C630" s="15" t="s">
        <v>1729</v>
      </c>
    </row>
    <row r="631" spans="3:3" x14ac:dyDescent="0.25">
      <c r="C631" s="15" t="s">
        <v>1730</v>
      </c>
    </row>
    <row r="632" spans="3:3" x14ac:dyDescent="0.25">
      <c r="C632" s="15" t="s">
        <v>1731</v>
      </c>
    </row>
    <row r="633" spans="3:3" x14ac:dyDescent="0.25">
      <c r="C633" s="15" t="s">
        <v>1732</v>
      </c>
    </row>
    <row r="634" spans="3:3" x14ac:dyDescent="0.25">
      <c r="C634" s="15" t="s">
        <v>1733</v>
      </c>
    </row>
    <row r="635" spans="3:3" x14ac:dyDescent="0.25">
      <c r="C635" s="15" t="s">
        <v>1734</v>
      </c>
    </row>
    <row r="636" spans="3:3" x14ac:dyDescent="0.25">
      <c r="C636" s="15" t="s">
        <v>1735</v>
      </c>
    </row>
    <row r="637" spans="3:3" x14ac:dyDescent="0.25">
      <c r="C637" s="15" t="s">
        <v>1736</v>
      </c>
    </row>
    <row r="638" spans="3:3" x14ac:dyDescent="0.25">
      <c r="C638" s="15" t="s">
        <v>1737</v>
      </c>
    </row>
    <row r="639" spans="3:3" x14ac:dyDescent="0.25">
      <c r="C639" s="15" t="s">
        <v>1738</v>
      </c>
    </row>
    <row r="640" spans="3:3" x14ac:dyDescent="0.25">
      <c r="C640" s="15" t="s">
        <v>1739</v>
      </c>
    </row>
    <row r="641" spans="3:3" x14ac:dyDescent="0.25">
      <c r="C641" s="15" t="s">
        <v>1740</v>
      </c>
    </row>
    <row r="642" spans="3:3" x14ac:dyDescent="0.25">
      <c r="C642" s="15" t="s">
        <v>1741</v>
      </c>
    </row>
    <row r="643" spans="3:3" x14ac:dyDescent="0.25">
      <c r="C643" s="15" t="s">
        <v>1742</v>
      </c>
    </row>
    <row r="644" spans="3:3" x14ac:dyDescent="0.25">
      <c r="C644" s="15" t="s">
        <v>1743</v>
      </c>
    </row>
    <row r="645" spans="3:3" x14ac:dyDescent="0.25">
      <c r="C645" s="15" t="s">
        <v>1744</v>
      </c>
    </row>
    <row r="646" spans="3:3" x14ac:dyDescent="0.25">
      <c r="C646" s="15" t="s">
        <v>1745</v>
      </c>
    </row>
    <row r="647" spans="3:3" x14ac:dyDescent="0.25">
      <c r="C647" s="15" t="s">
        <v>1746</v>
      </c>
    </row>
    <row r="648" spans="3:3" x14ac:dyDescent="0.25">
      <c r="C648" s="15" t="s">
        <v>1747</v>
      </c>
    </row>
    <row r="649" spans="3:3" x14ac:dyDescent="0.25">
      <c r="C649" s="15" t="s">
        <v>1748</v>
      </c>
    </row>
    <row r="650" spans="3:3" x14ac:dyDescent="0.25">
      <c r="C650" s="15" t="s">
        <v>1749</v>
      </c>
    </row>
    <row r="651" spans="3:3" x14ac:dyDescent="0.25">
      <c r="C651" s="15" t="s">
        <v>1750</v>
      </c>
    </row>
    <row r="652" spans="3:3" x14ac:dyDescent="0.25">
      <c r="C652" s="15" t="s">
        <v>1751</v>
      </c>
    </row>
    <row r="653" spans="3:3" x14ac:dyDescent="0.25">
      <c r="C653" s="15" t="s">
        <v>1752</v>
      </c>
    </row>
    <row r="654" spans="3:3" x14ac:dyDescent="0.25">
      <c r="C654" s="15" t="s">
        <v>1753</v>
      </c>
    </row>
    <row r="655" spans="3:3" x14ac:dyDescent="0.25">
      <c r="C655" s="15" t="s">
        <v>1754</v>
      </c>
    </row>
    <row r="656" spans="3:3" x14ac:dyDescent="0.25">
      <c r="C656" s="15" t="s">
        <v>1755</v>
      </c>
    </row>
    <row r="657" spans="3:3" x14ac:dyDescent="0.25">
      <c r="C657" s="15" t="s">
        <v>1756</v>
      </c>
    </row>
    <row r="658" spans="3:3" x14ac:dyDescent="0.25">
      <c r="C658" s="15" t="s">
        <v>1757</v>
      </c>
    </row>
    <row r="659" spans="3:3" x14ac:dyDescent="0.25">
      <c r="C659" s="15" t="s">
        <v>1758</v>
      </c>
    </row>
    <row r="660" spans="3:3" x14ac:dyDescent="0.25">
      <c r="C660" s="15" t="s">
        <v>1759</v>
      </c>
    </row>
    <row r="661" spans="3:3" x14ac:dyDescent="0.25">
      <c r="C661" s="15" t="s">
        <v>1760</v>
      </c>
    </row>
    <row r="662" spans="3:3" x14ac:dyDescent="0.25">
      <c r="C662" s="15" t="s">
        <v>1761</v>
      </c>
    </row>
    <row r="663" spans="3:3" x14ac:dyDescent="0.25">
      <c r="C663" s="15" t="s">
        <v>1762</v>
      </c>
    </row>
    <row r="664" spans="3:3" x14ac:dyDescent="0.25">
      <c r="C664" s="15" t="s">
        <v>1763</v>
      </c>
    </row>
    <row r="665" spans="3:3" x14ac:dyDescent="0.25">
      <c r="C665" s="15" t="s">
        <v>1764</v>
      </c>
    </row>
    <row r="666" spans="3:3" x14ac:dyDescent="0.25">
      <c r="C666" s="15" t="s">
        <v>1765</v>
      </c>
    </row>
    <row r="667" spans="3:3" x14ac:dyDescent="0.25">
      <c r="C667" s="15" t="s">
        <v>1766</v>
      </c>
    </row>
    <row r="668" spans="3:3" x14ac:dyDescent="0.25">
      <c r="C668" s="15" t="s">
        <v>1767</v>
      </c>
    </row>
    <row r="669" spans="3:3" x14ac:dyDescent="0.25">
      <c r="C669" s="15" t="s">
        <v>1768</v>
      </c>
    </row>
    <row r="670" spans="3:3" x14ac:dyDescent="0.25">
      <c r="C670" s="15" t="s">
        <v>1769</v>
      </c>
    </row>
    <row r="671" spans="3:3" x14ac:dyDescent="0.25">
      <c r="C671" s="15" t="s">
        <v>1770</v>
      </c>
    </row>
    <row r="672" spans="3:3" x14ac:dyDescent="0.25">
      <c r="C672" s="15" t="s">
        <v>1771</v>
      </c>
    </row>
    <row r="673" spans="3:3" x14ac:dyDescent="0.25">
      <c r="C673" s="15" t="s">
        <v>1772</v>
      </c>
    </row>
    <row r="674" spans="3:3" x14ac:dyDescent="0.25">
      <c r="C674" s="15" t="s">
        <v>1773</v>
      </c>
    </row>
    <row r="675" spans="3:3" x14ac:dyDescent="0.25">
      <c r="C675" s="15" t="s">
        <v>1774</v>
      </c>
    </row>
    <row r="676" spans="3:3" x14ac:dyDescent="0.25">
      <c r="C676" s="15" t="s">
        <v>1775</v>
      </c>
    </row>
    <row r="677" spans="3:3" x14ac:dyDescent="0.25">
      <c r="C677" s="15" t="s">
        <v>1776</v>
      </c>
    </row>
    <row r="678" spans="3:3" x14ac:dyDescent="0.25">
      <c r="C678" s="15" t="s">
        <v>1777</v>
      </c>
    </row>
    <row r="679" spans="3:3" x14ac:dyDescent="0.25">
      <c r="C679" s="15" t="s">
        <v>1778</v>
      </c>
    </row>
    <row r="680" spans="3:3" x14ac:dyDescent="0.25">
      <c r="C680" s="15" t="s">
        <v>1779</v>
      </c>
    </row>
    <row r="681" spans="3:3" x14ac:dyDescent="0.25">
      <c r="C681" s="15" t="s">
        <v>1780</v>
      </c>
    </row>
    <row r="682" spans="3:3" x14ac:dyDescent="0.25">
      <c r="C682" s="15" t="s">
        <v>1781</v>
      </c>
    </row>
    <row r="683" spans="3:3" x14ac:dyDescent="0.25">
      <c r="C683" s="15" t="s">
        <v>1782</v>
      </c>
    </row>
    <row r="684" spans="3:3" x14ac:dyDescent="0.25">
      <c r="C684" s="15" t="s">
        <v>1783</v>
      </c>
    </row>
    <row r="685" spans="3:3" x14ac:dyDescent="0.25">
      <c r="C685" s="15" t="s">
        <v>1784</v>
      </c>
    </row>
    <row r="686" spans="3:3" x14ac:dyDescent="0.25">
      <c r="C686" s="15" t="s">
        <v>1785</v>
      </c>
    </row>
    <row r="687" spans="3:3" x14ac:dyDescent="0.25">
      <c r="C687" s="15" t="s">
        <v>1786</v>
      </c>
    </row>
    <row r="688" spans="3:3" x14ac:dyDescent="0.25">
      <c r="C688" s="15" t="s">
        <v>1787</v>
      </c>
    </row>
    <row r="689" spans="3:3" x14ac:dyDescent="0.25">
      <c r="C689" s="15" t="s">
        <v>1788</v>
      </c>
    </row>
    <row r="690" spans="3:3" x14ac:dyDescent="0.25">
      <c r="C690" s="15" t="s">
        <v>1789</v>
      </c>
    </row>
    <row r="691" spans="3:3" x14ac:dyDescent="0.25">
      <c r="C691" s="15" t="s">
        <v>1790</v>
      </c>
    </row>
    <row r="692" spans="3:3" x14ac:dyDescent="0.25">
      <c r="C692" s="15" t="s">
        <v>1791</v>
      </c>
    </row>
    <row r="693" spans="3:3" x14ac:dyDescent="0.25">
      <c r="C693" s="15" t="s">
        <v>1792</v>
      </c>
    </row>
    <row r="694" spans="3:3" x14ac:dyDescent="0.25">
      <c r="C694" s="15" t="s">
        <v>1793</v>
      </c>
    </row>
    <row r="695" spans="3:3" x14ac:dyDescent="0.25">
      <c r="C695" s="15" t="s">
        <v>1794</v>
      </c>
    </row>
    <row r="696" spans="3:3" x14ac:dyDescent="0.25">
      <c r="C696" s="15" t="s">
        <v>1795</v>
      </c>
    </row>
    <row r="697" spans="3:3" x14ac:dyDescent="0.25">
      <c r="C697" s="15" t="s">
        <v>1796</v>
      </c>
    </row>
    <row r="698" spans="3:3" x14ac:dyDescent="0.25">
      <c r="C698" s="15" t="s">
        <v>1797</v>
      </c>
    </row>
    <row r="699" spans="3:3" x14ac:dyDescent="0.25">
      <c r="C699" s="15" t="s">
        <v>1798</v>
      </c>
    </row>
    <row r="700" spans="3:3" x14ac:dyDescent="0.25">
      <c r="C700" s="15" t="s">
        <v>1799</v>
      </c>
    </row>
    <row r="701" spans="3:3" x14ac:dyDescent="0.25">
      <c r="C701" s="15" t="s">
        <v>1800</v>
      </c>
    </row>
    <row r="702" spans="3:3" x14ac:dyDescent="0.25">
      <c r="C702" s="15" t="s">
        <v>1801</v>
      </c>
    </row>
    <row r="703" spans="3:3" x14ac:dyDescent="0.25">
      <c r="C703" s="15" t="s">
        <v>1802</v>
      </c>
    </row>
    <row r="704" spans="3:3" x14ac:dyDescent="0.25">
      <c r="C704" s="15" t="s">
        <v>1803</v>
      </c>
    </row>
    <row r="705" spans="3:3" x14ac:dyDescent="0.25">
      <c r="C705" s="15" t="s">
        <v>1804</v>
      </c>
    </row>
    <row r="706" spans="3:3" x14ac:dyDescent="0.25">
      <c r="C706" s="15" t="s">
        <v>1805</v>
      </c>
    </row>
    <row r="707" spans="3:3" x14ac:dyDescent="0.25">
      <c r="C707" s="15" t="s">
        <v>1806</v>
      </c>
    </row>
    <row r="708" spans="3:3" x14ac:dyDescent="0.25">
      <c r="C708" s="15" t="s">
        <v>1807</v>
      </c>
    </row>
    <row r="709" spans="3:3" x14ac:dyDescent="0.25">
      <c r="C709" s="15" t="s">
        <v>1808</v>
      </c>
    </row>
    <row r="710" spans="3:3" x14ac:dyDescent="0.25">
      <c r="C710" s="15" t="s">
        <v>1809</v>
      </c>
    </row>
    <row r="711" spans="3:3" x14ac:dyDescent="0.25">
      <c r="C711" s="15" t="s">
        <v>1810</v>
      </c>
    </row>
    <row r="712" spans="3:3" x14ac:dyDescent="0.25">
      <c r="C712" s="15" t="s">
        <v>1811</v>
      </c>
    </row>
    <row r="713" spans="3:3" x14ac:dyDescent="0.25">
      <c r="C713" s="15" t="s">
        <v>1812</v>
      </c>
    </row>
    <row r="714" spans="3:3" x14ac:dyDescent="0.25">
      <c r="C714" s="15" t="s">
        <v>1813</v>
      </c>
    </row>
    <row r="715" spans="3:3" x14ac:dyDescent="0.25">
      <c r="C715" s="15" t="s">
        <v>1814</v>
      </c>
    </row>
    <row r="716" spans="3:3" x14ac:dyDescent="0.25">
      <c r="C716" s="15" t="s">
        <v>1815</v>
      </c>
    </row>
    <row r="717" spans="3:3" x14ac:dyDescent="0.25">
      <c r="C717" s="15" t="s">
        <v>1816</v>
      </c>
    </row>
    <row r="718" spans="3:3" x14ac:dyDescent="0.25">
      <c r="C718" s="15" t="s">
        <v>1817</v>
      </c>
    </row>
    <row r="719" spans="3:3" x14ac:dyDescent="0.25">
      <c r="C719" s="15" t="s">
        <v>1818</v>
      </c>
    </row>
    <row r="720" spans="3:3" x14ac:dyDescent="0.25">
      <c r="C720" s="15" t="s">
        <v>1819</v>
      </c>
    </row>
    <row r="721" spans="3:3" x14ac:dyDescent="0.25">
      <c r="C721" s="15" t="s">
        <v>1820</v>
      </c>
    </row>
    <row r="722" spans="3:3" x14ac:dyDescent="0.25">
      <c r="C722" s="15" t="s">
        <v>1821</v>
      </c>
    </row>
    <row r="723" spans="3:3" x14ac:dyDescent="0.25">
      <c r="C723" s="15" t="s">
        <v>1822</v>
      </c>
    </row>
    <row r="724" spans="3:3" x14ac:dyDescent="0.25">
      <c r="C724" s="15" t="s">
        <v>1823</v>
      </c>
    </row>
    <row r="725" spans="3:3" x14ac:dyDescent="0.25">
      <c r="C725" s="15" t="s">
        <v>1824</v>
      </c>
    </row>
    <row r="726" spans="3:3" x14ac:dyDescent="0.25">
      <c r="C726" s="15" t="s">
        <v>1825</v>
      </c>
    </row>
    <row r="727" spans="3:3" x14ac:dyDescent="0.25">
      <c r="C727" s="15" t="s">
        <v>1826</v>
      </c>
    </row>
    <row r="728" spans="3:3" x14ac:dyDescent="0.25">
      <c r="C728" s="15" t="s">
        <v>1827</v>
      </c>
    </row>
    <row r="729" spans="3:3" x14ac:dyDescent="0.25">
      <c r="C729" s="15" t="s">
        <v>1828</v>
      </c>
    </row>
    <row r="730" spans="3:3" x14ac:dyDescent="0.25">
      <c r="C730" s="15" t="s">
        <v>1829</v>
      </c>
    </row>
    <row r="731" spans="3:3" x14ac:dyDescent="0.25">
      <c r="C731" s="15" t="s">
        <v>1830</v>
      </c>
    </row>
    <row r="732" spans="3:3" x14ac:dyDescent="0.25">
      <c r="C732" s="15" t="s">
        <v>1831</v>
      </c>
    </row>
    <row r="733" spans="3:3" x14ac:dyDescent="0.25">
      <c r="C733" s="15" t="s">
        <v>1832</v>
      </c>
    </row>
    <row r="734" spans="3:3" x14ac:dyDescent="0.25">
      <c r="C734" s="15" t="s">
        <v>1833</v>
      </c>
    </row>
    <row r="735" spans="3:3" x14ac:dyDescent="0.25">
      <c r="C735" s="15" t="s">
        <v>1834</v>
      </c>
    </row>
    <row r="736" spans="3:3" x14ac:dyDescent="0.25">
      <c r="C736" s="15" t="s">
        <v>1835</v>
      </c>
    </row>
    <row r="737" spans="3:3" x14ac:dyDescent="0.25">
      <c r="C737" s="15" t="s">
        <v>1836</v>
      </c>
    </row>
    <row r="738" spans="3:3" x14ac:dyDescent="0.25">
      <c r="C738" s="15" t="s">
        <v>1837</v>
      </c>
    </row>
    <row r="739" spans="3:3" x14ac:dyDescent="0.25">
      <c r="C739" s="15" t="s">
        <v>1838</v>
      </c>
    </row>
    <row r="740" spans="3:3" x14ac:dyDescent="0.25">
      <c r="C740" s="15" t="s">
        <v>1839</v>
      </c>
    </row>
    <row r="741" spans="3:3" x14ac:dyDescent="0.25">
      <c r="C741" s="15" t="s">
        <v>1840</v>
      </c>
    </row>
    <row r="742" spans="3:3" x14ac:dyDescent="0.25">
      <c r="C742" s="15" t="s">
        <v>1841</v>
      </c>
    </row>
    <row r="743" spans="3:3" x14ac:dyDescent="0.25">
      <c r="C743" s="15" t="s">
        <v>1842</v>
      </c>
    </row>
    <row r="744" spans="3:3" x14ac:dyDescent="0.25">
      <c r="C744" s="15" t="s">
        <v>1843</v>
      </c>
    </row>
    <row r="745" spans="3:3" x14ac:dyDescent="0.25">
      <c r="C745" s="15" t="s">
        <v>1844</v>
      </c>
    </row>
    <row r="746" spans="3:3" x14ac:dyDescent="0.25">
      <c r="C746" s="15" t="s">
        <v>1845</v>
      </c>
    </row>
    <row r="747" spans="3:3" x14ac:dyDescent="0.25">
      <c r="C747" s="15" t="s">
        <v>1846</v>
      </c>
    </row>
    <row r="748" spans="3:3" x14ac:dyDescent="0.25">
      <c r="C748" s="15" t="s">
        <v>1847</v>
      </c>
    </row>
    <row r="749" spans="3:3" x14ac:dyDescent="0.25">
      <c r="C749" s="15" t="s">
        <v>1848</v>
      </c>
    </row>
    <row r="750" spans="3:3" x14ac:dyDescent="0.25">
      <c r="C750" s="15" t="s">
        <v>1849</v>
      </c>
    </row>
    <row r="751" spans="3:3" x14ac:dyDescent="0.25">
      <c r="C751" s="15" t="s">
        <v>1850</v>
      </c>
    </row>
    <row r="752" spans="3:3" x14ac:dyDescent="0.25">
      <c r="C752" s="15" t="s">
        <v>1851</v>
      </c>
    </row>
    <row r="753" spans="3:3" x14ac:dyDescent="0.25">
      <c r="C753" s="15" t="s">
        <v>1852</v>
      </c>
    </row>
    <row r="754" spans="3:3" x14ac:dyDescent="0.25">
      <c r="C754" s="15" t="s">
        <v>1853</v>
      </c>
    </row>
    <row r="755" spans="3:3" x14ac:dyDescent="0.25">
      <c r="C755" s="15" t="s">
        <v>1854</v>
      </c>
    </row>
    <row r="756" spans="3:3" x14ac:dyDescent="0.25">
      <c r="C756" s="15" t="s">
        <v>1855</v>
      </c>
    </row>
    <row r="757" spans="3:3" x14ac:dyDescent="0.25">
      <c r="C757" s="15" t="s">
        <v>1856</v>
      </c>
    </row>
    <row r="758" spans="3:3" x14ac:dyDescent="0.25">
      <c r="C758" s="15" t="s">
        <v>1857</v>
      </c>
    </row>
    <row r="759" spans="3:3" x14ac:dyDescent="0.25">
      <c r="C759" s="15" t="s">
        <v>1858</v>
      </c>
    </row>
    <row r="760" spans="3:3" x14ac:dyDescent="0.25">
      <c r="C760" s="15" t="s">
        <v>1859</v>
      </c>
    </row>
    <row r="761" spans="3:3" x14ac:dyDescent="0.25">
      <c r="C761" s="15" t="s">
        <v>1860</v>
      </c>
    </row>
    <row r="762" spans="3:3" x14ac:dyDescent="0.25">
      <c r="C762" s="15" t="s">
        <v>1861</v>
      </c>
    </row>
    <row r="763" spans="3:3" x14ac:dyDescent="0.25">
      <c r="C763" s="15" t="s">
        <v>1862</v>
      </c>
    </row>
    <row r="764" spans="3:3" x14ac:dyDescent="0.25">
      <c r="C764" s="15" t="s">
        <v>1863</v>
      </c>
    </row>
    <row r="765" spans="3:3" x14ac:dyDescent="0.25">
      <c r="C765" s="15" t="s">
        <v>1864</v>
      </c>
    </row>
    <row r="766" spans="3:3" x14ac:dyDescent="0.25">
      <c r="C766" s="15" t="s">
        <v>1865</v>
      </c>
    </row>
    <row r="767" spans="3:3" x14ac:dyDescent="0.25">
      <c r="C767" s="15" t="s">
        <v>1866</v>
      </c>
    </row>
    <row r="768" spans="3:3" x14ac:dyDescent="0.25">
      <c r="C768" s="15" t="s">
        <v>1867</v>
      </c>
    </row>
    <row r="769" spans="3:3" x14ac:dyDescent="0.25">
      <c r="C769" s="15" t="s">
        <v>1868</v>
      </c>
    </row>
    <row r="770" spans="3:3" x14ac:dyDescent="0.25">
      <c r="C770" s="15" t="s">
        <v>1869</v>
      </c>
    </row>
    <row r="771" spans="3:3" x14ac:dyDescent="0.25">
      <c r="C771" s="15" t="s">
        <v>1870</v>
      </c>
    </row>
    <row r="772" spans="3:3" x14ac:dyDescent="0.25">
      <c r="C772" s="15" t="s">
        <v>1871</v>
      </c>
    </row>
    <row r="773" spans="3:3" x14ac:dyDescent="0.25">
      <c r="C773" s="15" t="s">
        <v>1872</v>
      </c>
    </row>
    <row r="774" spans="3:3" x14ac:dyDescent="0.25">
      <c r="C774" s="15" t="s">
        <v>1873</v>
      </c>
    </row>
    <row r="775" spans="3:3" x14ac:dyDescent="0.25">
      <c r="C775" s="15" t="s">
        <v>1874</v>
      </c>
    </row>
    <row r="776" spans="3:3" x14ac:dyDescent="0.25">
      <c r="C776" s="15" t="s">
        <v>1875</v>
      </c>
    </row>
    <row r="777" spans="3:3" x14ac:dyDescent="0.25">
      <c r="C777" s="15" t="s">
        <v>1876</v>
      </c>
    </row>
    <row r="778" spans="3:3" x14ac:dyDescent="0.25">
      <c r="C778" s="15" t="s">
        <v>1877</v>
      </c>
    </row>
    <row r="779" spans="3:3" x14ac:dyDescent="0.25">
      <c r="C779" s="15" t="s">
        <v>1878</v>
      </c>
    </row>
    <row r="780" spans="3:3" x14ac:dyDescent="0.25">
      <c r="C780" s="15" t="s">
        <v>1879</v>
      </c>
    </row>
    <row r="781" spans="3:3" x14ac:dyDescent="0.25">
      <c r="C781" s="15" t="s">
        <v>1880</v>
      </c>
    </row>
    <row r="782" spans="3:3" x14ac:dyDescent="0.25">
      <c r="C782" s="15" t="s">
        <v>1881</v>
      </c>
    </row>
    <row r="783" spans="3:3" x14ac:dyDescent="0.25">
      <c r="C783" s="15" t="s">
        <v>1882</v>
      </c>
    </row>
    <row r="784" spans="3:3" x14ac:dyDescent="0.25">
      <c r="C784" s="15" t="s">
        <v>1883</v>
      </c>
    </row>
    <row r="785" spans="3:3" x14ac:dyDescent="0.25">
      <c r="C785" s="15" t="s">
        <v>1884</v>
      </c>
    </row>
    <row r="786" spans="3:3" x14ac:dyDescent="0.25">
      <c r="C786" s="15" t="s">
        <v>1885</v>
      </c>
    </row>
    <row r="787" spans="3:3" x14ac:dyDescent="0.25">
      <c r="C787" s="15" t="s">
        <v>1886</v>
      </c>
    </row>
    <row r="788" spans="3:3" x14ac:dyDescent="0.25">
      <c r="C788" s="15" t="s">
        <v>1887</v>
      </c>
    </row>
    <row r="789" spans="3:3" x14ac:dyDescent="0.25">
      <c r="C789" s="15" t="s">
        <v>1888</v>
      </c>
    </row>
    <row r="790" spans="3:3" x14ac:dyDescent="0.25">
      <c r="C790" s="15" t="s">
        <v>1889</v>
      </c>
    </row>
    <row r="791" spans="3:3" x14ac:dyDescent="0.25">
      <c r="C791" s="15" t="s">
        <v>1890</v>
      </c>
    </row>
    <row r="792" spans="3:3" x14ac:dyDescent="0.25">
      <c r="C792" s="15" t="s">
        <v>1891</v>
      </c>
    </row>
    <row r="793" spans="3:3" x14ac:dyDescent="0.25">
      <c r="C793" s="15" t="s">
        <v>1892</v>
      </c>
    </row>
    <row r="794" spans="3:3" x14ac:dyDescent="0.25">
      <c r="C794" s="15" t="s">
        <v>1893</v>
      </c>
    </row>
    <row r="795" spans="3:3" x14ac:dyDescent="0.25">
      <c r="C795" s="15" t="s">
        <v>1894</v>
      </c>
    </row>
    <row r="796" spans="3:3" x14ac:dyDescent="0.25">
      <c r="C796" s="15" t="s">
        <v>1895</v>
      </c>
    </row>
    <row r="797" spans="3:3" x14ac:dyDescent="0.25">
      <c r="C797" s="15" t="s">
        <v>1896</v>
      </c>
    </row>
    <row r="798" spans="3:3" x14ac:dyDescent="0.25">
      <c r="C798" s="15" t="s">
        <v>1897</v>
      </c>
    </row>
    <row r="799" spans="3:3" x14ac:dyDescent="0.25">
      <c r="C799" s="15" t="s">
        <v>1898</v>
      </c>
    </row>
    <row r="800" spans="3:3" x14ac:dyDescent="0.25">
      <c r="C800" s="15" t="s">
        <v>1899</v>
      </c>
    </row>
    <row r="801" spans="3:3" x14ac:dyDescent="0.25">
      <c r="C801" s="15" t="s">
        <v>1900</v>
      </c>
    </row>
    <row r="802" spans="3:3" x14ac:dyDescent="0.25">
      <c r="C802" s="15" t="s">
        <v>1901</v>
      </c>
    </row>
    <row r="803" spans="3:3" x14ac:dyDescent="0.25">
      <c r="C803" s="15" t="s">
        <v>1902</v>
      </c>
    </row>
    <row r="804" spans="3:3" x14ac:dyDescent="0.25">
      <c r="C804" s="15" t="s">
        <v>1903</v>
      </c>
    </row>
    <row r="805" spans="3:3" x14ac:dyDescent="0.25">
      <c r="C805" s="15" t="s">
        <v>1904</v>
      </c>
    </row>
    <row r="806" spans="3:3" x14ac:dyDescent="0.25">
      <c r="C806" s="15" t="s">
        <v>1905</v>
      </c>
    </row>
    <row r="807" spans="3:3" x14ac:dyDescent="0.25">
      <c r="C807" s="15" t="s">
        <v>1906</v>
      </c>
    </row>
    <row r="808" spans="3:3" x14ac:dyDescent="0.25">
      <c r="C808" s="15" t="s">
        <v>1907</v>
      </c>
    </row>
    <row r="809" spans="3:3" x14ac:dyDescent="0.25">
      <c r="C809" s="15" t="s">
        <v>1908</v>
      </c>
    </row>
    <row r="810" spans="3:3" x14ac:dyDescent="0.25">
      <c r="C810" s="15" t="s">
        <v>1909</v>
      </c>
    </row>
    <row r="811" spans="3:3" x14ac:dyDescent="0.25">
      <c r="C811" s="15" t="s">
        <v>1910</v>
      </c>
    </row>
    <row r="812" spans="3:3" x14ac:dyDescent="0.25">
      <c r="C812" s="15" t="s">
        <v>1911</v>
      </c>
    </row>
    <row r="813" spans="3:3" x14ac:dyDescent="0.25">
      <c r="C813" s="15" t="s">
        <v>1912</v>
      </c>
    </row>
    <row r="814" spans="3:3" x14ac:dyDescent="0.25">
      <c r="C814" s="15" t="s">
        <v>1913</v>
      </c>
    </row>
    <row r="815" spans="3:3" x14ac:dyDescent="0.25">
      <c r="C815" s="15" t="s">
        <v>1914</v>
      </c>
    </row>
    <row r="816" spans="3:3" x14ac:dyDescent="0.25">
      <c r="C816" s="15" t="s">
        <v>1915</v>
      </c>
    </row>
    <row r="817" spans="3:3" x14ac:dyDescent="0.25">
      <c r="C817" s="15" t="s">
        <v>1916</v>
      </c>
    </row>
    <row r="818" spans="3:3" x14ac:dyDescent="0.25">
      <c r="C818" s="15" t="s">
        <v>1917</v>
      </c>
    </row>
    <row r="819" spans="3:3" x14ac:dyDescent="0.25">
      <c r="C819" s="15" t="s">
        <v>1918</v>
      </c>
    </row>
    <row r="820" spans="3:3" x14ac:dyDescent="0.25">
      <c r="C820" s="15" t="s">
        <v>1919</v>
      </c>
    </row>
    <row r="821" spans="3:3" x14ac:dyDescent="0.25">
      <c r="C821" s="15" t="s">
        <v>1920</v>
      </c>
    </row>
    <row r="822" spans="3:3" x14ac:dyDescent="0.25">
      <c r="C822" s="15" t="s">
        <v>1921</v>
      </c>
    </row>
    <row r="823" spans="3:3" x14ac:dyDescent="0.25">
      <c r="C823" s="15" t="s">
        <v>1922</v>
      </c>
    </row>
    <row r="824" spans="3:3" x14ac:dyDescent="0.25">
      <c r="C824" s="15" t="s">
        <v>1923</v>
      </c>
    </row>
    <row r="825" spans="3:3" x14ac:dyDescent="0.25">
      <c r="C825" s="15" t="s">
        <v>1924</v>
      </c>
    </row>
    <row r="826" spans="3:3" x14ac:dyDescent="0.25">
      <c r="C826" s="15" t="s">
        <v>1925</v>
      </c>
    </row>
    <row r="827" spans="3:3" x14ac:dyDescent="0.25">
      <c r="C827" s="15" t="s">
        <v>1926</v>
      </c>
    </row>
    <row r="828" spans="3:3" x14ac:dyDescent="0.25">
      <c r="C828" s="15" t="s">
        <v>1927</v>
      </c>
    </row>
    <row r="829" spans="3:3" x14ac:dyDescent="0.25">
      <c r="C829" s="15" t="s">
        <v>1928</v>
      </c>
    </row>
    <row r="830" spans="3:3" x14ac:dyDescent="0.25">
      <c r="C830" s="15" t="s">
        <v>1929</v>
      </c>
    </row>
    <row r="831" spans="3:3" x14ac:dyDescent="0.25">
      <c r="C831" s="15" t="s">
        <v>1930</v>
      </c>
    </row>
    <row r="832" spans="3:3" x14ac:dyDescent="0.25">
      <c r="C832" s="15" t="s">
        <v>1931</v>
      </c>
    </row>
    <row r="833" spans="3:3" x14ac:dyDescent="0.25">
      <c r="C833" s="15" t="s">
        <v>1932</v>
      </c>
    </row>
    <row r="834" spans="3:3" x14ac:dyDescent="0.25">
      <c r="C834" s="15" t="s">
        <v>1933</v>
      </c>
    </row>
    <row r="835" spans="3:3" x14ac:dyDescent="0.25">
      <c r="C835" s="15" t="s">
        <v>1934</v>
      </c>
    </row>
    <row r="836" spans="3:3" x14ac:dyDescent="0.25">
      <c r="C836" s="15" t="s">
        <v>1935</v>
      </c>
    </row>
    <row r="837" spans="3:3" x14ac:dyDescent="0.25">
      <c r="C837" s="15" t="s">
        <v>1936</v>
      </c>
    </row>
    <row r="838" spans="3:3" x14ac:dyDescent="0.25">
      <c r="C838" s="15" t="s">
        <v>1937</v>
      </c>
    </row>
    <row r="839" spans="3:3" x14ac:dyDescent="0.25">
      <c r="C839" s="15" t="s">
        <v>1938</v>
      </c>
    </row>
    <row r="840" spans="3:3" x14ac:dyDescent="0.25">
      <c r="C840" s="15" t="s">
        <v>1939</v>
      </c>
    </row>
    <row r="841" spans="3:3" x14ac:dyDescent="0.25">
      <c r="C841" s="15" t="s">
        <v>340</v>
      </c>
    </row>
    <row r="842" spans="3:3" x14ac:dyDescent="0.25">
      <c r="C842" s="15" t="s">
        <v>1940</v>
      </c>
    </row>
    <row r="843" spans="3:3" x14ac:dyDescent="0.25">
      <c r="C843" s="15" t="s">
        <v>1941</v>
      </c>
    </row>
    <row r="844" spans="3:3" x14ac:dyDescent="0.25">
      <c r="C844" s="15" t="s">
        <v>1942</v>
      </c>
    </row>
    <row r="845" spans="3:3" x14ac:dyDescent="0.25">
      <c r="C845" s="15" t="s">
        <v>1943</v>
      </c>
    </row>
    <row r="846" spans="3:3" x14ac:dyDescent="0.25">
      <c r="C846" s="15" t="s">
        <v>1944</v>
      </c>
    </row>
    <row r="847" spans="3:3" x14ac:dyDescent="0.25">
      <c r="C847" s="15" t="s">
        <v>1945</v>
      </c>
    </row>
    <row r="848" spans="3:3" x14ac:dyDescent="0.25">
      <c r="C848" s="15" t="s">
        <v>1946</v>
      </c>
    </row>
    <row r="849" spans="3:3" x14ac:dyDescent="0.25">
      <c r="C849" s="15" t="s">
        <v>1947</v>
      </c>
    </row>
    <row r="850" spans="3:3" x14ac:dyDescent="0.25">
      <c r="C850" s="15" t="s">
        <v>1948</v>
      </c>
    </row>
    <row r="851" spans="3:3" x14ac:dyDescent="0.25">
      <c r="C851" s="15" t="s">
        <v>1949</v>
      </c>
    </row>
    <row r="852" spans="3:3" x14ac:dyDescent="0.25">
      <c r="C852" s="15" t="s">
        <v>1950</v>
      </c>
    </row>
    <row r="853" spans="3:3" x14ac:dyDescent="0.25">
      <c r="C853" s="15" t="s">
        <v>1951</v>
      </c>
    </row>
    <row r="854" spans="3:3" x14ac:dyDescent="0.25">
      <c r="C854" s="15" t="s">
        <v>1952</v>
      </c>
    </row>
    <row r="855" spans="3:3" x14ac:dyDescent="0.25">
      <c r="C855" s="15" t="s">
        <v>1953</v>
      </c>
    </row>
    <row r="856" spans="3:3" x14ac:dyDescent="0.25">
      <c r="C856" s="15" t="s">
        <v>1954</v>
      </c>
    </row>
    <row r="857" spans="3:3" x14ac:dyDescent="0.25">
      <c r="C857" s="15" t="s">
        <v>1955</v>
      </c>
    </row>
    <row r="858" spans="3:3" x14ac:dyDescent="0.25">
      <c r="C858" s="15" t="s">
        <v>1956</v>
      </c>
    </row>
    <row r="859" spans="3:3" x14ac:dyDescent="0.25">
      <c r="C859" s="15" t="s">
        <v>1957</v>
      </c>
    </row>
    <row r="860" spans="3:3" x14ac:dyDescent="0.25">
      <c r="C860" s="15" t="s">
        <v>1958</v>
      </c>
    </row>
    <row r="861" spans="3:3" x14ac:dyDescent="0.25">
      <c r="C861" s="15" t="s">
        <v>1959</v>
      </c>
    </row>
    <row r="862" spans="3:3" x14ac:dyDescent="0.25">
      <c r="C862" s="15" t="s">
        <v>1960</v>
      </c>
    </row>
    <row r="863" spans="3:3" x14ac:dyDescent="0.25">
      <c r="C863" s="15" t="s">
        <v>1961</v>
      </c>
    </row>
    <row r="864" spans="3:3" x14ac:dyDescent="0.25">
      <c r="C864" s="15" t="s">
        <v>1962</v>
      </c>
    </row>
    <row r="865" spans="3:3" x14ac:dyDescent="0.25">
      <c r="C865" s="15" t="s">
        <v>1963</v>
      </c>
    </row>
    <row r="866" spans="3:3" x14ac:dyDescent="0.25">
      <c r="C866" s="15" t="s">
        <v>1964</v>
      </c>
    </row>
    <row r="867" spans="3:3" x14ac:dyDescent="0.25">
      <c r="C867" s="15" t="s">
        <v>1965</v>
      </c>
    </row>
    <row r="868" spans="3:3" x14ac:dyDescent="0.25">
      <c r="C868" s="15" t="s">
        <v>1966</v>
      </c>
    </row>
    <row r="869" spans="3:3" x14ac:dyDescent="0.25">
      <c r="C869" s="15" t="s">
        <v>1967</v>
      </c>
    </row>
    <row r="870" spans="3:3" x14ac:dyDescent="0.25">
      <c r="C870" s="15" t="s">
        <v>1968</v>
      </c>
    </row>
    <row r="871" spans="3:3" x14ac:dyDescent="0.25">
      <c r="C871" s="15" t="s">
        <v>1969</v>
      </c>
    </row>
    <row r="872" spans="3:3" x14ac:dyDescent="0.25">
      <c r="C872" s="15" t="s">
        <v>1970</v>
      </c>
    </row>
    <row r="873" spans="3:3" x14ac:dyDescent="0.25">
      <c r="C873" s="15" t="s">
        <v>1971</v>
      </c>
    </row>
    <row r="874" spans="3:3" x14ac:dyDescent="0.25">
      <c r="C874" s="15" t="s">
        <v>1972</v>
      </c>
    </row>
    <row r="875" spans="3:3" x14ac:dyDescent="0.25">
      <c r="C875" s="15" t="s">
        <v>1973</v>
      </c>
    </row>
    <row r="876" spans="3:3" x14ac:dyDescent="0.25">
      <c r="C876" s="15" t="s">
        <v>1974</v>
      </c>
    </row>
    <row r="877" spans="3:3" x14ac:dyDescent="0.25">
      <c r="C877" s="15" t="s">
        <v>1975</v>
      </c>
    </row>
    <row r="878" spans="3:3" x14ac:dyDescent="0.25">
      <c r="C878" s="15" t="s">
        <v>1976</v>
      </c>
    </row>
    <row r="879" spans="3:3" x14ac:dyDescent="0.25">
      <c r="C879" s="15" t="s">
        <v>1977</v>
      </c>
    </row>
    <row r="880" spans="3:3" x14ac:dyDescent="0.25">
      <c r="C880" s="15" t="s">
        <v>1978</v>
      </c>
    </row>
    <row r="881" spans="3:3" x14ac:dyDescent="0.25">
      <c r="C881" s="15" t="s">
        <v>1979</v>
      </c>
    </row>
    <row r="882" spans="3:3" x14ac:dyDescent="0.25">
      <c r="C882" s="15" t="s">
        <v>1980</v>
      </c>
    </row>
    <row r="883" spans="1:3" x14ac:dyDescent="0.25">
      <c r="A883" s="15" t="s">
        <v>2034</v>
      </c>
      <c r="B883" s="15" t="s">
        <v>17</v>
      </c>
      <c r="C883" s="15" t="s">
        <v>354</v>
      </c>
    </row>
    <row r="884" spans="3:3" x14ac:dyDescent="0.25">
      <c r="C884" s="15" t="s">
        <v>1981</v>
      </c>
    </row>
    <row r="885" spans="1:3" x14ac:dyDescent="0.25">
      <c r="A885" s="15" t="s">
        <v>2035</v>
      </c>
      <c r="B885" s="15" t="s">
        <v>17</v>
      </c>
      <c r="C885" s="15" t="s">
        <v>234</v>
      </c>
    </row>
    <row r="886" spans="3:3" x14ac:dyDescent="0.25">
      <c r="C886" s="15" t="s">
        <v>1718</v>
      </c>
    </row>
    <row r="887" spans="1:3" x14ac:dyDescent="0.25">
      <c r="A887" s="15" t="s">
        <v>2036</v>
      </c>
      <c r="B887" s="15" t="s">
        <v>17</v>
      </c>
      <c r="C887" s="15" t="s">
        <v>238</v>
      </c>
    </row>
    <row r="888" spans="3:3" x14ac:dyDescent="0.25">
      <c r="C888" s="15" t="s">
        <v>1719</v>
      </c>
    </row>
    <row r="889" spans="3:3" x14ac:dyDescent="0.25">
      <c r="C889" s="15" t="s">
        <v>1720</v>
      </c>
    </row>
    <row r="890" spans="3:3" x14ac:dyDescent="0.25">
      <c r="C890" s="15" t="s">
        <v>1721</v>
      </c>
    </row>
    <row r="891" spans="3:3" x14ac:dyDescent="0.25">
      <c r="C891" s="15" t="s">
        <v>1722</v>
      </c>
    </row>
    <row r="892" spans="3:3" x14ac:dyDescent="0.25">
      <c r="C892" s="15" t="s">
        <v>1723</v>
      </c>
    </row>
    <row r="893" spans="3:3" x14ac:dyDescent="0.25">
      <c r="C893" s="15" t="s">
        <v>1724</v>
      </c>
    </row>
    <row r="894" spans="1:3" x14ac:dyDescent="0.25">
      <c r="A894" s="15" t="s">
        <v>2037</v>
      </c>
      <c r="B894" s="15" t="s">
        <v>17</v>
      </c>
      <c r="C894" s="15" t="s">
        <v>245</v>
      </c>
    </row>
    <row r="895" spans="3:3" x14ac:dyDescent="0.25">
      <c r="C895" s="15" t="s">
        <v>1726</v>
      </c>
    </row>
    <row r="896" spans="3:3" x14ac:dyDescent="0.25">
      <c r="C896" s="15" t="s">
        <v>1727</v>
      </c>
    </row>
    <row r="897" spans="3:3" x14ac:dyDescent="0.25">
      <c r="C897" s="15" t="s">
        <v>1724</v>
      </c>
    </row>
    <row r="898" spans="1:3" x14ac:dyDescent="0.25">
      <c r="A898" s="15" t="s">
        <v>2038</v>
      </c>
      <c r="B898" s="15" t="s">
        <v>17</v>
      </c>
      <c r="C898" s="15" t="s">
        <v>251</v>
      </c>
    </row>
    <row r="899" spans="3:3" x14ac:dyDescent="0.25">
      <c r="C899" s="15" t="s">
        <v>1728</v>
      </c>
    </row>
    <row r="900" spans="1:3" x14ac:dyDescent="0.25">
      <c r="A900" s="15" t="s">
        <v>1173</v>
      </c>
      <c r="B900" s="15" t="s">
        <v>17</v>
      </c>
      <c r="C900" s="15" t="s">
        <v>762</v>
      </c>
    </row>
    <row r="901" spans="3:3" x14ac:dyDescent="0.25">
      <c r="C901" s="15" t="s">
        <v>2007</v>
      </c>
    </row>
    <row r="902" spans="3:3" x14ac:dyDescent="0.25">
      <c r="C902" s="15" t="s">
        <v>2008</v>
      </c>
    </row>
    <row r="903" spans="3:3" x14ac:dyDescent="0.25">
      <c r="C903" s="15" t="s">
        <v>2009</v>
      </c>
    </row>
    <row r="904" spans="3:3" x14ac:dyDescent="0.25">
      <c r="C904" s="15" t="s">
        <v>2010</v>
      </c>
    </row>
    <row r="905" spans="3:3" x14ac:dyDescent="0.25">
      <c r="C905" s="15" t="s">
        <v>2011</v>
      </c>
    </row>
    <row r="906" spans="3:3" x14ac:dyDescent="0.25">
      <c r="C906" s="15" t="s">
        <v>2012</v>
      </c>
    </row>
    <row r="907" spans="3:3" x14ac:dyDescent="0.25">
      <c r="C907" s="15" t="s">
        <v>2013</v>
      </c>
    </row>
    <row r="908" spans="3:3" x14ac:dyDescent="0.25">
      <c r="C908" s="15" t="s">
        <v>2014</v>
      </c>
    </row>
    <row r="909" spans="3:3" x14ac:dyDescent="0.25">
      <c r="C909" s="15" t="s">
        <v>2015</v>
      </c>
    </row>
    <row r="910" spans="3:3" x14ac:dyDescent="0.25">
      <c r="C910" s="15" t="s">
        <v>2016</v>
      </c>
    </row>
    <row r="911" spans="3:3" x14ac:dyDescent="0.25">
      <c r="C911" s="15" t="s">
        <v>2017</v>
      </c>
    </row>
    <row r="912" spans="3:3" x14ac:dyDescent="0.25">
      <c r="C912" s="15" t="s">
        <v>2039</v>
      </c>
    </row>
    <row r="913" spans="3:3" x14ac:dyDescent="0.25">
      <c r="C913" s="15" t="s">
        <v>2040</v>
      </c>
    </row>
    <row r="914" spans="3:3" x14ac:dyDescent="0.25">
      <c r="C914" s="15" t="s">
        <v>2041</v>
      </c>
    </row>
    <row r="915" spans="3:3" x14ac:dyDescent="0.25">
      <c r="C915" s="15" t="s">
        <v>2042</v>
      </c>
    </row>
    <row r="916" spans="1:3" x14ac:dyDescent="0.25">
      <c r="A916" s="15" t="s">
        <v>1181</v>
      </c>
      <c r="B916" s="15" t="s">
        <v>17</v>
      </c>
      <c r="C916" s="15" t="s">
        <v>1182</v>
      </c>
    </row>
    <row r="917" spans="3:3" x14ac:dyDescent="0.25">
      <c r="C917" s="15" t="s">
        <v>2043</v>
      </c>
    </row>
    <row r="918" spans="3:3" x14ac:dyDescent="0.25">
      <c r="C918" s="15" t="s">
        <v>2044</v>
      </c>
    </row>
    <row r="919" spans="3:3" x14ac:dyDescent="0.25">
      <c r="C919" s="15" t="s">
        <v>2045</v>
      </c>
    </row>
    <row r="920" spans="3:3" x14ac:dyDescent="0.25">
      <c r="C920" s="15" t="s">
        <v>2046</v>
      </c>
    </row>
    <row r="921" spans="3:3" x14ac:dyDescent="0.25">
      <c r="C921" s="15" t="s">
        <v>2047</v>
      </c>
    </row>
    <row r="922" spans="3:3" x14ac:dyDescent="0.25">
      <c r="C922" s="15" t="s">
        <v>1724</v>
      </c>
    </row>
    <row r="923" spans="1:3" x14ac:dyDescent="0.25">
      <c r="A923" s="15" t="s">
        <v>2048</v>
      </c>
      <c r="B923" s="15" t="s">
        <v>17</v>
      </c>
      <c r="C923" s="15" t="s">
        <v>906</v>
      </c>
    </row>
    <row r="924" spans="3:3" x14ac:dyDescent="0.25">
      <c r="C924" s="15" t="s">
        <v>2028</v>
      </c>
    </row>
    <row r="925" spans="1:3" x14ac:dyDescent="0.25">
      <c r="A925" s="15" t="s">
        <v>1296</v>
      </c>
      <c r="B925" s="15" t="s">
        <v>17</v>
      </c>
      <c r="C925" s="15" t="s">
        <v>1297</v>
      </c>
    </row>
    <row r="926" spans="3:3" x14ac:dyDescent="0.25">
      <c r="C926" s="15" t="s">
        <v>2049</v>
      </c>
    </row>
    <row r="927" spans="3:3" x14ac:dyDescent="0.25">
      <c r="C927" s="15" t="s">
        <v>2050</v>
      </c>
    </row>
    <row r="928" spans="3:3" x14ac:dyDescent="0.25">
      <c r="C928" s="15" t="s">
        <v>2051</v>
      </c>
    </row>
    <row r="929" spans="1:3" x14ac:dyDescent="0.25">
      <c r="A929" s="15" t="s">
        <v>1357</v>
      </c>
      <c r="B929" s="15" t="s">
        <v>17</v>
      </c>
      <c r="C929" s="15" t="s">
        <v>762</v>
      </c>
    </row>
    <row r="930" spans="3:3" x14ac:dyDescent="0.25">
      <c r="C930" s="15" t="s">
        <v>2007</v>
      </c>
    </row>
    <row r="931" spans="3:3" x14ac:dyDescent="0.25">
      <c r="C931" s="15" t="s">
        <v>2008</v>
      </c>
    </row>
    <row r="932" spans="3:3" x14ac:dyDescent="0.25">
      <c r="C932" s="15" t="s">
        <v>2009</v>
      </c>
    </row>
    <row r="933" spans="3:3" x14ac:dyDescent="0.25">
      <c r="C933" s="15" t="s">
        <v>2010</v>
      </c>
    </row>
    <row r="934" spans="3:3" x14ac:dyDescent="0.25">
      <c r="C934" s="15" t="s">
        <v>2011</v>
      </c>
    </row>
    <row r="935" spans="3:3" x14ac:dyDescent="0.25">
      <c r="C935" s="15" t="s">
        <v>2012</v>
      </c>
    </row>
    <row r="936" spans="3:3" x14ac:dyDescent="0.25">
      <c r="C936" s="15" t="s">
        <v>2013</v>
      </c>
    </row>
    <row r="937" spans="3:3" x14ac:dyDescent="0.25">
      <c r="C937" s="15" t="s">
        <v>2014</v>
      </c>
    </row>
    <row r="938" spans="3:3" x14ac:dyDescent="0.25">
      <c r="C938" s="15" t="s">
        <v>2015</v>
      </c>
    </row>
    <row r="939" spans="3:3" x14ac:dyDescent="0.25">
      <c r="C939" s="15" t="s">
        <v>2016</v>
      </c>
    </row>
    <row r="940" spans="3:3" x14ac:dyDescent="0.25">
      <c r="C940" s="15" t="s">
        <v>2017</v>
      </c>
    </row>
    <row r="941" spans="3:3" x14ac:dyDescent="0.25">
      <c r="C941" s="15" t="s">
        <v>2018</v>
      </c>
    </row>
    <row r="942" spans="3:3" x14ac:dyDescent="0.25">
      <c r="C942" s="15" t="s">
        <v>2019</v>
      </c>
    </row>
    <row r="943" spans="3:3" x14ac:dyDescent="0.25">
      <c r="C943" s="15" t="s">
        <v>2020</v>
      </c>
    </row>
    <row r="944" spans="3:3" x14ac:dyDescent="0.25">
      <c r="C944" s="15" t="s">
        <v>2021</v>
      </c>
    </row>
    <row r="945" spans="1:3" x14ac:dyDescent="0.25">
      <c r="A945" s="15" t="s">
        <v>2052</v>
      </c>
      <c r="B945" s="15" t="s">
        <v>17</v>
      </c>
      <c r="C945" s="15" t="s">
        <v>251</v>
      </c>
    </row>
    <row r="946" spans="3:3" x14ac:dyDescent="0.25">
      <c r="C946" s="15" t="s">
        <v>1728</v>
      </c>
    </row>
    <row r="947" spans="1:3" x14ac:dyDescent="0.25">
      <c r="A947" s="15" t="s">
        <v>2053</v>
      </c>
      <c r="B947" s="15" t="s">
        <v>17</v>
      </c>
      <c r="C947" s="15" t="s">
        <v>1729</v>
      </c>
    </row>
    <row r="948" spans="3:3" x14ac:dyDescent="0.25">
      <c r="C948" s="15" t="s">
        <v>1730</v>
      </c>
    </row>
    <row r="949" spans="3:3" x14ac:dyDescent="0.25">
      <c r="C949" s="15" t="s">
        <v>1731</v>
      </c>
    </row>
    <row r="950" spans="3:3" x14ac:dyDescent="0.25">
      <c r="C950" s="15" t="s">
        <v>1732</v>
      </c>
    </row>
    <row r="951" spans="3:3" x14ac:dyDescent="0.25">
      <c r="C951" s="15" t="s">
        <v>1733</v>
      </c>
    </row>
    <row r="952" spans="3:3" x14ac:dyDescent="0.25">
      <c r="C952" s="15" t="s">
        <v>1734</v>
      </c>
    </row>
    <row r="953" spans="3:3" x14ac:dyDescent="0.25">
      <c r="C953" s="15" t="s">
        <v>1735</v>
      </c>
    </row>
    <row r="954" spans="3:3" x14ac:dyDescent="0.25">
      <c r="C954" s="15" t="s">
        <v>1736</v>
      </c>
    </row>
    <row r="955" spans="3:3" x14ac:dyDescent="0.25">
      <c r="C955" s="15" t="s">
        <v>1737</v>
      </c>
    </row>
    <row r="956" spans="3:3" x14ac:dyDescent="0.25">
      <c r="C956" s="15" t="s">
        <v>1738</v>
      </c>
    </row>
    <row r="957" spans="3:3" x14ac:dyDescent="0.25">
      <c r="C957" s="15" t="s">
        <v>1739</v>
      </c>
    </row>
    <row r="958" spans="3:3" x14ac:dyDescent="0.25">
      <c r="C958" s="15" t="s">
        <v>1740</v>
      </c>
    </row>
    <row r="959" spans="3:3" x14ac:dyDescent="0.25">
      <c r="C959" s="15" t="s">
        <v>1741</v>
      </c>
    </row>
    <row r="960" spans="3:3" x14ac:dyDescent="0.25">
      <c r="C960" s="15" t="s">
        <v>1742</v>
      </c>
    </row>
    <row r="961" spans="3:3" x14ac:dyDescent="0.25">
      <c r="C961" s="15" t="s">
        <v>1743</v>
      </c>
    </row>
    <row r="962" spans="3:3" x14ac:dyDescent="0.25">
      <c r="C962" s="15" t="s">
        <v>1744</v>
      </c>
    </row>
    <row r="963" spans="3:3" x14ac:dyDescent="0.25">
      <c r="C963" s="15" t="s">
        <v>1745</v>
      </c>
    </row>
    <row r="964" spans="3:3" x14ac:dyDescent="0.25">
      <c r="C964" s="15" t="s">
        <v>1746</v>
      </c>
    </row>
    <row r="965" spans="3:3" x14ac:dyDescent="0.25">
      <c r="C965" s="15" t="s">
        <v>1747</v>
      </c>
    </row>
    <row r="966" spans="3:3" x14ac:dyDescent="0.25">
      <c r="C966" s="15" t="s">
        <v>1748</v>
      </c>
    </row>
    <row r="967" spans="3:3" x14ac:dyDescent="0.25">
      <c r="C967" s="15" t="s">
        <v>1749</v>
      </c>
    </row>
    <row r="968" spans="3:3" x14ac:dyDescent="0.25">
      <c r="C968" s="15" t="s">
        <v>1750</v>
      </c>
    </row>
    <row r="969" spans="3:3" x14ac:dyDescent="0.25">
      <c r="C969" s="15" t="s">
        <v>1751</v>
      </c>
    </row>
    <row r="970" spans="3:3" x14ac:dyDescent="0.25">
      <c r="C970" s="15" t="s">
        <v>1752</v>
      </c>
    </row>
    <row r="971" spans="3:3" x14ac:dyDescent="0.25">
      <c r="C971" s="15" t="s">
        <v>1753</v>
      </c>
    </row>
    <row r="972" spans="3:3" x14ac:dyDescent="0.25">
      <c r="C972" s="15" t="s">
        <v>1754</v>
      </c>
    </row>
    <row r="973" spans="3:3" x14ac:dyDescent="0.25">
      <c r="C973" s="15" t="s">
        <v>1755</v>
      </c>
    </row>
    <row r="974" spans="3:3" x14ac:dyDescent="0.25">
      <c r="C974" s="15" t="s">
        <v>1756</v>
      </c>
    </row>
    <row r="975" spans="3:3" x14ac:dyDescent="0.25">
      <c r="C975" s="15" t="s">
        <v>1757</v>
      </c>
    </row>
    <row r="976" spans="3:3" x14ac:dyDescent="0.25">
      <c r="C976" s="15" t="s">
        <v>1758</v>
      </c>
    </row>
    <row r="977" spans="3:3" x14ac:dyDescent="0.25">
      <c r="C977" s="15" t="s">
        <v>1759</v>
      </c>
    </row>
    <row r="978" spans="3:3" x14ac:dyDescent="0.25">
      <c r="C978" s="15" t="s">
        <v>1760</v>
      </c>
    </row>
    <row r="979" spans="3:3" x14ac:dyDescent="0.25">
      <c r="C979" s="15" t="s">
        <v>1761</v>
      </c>
    </row>
    <row r="980" spans="3:3" x14ac:dyDescent="0.25">
      <c r="C980" s="15" t="s">
        <v>1762</v>
      </c>
    </row>
    <row r="981" spans="3:3" x14ac:dyDescent="0.25">
      <c r="C981" s="15" t="s">
        <v>1763</v>
      </c>
    </row>
    <row r="982" spans="3:3" x14ac:dyDescent="0.25">
      <c r="C982" s="15" t="s">
        <v>1764</v>
      </c>
    </row>
    <row r="983" spans="3:3" x14ac:dyDescent="0.25">
      <c r="C983" s="15" t="s">
        <v>1765</v>
      </c>
    </row>
    <row r="984" spans="3:3" x14ac:dyDescent="0.25">
      <c r="C984" s="15" t="s">
        <v>1766</v>
      </c>
    </row>
    <row r="985" spans="3:3" x14ac:dyDescent="0.25">
      <c r="C985" s="15" t="s">
        <v>1767</v>
      </c>
    </row>
    <row r="986" spans="3:3" x14ac:dyDescent="0.25">
      <c r="C986" s="15" t="s">
        <v>1768</v>
      </c>
    </row>
    <row r="987" spans="3:3" x14ac:dyDescent="0.25">
      <c r="C987" s="15" t="s">
        <v>1769</v>
      </c>
    </row>
    <row r="988" spans="3:3" x14ac:dyDescent="0.25">
      <c r="C988" s="15" t="s">
        <v>1770</v>
      </c>
    </row>
    <row r="989" spans="3:3" x14ac:dyDescent="0.25">
      <c r="C989" s="15" t="s">
        <v>1771</v>
      </c>
    </row>
    <row r="990" spans="3:3" x14ac:dyDescent="0.25">
      <c r="C990" s="15" t="s">
        <v>1772</v>
      </c>
    </row>
    <row r="991" spans="3:3" x14ac:dyDescent="0.25">
      <c r="C991" s="15" t="s">
        <v>1773</v>
      </c>
    </row>
    <row r="992" spans="3:3" x14ac:dyDescent="0.25">
      <c r="C992" s="15" t="s">
        <v>1774</v>
      </c>
    </row>
    <row r="993" spans="3:3" x14ac:dyDescent="0.25">
      <c r="C993" s="15" t="s">
        <v>1775</v>
      </c>
    </row>
    <row r="994" spans="3:3" x14ac:dyDescent="0.25">
      <c r="C994" s="15" t="s">
        <v>1776</v>
      </c>
    </row>
    <row r="995" spans="3:3" x14ac:dyDescent="0.25">
      <c r="C995" s="15" t="s">
        <v>1777</v>
      </c>
    </row>
    <row r="996" spans="3:3" x14ac:dyDescent="0.25">
      <c r="C996" s="15" t="s">
        <v>1778</v>
      </c>
    </row>
    <row r="997" spans="3:3" x14ac:dyDescent="0.25">
      <c r="C997" s="15" t="s">
        <v>1779</v>
      </c>
    </row>
    <row r="998" spans="3:3" x14ac:dyDescent="0.25">
      <c r="C998" s="15" t="s">
        <v>1780</v>
      </c>
    </row>
    <row r="999" spans="3:3" x14ac:dyDescent="0.25">
      <c r="C999" s="15" t="s">
        <v>1781</v>
      </c>
    </row>
    <row r="1000" spans="3:3" x14ac:dyDescent="0.25">
      <c r="C1000" s="15" t="s">
        <v>1782</v>
      </c>
    </row>
    <row r="1001" spans="3:3" x14ac:dyDescent="0.25">
      <c r="C1001" s="15" t="s">
        <v>1783</v>
      </c>
    </row>
    <row r="1002" spans="3:3" x14ac:dyDescent="0.25">
      <c r="C1002" s="15" t="s">
        <v>1784</v>
      </c>
    </row>
    <row r="1003" spans="3:3" x14ac:dyDescent="0.25">
      <c r="C1003" s="15" t="s">
        <v>1785</v>
      </c>
    </row>
    <row r="1004" spans="3:3" x14ac:dyDescent="0.25">
      <c r="C1004" s="15" t="s">
        <v>1786</v>
      </c>
    </row>
    <row r="1005" spans="3:3" x14ac:dyDescent="0.25">
      <c r="C1005" s="15" t="s">
        <v>1787</v>
      </c>
    </row>
    <row r="1006" spans="3:3" x14ac:dyDescent="0.25">
      <c r="C1006" s="15" t="s">
        <v>1788</v>
      </c>
    </row>
    <row r="1007" spans="3:3" x14ac:dyDescent="0.25">
      <c r="C1007" s="15" t="s">
        <v>1789</v>
      </c>
    </row>
    <row r="1008" spans="3:3" x14ac:dyDescent="0.25">
      <c r="C1008" s="15" t="s">
        <v>1790</v>
      </c>
    </row>
    <row r="1009" spans="3:3" x14ac:dyDescent="0.25">
      <c r="C1009" s="15" t="s">
        <v>1791</v>
      </c>
    </row>
    <row r="1010" spans="3:3" x14ac:dyDescent="0.25">
      <c r="C1010" s="15" t="s">
        <v>1792</v>
      </c>
    </row>
    <row r="1011" spans="3:3" x14ac:dyDescent="0.25">
      <c r="C1011" s="15" t="s">
        <v>1793</v>
      </c>
    </row>
    <row r="1012" spans="3:3" x14ac:dyDescent="0.25">
      <c r="C1012" s="15" t="s">
        <v>1794</v>
      </c>
    </row>
    <row r="1013" spans="3:3" x14ac:dyDescent="0.25">
      <c r="C1013" s="15" t="s">
        <v>1795</v>
      </c>
    </row>
    <row r="1014" spans="3:3" x14ac:dyDescent="0.25">
      <c r="C1014" s="15" t="s">
        <v>1796</v>
      </c>
    </row>
    <row r="1015" spans="3:3" x14ac:dyDescent="0.25">
      <c r="C1015" s="15" t="s">
        <v>1797</v>
      </c>
    </row>
    <row r="1016" spans="3:3" x14ac:dyDescent="0.25">
      <c r="C1016" s="15" t="s">
        <v>1798</v>
      </c>
    </row>
    <row r="1017" spans="3:3" x14ac:dyDescent="0.25">
      <c r="C1017" s="15" t="s">
        <v>1799</v>
      </c>
    </row>
    <row r="1018" spans="3:3" x14ac:dyDescent="0.25">
      <c r="C1018" s="15" t="s">
        <v>1800</v>
      </c>
    </row>
    <row r="1019" spans="3:3" x14ac:dyDescent="0.25">
      <c r="C1019" s="15" t="s">
        <v>1801</v>
      </c>
    </row>
    <row r="1020" spans="3:3" x14ac:dyDescent="0.25">
      <c r="C1020" s="15" t="s">
        <v>1802</v>
      </c>
    </row>
    <row r="1021" spans="3:3" x14ac:dyDescent="0.25">
      <c r="C1021" s="15" t="s">
        <v>1803</v>
      </c>
    </row>
    <row r="1022" spans="3:3" x14ac:dyDescent="0.25">
      <c r="C1022" s="15" t="s">
        <v>1804</v>
      </c>
    </row>
    <row r="1023" spans="3:3" x14ac:dyDescent="0.25">
      <c r="C1023" s="15" t="s">
        <v>1805</v>
      </c>
    </row>
    <row r="1024" spans="3:3" x14ac:dyDescent="0.25">
      <c r="C1024" s="15" t="s">
        <v>1806</v>
      </c>
    </row>
    <row r="1025" spans="3:3" x14ac:dyDescent="0.25">
      <c r="C1025" s="15" t="s">
        <v>1807</v>
      </c>
    </row>
    <row r="1026" spans="3:3" x14ac:dyDescent="0.25">
      <c r="C1026" s="15" t="s">
        <v>1808</v>
      </c>
    </row>
    <row r="1027" spans="3:3" x14ac:dyDescent="0.25">
      <c r="C1027" s="15" t="s">
        <v>1809</v>
      </c>
    </row>
    <row r="1028" spans="3:3" x14ac:dyDescent="0.25">
      <c r="C1028" s="15" t="s">
        <v>1810</v>
      </c>
    </row>
    <row r="1029" spans="3:3" x14ac:dyDescent="0.25">
      <c r="C1029" s="15" t="s">
        <v>1811</v>
      </c>
    </row>
    <row r="1030" spans="3:3" x14ac:dyDescent="0.25">
      <c r="C1030" s="15" t="s">
        <v>1812</v>
      </c>
    </row>
    <row r="1031" spans="3:3" x14ac:dyDescent="0.25">
      <c r="C1031" s="15" t="s">
        <v>1813</v>
      </c>
    </row>
    <row r="1032" spans="3:3" x14ac:dyDescent="0.25">
      <c r="C1032" s="15" t="s">
        <v>1814</v>
      </c>
    </row>
    <row r="1033" spans="3:3" x14ac:dyDescent="0.25">
      <c r="C1033" s="15" t="s">
        <v>1815</v>
      </c>
    </row>
    <row r="1034" spans="3:3" x14ac:dyDescent="0.25">
      <c r="C1034" s="15" t="s">
        <v>1816</v>
      </c>
    </row>
    <row r="1035" spans="3:3" x14ac:dyDescent="0.25">
      <c r="C1035" s="15" t="s">
        <v>1817</v>
      </c>
    </row>
    <row r="1036" spans="3:3" x14ac:dyDescent="0.25">
      <c r="C1036" s="15" t="s">
        <v>1818</v>
      </c>
    </row>
    <row r="1037" spans="3:3" x14ac:dyDescent="0.25">
      <c r="C1037" s="15" t="s">
        <v>1819</v>
      </c>
    </row>
    <row r="1038" spans="3:3" x14ac:dyDescent="0.25">
      <c r="C1038" s="15" t="s">
        <v>1820</v>
      </c>
    </row>
    <row r="1039" spans="3:3" x14ac:dyDescent="0.25">
      <c r="C1039" s="15" t="s">
        <v>1821</v>
      </c>
    </row>
    <row r="1040" spans="3:3" x14ac:dyDescent="0.25">
      <c r="C1040" s="15" t="s">
        <v>1822</v>
      </c>
    </row>
    <row r="1041" spans="3:3" x14ac:dyDescent="0.25">
      <c r="C1041" s="15" t="s">
        <v>1823</v>
      </c>
    </row>
    <row r="1042" spans="3:3" x14ac:dyDescent="0.25">
      <c r="C1042" s="15" t="s">
        <v>1824</v>
      </c>
    </row>
    <row r="1043" spans="3:3" x14ac:dyDescent="0.25">
      <c r="C1043" s="15" t="s">
        <v>1825</v>
      </c>
    </row>
    <row r="1044" spans="3:3" x14ac:dyDescent="0.25">
      <c r="C1044" s="15" t="s">
        <v>1826</v>
      </c>
    </row>
    <row r="1045" spans="3:3" x14ac:dyDescent="0.25">
      <c r="C1045" s="15" t="s">
        <v>1827</v>
      </c>
    </row>
    <row r="1046" spans="3:3" x14ac:dyDescent="0.25">
      <c r="C1046" s="15" t="s">
        <v>1828</v>
      </c>
    </row>
    <row r="1047" spans="3:3" x14ac:dyDescent="0.25">
      <c r="C1047" s="15" t="s">
        <v>1829</v>
      </c>
    </row>
    <row r="1048" spans="3:3" x14ac:dyDescent="0.25">
      <c r="C1048" s="15" t="s">
        <v>1830</v>
      </c>
    </row>
    <row r="1049" spans="3:3" x14ac:dyDescent="0.25">
      <c r="C1049" s="15" t="s">
        <v>1831</v>
      </c>
    </row>
    <row r="1050" spans="3:3" x14ac:dyDescent="0.25">
      <c r="C1050" s="15" t="s">
        <v>1832</v>
      </c>
    </row>
    <row r="1051" spans="3:3" x14ac:dyDescent="0.25">
      <c r="C1051" s="15" t="s">
        <v>1833</v>
      </c>
    </row>
    <row r="1052" spans="3:3" x14ac:dyDescent="0.25">
      <c r="C1052" s="15" t="s">
        <v>1834</v>
      </c>
    </row>
    <row r="1053" spans="3:3" x14ac:dyDescent="0.25">
      <c r="C1053" s="15" t="s">
        <v>1835</v>
      </c>
    </row>
    <row r="1054" spans="3:3" x14ac:dyDescent="0.25">
      <c r="C1054" s="15" t="s">
        <v>1836</v>
      </c>
    </row>
    <row r="1055" spans="3:3" x14ac:dyDescent="0.25">
      <c r="C1055" s="15" t="s">
        <v>1837</v>
      </c>
    </row>
    <row r="1056" spans="3:3" x14ac:dyDescent="0.25">
      <c r="C1056" s="15" t="s">
        <v>1838</v>
      </c>
    </row>
    <row r="1057" spans="3:3" x14ac:dyDescent="0.25">
      <c r="C1057" s="15" t="s">
        <v>1839</v>
      </c>
    </row>
    <row r="1058" spans="3:3" x14ac:dyDescent="0.25">
      <c r="C1058" s="15" t="s">
        <v>1840</v>
      </c>
    </row>
    <row r="1059" spans="3:3" x14ac:dyDescent="0.25">
      <c r="C1059" s="15" t="s">
        <v>1841</v>
      </c>
    </row>
    <row r="1060" spans="3:3" x14ac:dyDescent="0.25">
      <c r="C1060" s="15" t="s">
        <v>1842</v>
      </c>
    </row>
    <row r="1061" spans="3:3" x14ac:dyDescent="0.25">
      <c r="C1061" s="15" t="s">
        <v>1843</v>
      </c>
    </row>
    <row r="1062" spans="3:3" x14ac:dyDescent="0.25">
      <c r="C1062" s="15" t="s">
        <v>1844</v>
      </c>
    </row>
    <row r="1063" spans="3:3" x14ac:dyDescent="0.25">
      <c r="C1063" s="15" t="s">
        <v>1845</v>
      </c>
    </row>
    <row r="1064" spans="3:3" x14ac:dyDescent="0.25">
      <c r="C1064" s="15" t="s">
        <v>1846</v>
      </c>
    </row>
    <row r="1065" spans="3:3" x14ac:dyDescent="0.25">
      <c r="C1065" s="15" t="s">
        <v>1847</v>
      </c>
    </row>
    <row r="1066" spans="3:3" x14ac:dyDescent="0.25">
      <c r="C1066" s="15" t="s">
        <v>1848</v>
      </c>
    </row>
    <row r="1067" spans="3:3" x14ac:dyDescent="0.25">
      <c r="C1067" s="15" t="s">
        <v>1849</v>
      </c>
    </row>
    <row r="1068" spans="3:3" x14ac:dyDescent="0.25">
      <c r="C1068" s="15" t="s">
        <v>1850</v>
      </c>
    </row>
    <row r="1069" spans="3:3" x14ac:dyDescent="0.25">
      <c r="C1069" s="15" t="s">
        <v>1851</v>
      </c>
    </row>
    <row r="1070" spans="3:3" x14ac:dyDescent="0.25">
      <c r="C1070" s="15" t="s">
        <v>1852</v>
      </c>
    </row>
    <row r="1071" spans="3:3" x14ac:dyDescent="0.25">
      <c r="C1071" s="15" t="s">
        <v>1853</v>
      </c>
    </row>
    <row r="1072" spans="3:3" x14ac:dyDescent="0.25">
      <c r="C1072" s="15" t="s">
        <v>1854</v>
      </c>
    </row>
    <row r="1073" spans="3:3" x14ac:dyDescent="0.25">
      <c r="C1073" s="15" t="s">
        <v>1855</v>
      </c>
    </row>
    <row r="1074" spans="3:3" x14ac:dyDescent="0.25">
      <c r="C1074" s="15" t="s">
        <v>1856</v>
      </c>
    </row>
    <row r="1075" spans="3:3" x14ac:dyDescent="0.25">
      <c r="C1075" s="15" t="s">
        <v>1857</v>
      </c>
    </row>
    <row r="1076" spans="3:3" x14ac:dyDescent="0.25">
      <c r="C1076" s="15" t="s">
        <v>1858</v>
      </c>
    </row>
    <row r="1077" spans="3:3" x14ac:dyDescent="0.25">
      <c r="C1077" s="15" t="s">
        <v>1859</v>
      </c>
    </row>
    <row r="1078" spans="3:3" x14ac:dyDescent="0.25">
      <c r="C1078" s="15" t="s">
        <v>1860</v>
      </c>
    </row>
    <row r="1079" spans="3:3" x14ac:dyDescent="0.25">
      <c r="C1079" s="15" t="s">
        <v>1861</v>
      </c>
    </row>
    <row r="1080" spans="3:3" x14ac:dyDescent="0.25">
      <c r="C1080" s="15" t="s">
        <v>1862</v>
      </c>
    </row>
    <row r="1081" spans="3:3" x14ac:dyDescent="0.25">
      <c r="C1081" s="15" t="s">
        <v>1863</v>
      </c>
    </row>
    <row r="1082" spans="3:3" x14ac:dyDescent="0.25">
      <c r="C1082" s="15" t="s">
        <v>1864</v>
      </c>
    </row>
    <row r="1083" spans="3:3" x14ac:dyDescent="0.25">
      <c r="C1083" s="15" t="s">
        <v>1865</v>
      </c>
    </row>
    <row r="1084" spans="3:3" x14ac:dyDescent="0.25">
      <c r="C1084" s="15" t="s">
        <v>1866</v>
      </c>
    </row>
    <row r="1085" spans="3:3" x14ac:dyDescent="0.25">
      <c r="C1085" s="15" t="s">
        <v>1867</v>
      </c>
    </row>
    <row r="1086" spans="3:3" x14ac:dyDescent="0.25">
      <c r="C1086" s="15" t="s">
        <v>1868</v>
      </c>
    </row>
    <row r="1087" spans="3:3" x14ac:dyDescent="0.25">
      <c r="C1087" s="15" t="s">
        <v>1869</v>
      </c>
    </row>
    <row r="1088" spans="3:3" x14ac:dyDescent="0.25">
      <c r="C1088" s="15" t="s">
        <v>1870</v>
      </c>
    </row>
    <row r="1089" spans="3:3" x14ac:dyDescent="0.25">
      <c r="C1089" s="15" t="s">
        <v>1871</v>
      </c>
    </row>
    <row r="1090" spans="3:3" x14ac:dyDescent="0.25">
      <c r="C1090" s="15" t="s">
        <v>1872</v>
      </c>
    </row>
    <row r="1091" spans="3:3" x14ac:dyDescent="0.25">
      <c r="C1091" s="15" t="s">
        <v>1873</v>
      </c>
    </row>
    <row r="1092" spans="3:3" x14ac:dyDescent="0.25">
      <c r="C1092" s="15" t="s">
        <v>1874</v>
      </c>
    </row>
    <row r="1093" spans="3:3" x14ac:dyDescent="0.25">
      <c r="C1093" s="15" t="s">
        <v>1875</v>
      </c>
    </row>
    <row r="1094" spans="3:3" x14ac:dyDescent="0.25">
      <c r="C1094" s="15" t="s">
        <v>1876</v>
      </c>
    </row>
    <row r="1095" spans="3:3" x14ac:dyDescent="0.25">
      <c r="C1095" s="15" t="s">
        <v>1877</v>
      </c>
    </row>
    <row r="1096" spans="3:3" x14ac:dyDescent="0.25">
      <c r="C1096" s="15" t="s">
        <v>1878</v>
      </c>
    </row>
    <row r="1097" spans="3:3" x14ac:dyDescent="0.25">
      <c r="C1097" s="15" t="s">
        <v>1879</v>
      </c>
    </row>
    <row r="1098" spans="3:3" x14ac:dyDescent="0.25">
      <c r="C1098" s="15" t="s">
        <v>1880</v>
      </c>
    </row>
    <row r="1099" spans="3:3" x14ac:dyDescent="0.25">
      <c r="C1099" s="15" t="s">
        <v>1881</v>
      </c>
    </row>
    <row r="1100" spans="3:3" x14ac:dyDescent="0.25">
      <c r="C1100" s="15" t="s">
        <v>1882</v>
      </c>
    </row>
    <row r="1101" spans="3:3" x14ac:dyDescent="0.25">
      <c r="C1101" s="15" t="s">
        <v>1883</v>
      </c>
    </row>
    <row r="1102" spans="3:3" x14ac:dyDescent="0.25">
      <c r="C1102" s="15" t="s">
        <v>1884</v>
      </c>
    </row>
    <row r="1103" spans="3:3" x14ac:dyDescent="0.25">
      <c r="C1103" s="15" t="s">
        <v>1885</v>
      </c>
    </row>
    <row r="1104" spans="3:3" x14ac:dyDescent="0.25">
      <c r="C1104" s="15" t="s">
        <v>1886</v>
      </c>
    </row>
    <row r="1105" spans="3:3" x14ac:dyDescent="0.25">
      <c r="C1105" s="15" t="s">
        <v>1887</v>
      </c>
    </row>
    <row r="1106" spans="3:3" x14ac:dyDescent="0.25">
      <c r="C1106" s="15" t="s">
        <v>1888</v>
      </c>
    </row>
    <row r="1107" spans="3:3" x14ac:dyDescent="0.25">
      <c r="C1107" s="15" t="s">
        <v>1889</v>
      </c>
    </row>
    <row r="1108" spans="3:3" x14ac:dyDescent="0.25">
      <c r="C1108" s="15" t="s">
        <v>1890</v>
      </c>
    </row>
    <row r="1109" spans="3:3" x14ac:dyDescent="0.25">
      <c r="C1109" s="15" t="s">
        <v>1891</v>
      </c>
    </row>
    <row r="1110" spans="3:3" x14ac:dyDescent="0.25">
      <c r="C1110" s="15" t="s">
        <v>1892</v>
      </c>
    </row>
    <row r="1111" spans="3:3" x14ac:dyDescent="0.25">
      <c r="C1111" s="15" t="s">
        <v>1893</v>
      </c>
    </row>
    <row r="1112" spans="3:3" x14ac:dyDescent="0.25">
      <c r="C1112" s="15" t="s">
        <v>1894</v>
      </c>
    </row>
    <row r="1113" spans="3:3" x14ac:dyDescent="0.25">
      <c r="C1113" s="15" t="s">
        <v>1895</v>
      </c>
    </row>
    <row r="1114" spans="3:3" x14ac:dyDescent="0.25">
      <c r="C1114" s="15" t="s">
        <v>1896</v>
      </c>
    </row>
    <row r="1115" spans="3:3" x14ac:dyDescent="0.25">
      <c r="C1115" s="15" t="s">
        <v>1897</v>
      </c>
    </row>
    <row r="1116" spans="3:3" x14ac:dyDescent="0.25">
      <c r="C1116" s="15" t="s">
        <v>1898</v>
      </c>
    </row>
    <row r="1117" spans="3:3" x14ac:dyDescent="0.25">
      <c r="C1117" s="15" t="s">
        <v>1899</v>
      </c>
    </row>
    <row r="1118" spans="3:3" x14ac:dyDescent="0.25">
      <c r="C1118" s="15" t="s">
        <v>1900</v>
      </c>
    </row>
    <row r="1119" spans="3:3" x14ac:dyDescent="0.25">
      <c r="C1119" s="15" t="s">
        <v>1901</v>
      </c>
    </row>
    <row r="1120" spans="3:3" x14ac:dyDescent="0.25">
      <c r="C1120" s="15" t="s">
        <v>1902</v>
      </c>
    </row>
    <row r="1121" spans="3:3" x14ac:dyDescent="0.25">
      <c r="C1121" s="15" t="s">
        <v>1903</v>
      </c>
    </row>
    <row r="1122" spans="3:3" x14ac:dyDescent="0.25">
      <c r="C1122" s="15" t="s">
        <v>1904</v>
      </c>
    </row>
    <row r="1123" spans="3:3" x14ac:dyDescent="0.25">
      <c r="C1123" s="15" t="s">
        <v>1905</v>
      </c>
    </row>
    <row r="1124" spans="3:3" x14ac:dyDescent="0.25">
      <c r="C1124" s="15" t="s">
        <v>1906</v>
      </c>
    </row>
    <row r="1125" spans="3:3" x14ac:dyDescent="0.25">
      <c r="C1125" s="15" t="s">
        <v>1907</v>
      </c>
    </row>
    <row r="1126" spans="3:3" x14ac:dyDescent="0.25">
      <c r="C1126" s="15" t="s">
        <v>1908</v>
      </c>
    </row>
    <row r="1127" spans="3:3" x14ac:dyDescent="0.25">
      <c r="C1127" s="15" t="s">
        <v>1909</v>
      </c>
    </row>
    <row r="1128" spans="3:3" x14ac:dyDescent="0.25">
      <c r="C1128" s="15" t="s">
        <v>1910</v>
      </c>
    </row>
    <row r="1129" spans="3:3" x14ac:dyDescent="0.25">
      <c r="C1129" s="15" t="s">
        <v>1911</v>
      </c>
    </row>
    <row r="1130" spans="3:3" x14ac:dyDescent="0.25">
      <c r="C1130" s="15" t="s">
        <v>1912</v>
      </c>
    </row>
    <row r="1131" spans="3:3" x14ac:dyDescent="0.25">
      <c r="C1131" s="15" t="s">
        <v>1913</v>
      </c>
    </row>
    <row r="1132" spans="3:3" x14ac:dyDescent="0.25">
      <c r="C1132" s="15" t="s">
        <v>1914</v>
      </c>
    </row>
    <row r="1133" spans="3:3" x14ac:dyDescent="0.25">
      <c r="C1133" s="15" t="s">
        <v>1915</v>
      </c>
    </row>
    <row r="1134" spans="3:3" x14ac:dyDescent="0.25">
      <c r="C1134" s="15" t="s">
        <v>1916</v>
      </c>
    </row>
    <row r="1135" spans="3:3" x14ac:dyDescent="0.25">
      <c r="C1135" s="15" t="s">
        <v>1917</v>
      </c>
    </row>
    <row r="1136" spans="3:3" x14ac:dyDescent="0.25">
      <c r="C1136" s="15" t="s">
        <v>1918</v>
      </c>
    </row>
    <row r="1137" spans="3:3" x14ac:dyDescent="0.25">
      <c r="C1137" s="15" t="s">
        <v>1919</v>
      </c>
    </row>
    <row r="1138" spans="3:3" x14ac:dyDescent="0.25">
      <c r="C1138" s="15" t="s">
        <v>1920</v>
      </c>
    </row>
    <row r="1139" spans="3:3" x14ac:dyDescent="0.25">
      <c r="C1139" s="15" t="s">
        <v>1921</v>
      </c>
    </row>
    <row r="1140" spans="3:3" x14ac:dyDescent="0.25">
      <c r="C1140" s="15" t="s">
        <v>1922</v>
      </c>
    </row>
    <row r="1141" spans="3:3" x14ac:dyDescent="0.25">
      <c r="C1141" s="15" t="s">
        <v>1923</v>
      </c>
    </row>
    <row r="1142" spans="3:3" x14ac:dyDescent="0.25">
      <c r="C1142" s="15" t="s">
        <v>1924</v>
      </c>
    </row>
    <row r="1143" spans="3:3" x14ac:dyDescent="0.25">
      <c r="C1143" s="15" t="s">
        <v>1925</v>
      </c>
    </row>
    <row r="1144" spans="3:3" x14ac:dyDescent="0.25">
      <c r="C1144" s="15" t="s">
        <v>1926</v>
      </c>
    </row>
    <row r="1145" spans="3:3" x14ac:dyDescent="0.25">
      <c r="C1145" s="15" t="s">
        <v>1927</v>
      </c>
    </row>
    <row r="1146" spans="3:3" x14ac:dyDescent="0.25">
      <c r="C1146" s="15" t="s">
        <v>1928</v>
      </c>
    </row>
    <row r="1147" spans="3:3" x14ac:dyDescent="0.25">
      <c r="C1147" s="15" t="s">
        <v>1929</v>
      </c>
    </row>
    <row r="1148" spans="3:3" x14ac:dyDescent="0.25">
      <c r="C1148" s="15" t="s">
        <v>1930</v>
      </c>
    </row>
    <row r="1149" spans="3:3" x14ac:dyDescent="0.25">
      <c r="C1149" s="15" t="s">
        <v>1931</v>
      </c>
    </row>
    <row r="1150" spans="3:3" x14ac:dyDescent="0.25">
      <c r="C1150" s="15" t="s">
        <v>1932</v>
      </c>
    </row>
    <row r="1151" spans="3:3" x14ac:dyDescent="0.25">
      <c r="C1151" s="15" t="s">
        <v>1933</v>
      </c>
    </row>
    <row r="1152" spans="3:3" x14ac:dyDescent="0.25">
      <c r="C1152" s="15" t="s">
        <v>1934</v>
      </c>
    </row>
    <row r="1153" spans="3:3" x14ac:dyDescent="0.25">
      <c r="C1153" s="15" t="s">
        <v>1935</v>
      </c>
    </row>
    <row r="1154" spans="3:3" x14ac:dyDescent="0.25">
      <c r="C1154" s="15" t="s">
        <v>1936</v>
      </c>
    </row>
    <row r="1155" spans="3:3" x14ac:dyDescent="0.25">
      <c r="C1155" s="15" t="s">
        <v>1937</v>
      </c>
    </row>
    <row r="1156" spans="3:3" x14ac:dyDescent="0.25">
      <c r="C1156" s="15" t="s">
        <v>1938</v>
      </c>
    </row>
    <row r="1157" spans="3:3" x14ac:dyDescent="0.25">
      <c r="C1157" s="15" t="s">
        <v>1939</v>
      </c>
    </row>
    <row r="1158" spans="3:3" x14ac:dyDescent="0.25">
      <c r="C1158" s="15" t="s">
        <v>340</v>
      </c>
    </row>
    <row r="1159" spans="3:3" x14ac:dyDescent="0.25">
      <c r="C1159" s="15" t="s">
        <v>1940</v>
      </c>
    </row>
    <row r="1160" spans="3:3" x14ac:dyDescent="0.25">
      <c r="C1160" s="15" t="s">
        <v>1941</v>
      </c>
    </row>
    <row r="1161" spans="3:3" x14ac:dyDescent="0.25">
      <c r="C1161" s="15" t="s">
        <v>1942</v>
      </c>
    </row>
    <row r="1162" spans="3:3" x14ac:dyDescent="0.25">
      <c r="C1162" s="15" t="s">
        <v>1943</v>
      </c>
    </row>
    <row r="1163" spans="3:3" x14ac:dyDescent="0.25">
      <c r="C1163" s="15" t="s">
        <v>1944</v>
      </c>
    </row>
    <row r="1164" spans="3:3" x14ac:dyDescent="0.25">
      <c r="C1164" s="15" t="s">
        <v>1945</v>
      </c>
    </row>
    <row r="1165" spans="3:3" x14ac:dyDescent="0.25">
      <c r="C1165" s="15" t="s">
        <v>1946</v>
      </c>
    </row>
    <row r="1166" spans="3:3" x14ac:dyDescent="0.25">
      <c r="C1166" s="15" t="s">
        <v>1947</v>
      </c>
    </row>
    <row r="1167" spans="3:3" x14ac:dyDescent="0.25">
      <c r="C1167" s="15" t="s">
        <v>1948</v>
      </c>
    </row>
    <row r="1168" spans="3:3" x14ac:dyDescent="0.25">
      <c r="C1168" s="15" t="s">
        <v>1949</v>
      </c>
    </row>
    <row r="1169" spans="3:3" x14ac:dyDescent="0.25">
      <c r="C1169" s="15" t="s">
        <v>1950</v>
      </c>
    </row>
    <row r="1170" spans="3:3" x14ac:dyDescent="0.25">
      <c r="C1170" s="15" t="s">
        <v>1951</v>
      </c>
    </row>
    <row r="1171" spans="3:3" x14ac:dyDescent="0.25">
      <c r="C1171" s="15" t="s">
        <v>1952</v>
      </c>
    </row>
    <row r="1172" spans="3:3" x14ac:dyDescent="0.25">
      <c r="C1172" s="15" t="s">
        <v>1953</v>
      </c>
    </row>
    <row r="1173" spans="3:3" x14ac:dyDescent="0.25">
      <c r="C1173" s="15" t="s">
        <v>1954</v>
      </c>
    </row>
    <row r="1174" spans="3:3" x14ac:dyDescent="0.25">
      <c r="C1174" s="15" t="s">
        <v>1955</v>
      </c>
    </row>
    <row r="1175" spans="3:3" x14ac:dyDescent="0.25">
      <c r="C1175" s="15" t="s">
        <v>1956</v>
      </c>
    </row>
    <row r="1176" spans="3:3" x14ac:dyDescent="0.25">
      <c r="C1176" s="15" t="s">
        <v>1957</v>
      </c>
    </row>
    <row r="1177" spans="3:3" x14ac:dyDescent="0.25">
      <c r="C1177" s="15" t="s">
        <v>1958</v>
      </c>
    </row>
    <row r="1178" spans="3:3" x14ac:dyDescent="0.25">
      <c r="C1178" s="15" t="s">
        <v>1959</v>
      </c>
    </row>
    <row r="1179" spans="3:3" x14ac:dyDescent="0.25">
      <c r="C1179" s="15" t="s">
        <v>1960</v>
      </c>
    </row>
    <row r="1180" spans="3:3" x14ac:dyDescent="0.25">
      <c r="C1180" s="15" t="s">
        <v>1961</v>
      </c>
    </row>
    <row r="1181" spans="3:3" x14ac:dyDescent="0.25">
      <c r="C1181" s="15" t="s">
        <v>1962</v>
      </c>
    </row>
    <row r="1182" spans="3:3" x14ac:dyDescent="0.25">
      <c r="C1182" s="15" t="s">
        <v>1963</v>
      </c>
    </row>
    <row r="1183" spans="3:3" x14ac:dyDescent="0.25">
      <c r="C1183" s="15" t="s">
        <v>1964</v>
      </c>
    </row>
    <row r="1184" spans="3:3" x14ac:dyDescent="0.25">
      <c r="C1184" s="15" t="s">
        <v>1965</v>
      </c>
    </row>
    <row r="1185" spans="3:3" x14ac:dyDescent="0.25">
      <c r="C1185" s="15" t="s">
        <v>1966</v>
      </c>
    </row>
    <row r="1186" spans="3:3" x14ac:dyDescent="0.25">
      <c r="C1186" s="15" t="s">
        <v>1967</v>
      </c>
    </row>
    <row r="1187" spans="3:3" x14ac:dyDescent="0.25">
      <c r="C1187" s="15" t="s">
        <v>1968</v>
      </c>
    </row>
    <row r="1188" spans="3:3" x14ac:dyDescent="0.25">
      <c r="C1188" s="15" t="s">
        <v>1969</v>
      </c>
    </row>
    <row r="1189" spans="3:3" x14ac:dyDescent="0.25">
      <c r="C1189" s="15" t="s">
        <v>1970</v>
      </c>
    </row>
    <row r="1190" spans="3:3" x14ac:dyDescent="0.25">
      <c r="C1190" s="15" t="s">
        <v>1971</v>
      </c>
    </row>
    <row r="1191" spans="3:3" x14ac:dyDescent="0.25">
      <c r="C1191" s="15" t="s">
        <v>1972</v>
      </c>
    </row>
    <row r="1192" spans="3:3" x14ac:dyDescent="0.25">
      <c r="C1192" s="15" t="s">
        <v>1973</v>
      </c>
    </row>
    <row r="1193" spans="3:3" x14ac:dyDescent="0.25">
      <c r="C1193" s="15" t="s">
        <v>1974</v>
      </c>
    </row>
    <row r="1194" spans="3:3" x14ac:dyDescent="0.25">
      <c r="C1194" s="15" t="s">
        <v>1975</v>
      </c>
    </row>
    <row r="1195" spans="3:3" x14ac:dyDescent="0.25">
      <c r="C1195" s="15" t="s">
        <v>1976</v>
      </c>
    </row>
    <row r="1196" spans="3:3" x14ac:dyDescent="0.25">
      <c r="C1196" s="15" t="s">
        <v>1977</v>
      </c>
    </row>
    <row r="1197" spans="3:3" x14ac:dyDescent="0.25">
      <c r="C1197" s="15" t="s">
        <v>1978</v>
      </c>
    </row>
    <row r="1198" spans="3:3" x14ac:dyDescent="0.25">
      <c r="C1198" s="15" t="s">
        <v>1979</v>
      </c>
    </row>
    <row r="1199" spans="3:3" x14ac:dyDescent="0.25">
      <c r="C1199" s="15" t="s">
        <v>1980</v>
      </c>
    </row>
    <row r="1200" spans="1:3" x14ac:dyDescent="0.25">
      <c r="A1200" s="15" t="s">
        <v>1382</v>
      </c>
      <c r="B1200" s="15" t="s">
        <v>17</v>
      </c>
      <c r="C1200" s="15" t="s">
        <v>1383</v>
      </c>
    </row>
    <row r="1201" spans="3:3" x14ac:dyDescent="0.25">
      <c r="C1201" s="15" t="s">
        <v>2054</v>
      </c>
    </row>
    <row r="1202" spans="3:3" x14ac:dyDescent="0.25">
      <c r="C1202" s="15" t="s">
        <v>2055</v>
      </c>
    </row>
    <row r="1203" spans="3:3" x14ac:dyDescent="0.25">
      <c r="C1203" s="15" t="s">
        <v>2056</v>
      </c>
    </row>
    <row r="1204" spans="3:3" x14ac:dyDescent="0.25">
      <c r="C1204" s="15" t="s">
        <v>2057</v>
      </c>
    </row>
    <row r="1205" spans="3:3" x14ac:dyDescent="0.25">
      <c r="C1205" s="15" t="s">
        <v>2058</v>
      </c>
    </row>
    <row r="1206" spans="3:3" x14ac:dyDescent="0.25">
      <c r="C1206" s="15" t="s">
        <v>2059</v>
      </c>
    </row>
    <row r="1207" spans="1:3" x14ac:dyDescent="0.25">
      <c r="A1207" s="15" t="s">
        <v>1385</v>
      </c>
      <c r="B1207" s="15" t="s">
        <v>17</v>
      </c>
      <c r="C1207" s="15" t="s">
        <v>1386</v>
      </c>
    </row>
    <row r="1208" spans="3:3" x14ac:dyDescent="0.25">
      <c r="C1208" s="15" t="s">
        <v>2060</v>
      </c>
    </row>
    <row r="1209" spans="3:3" x14ac:dyDescent="0.25">
      <c r="C1209" s="15" t="s">
        <v>2061</v>
      </c>
    </row>
    <row r="1210" spans="3:3" x14ac:dyDescent="0.25">
      <c r="C1210" s="15" t="s">
        <v>2062</v>
      </c>
    </row>
    <row r="1211" spans="3:3" x14ac:dyDescent="0.25">
      <c r="C1211" s="15" t="s">
        <v>2063</v>
      </c>
    </row>
    <row r="1212" spans="3:3" x14ac:dyDescent="0.25">
      <c r="C1212" s="15" t="s">
        <v>2003</v>
      </c>
    </row>
    <row r="1213" spans="3:3" x14ac:dyDescent="0.25">
      <c r="C1213" s="15" t="s">
        <v>2055</v>
      </c>
    </row>
    <row r="1214" spans="3:3" x14ac:dyDescent="0.25">
      <c r="C1214" s="15" t="s">
        <v>2064</v>
      </c>
    </row>
    <row r="1215" spans="3:3" x14ac:dyDescent="0.25">
      <c r="C1215" s="15" t="s">
        <v>2065</v>
      </c>
    </row>
    <row r="1216" spans="3:3" x14ac:dyDescent="0.25">
      <c r="C1216" s="15" t="s">
        <v>2066</v>
      </c>
    </row>
    <row r="1217" spans="3:3" x14ac:dyDescent="0.25">
      <c r="C1217" s="15" t="s">
        <v>2067</v>
      </c>
    </row>
    <row r="1218" spans="3:3" x14ac:dyDescent="0.25">
      <c r="C1218" s="15" t="s">
        <v>2068</v>
      </c>
    </row>
    <row r="1219" spans="3:3" x14ac:dyDescent="0.25">
      <c r="C1219" s="15" t="s">
        <v>2069</v>
      </c>
    </row>
    <row r="1220" spans="3:3" x14ac:dyDescent="0.25">
      <c r="C1220" s="15" t="s">
        <v>2070</v>
      </c>
    </row>
    <row r="1221" spans="3:3" x14ac:dyDescent="0.25">
      <c r="C1221" s="15" t="s">
        <v>2071</v>
      </c>
    </row>
    <row r="1222" spans="3:3" x14ac:dyDescent="0.25">
      <c r="C1222" s="15" t="s">
        <v>2072</v>
      </c>
    </row>
    <row r="1223" spans="1:3" x14ac:dyDescent="0.25">
      <c r="A1223" s="15" t="s">
        <v>2073</v>
      </c>
      <c r="B1223" s="15" t="s">
        <v>17</v>
      </c>
      <c r="C1223" s="15" t="s">
        <v>736</v>
      </c>
    </row>
    <row r="1224" spans="3:3" x14ac:dyDescent="0.25">
      <c r="C1224" s="15" t="s">
        <v>2001</v>
      </c>
    </row>
    <row r="1225" spans="1:3" x14ac:dyDescent="0.25">
      <c r="A1225" s="15" t="s">
        <v>2074</v>
      </c>
      <c r="B1225" s="15" t="s">
        <v>17</v>
      </c>
      <c r="C1225" s="15" t="s">
        <v>744</v>
      </c>
    </row>
    <row r="1226" spans="3:3" x14ac:dyDescent="0.25">
      <c r="C1226" s="15" t="s">
        <v>2002</v>
      </c>
    </row>
    <row r="1227" spans="3:3" x14ac:dyDescent="0.25">
      <c r="C1227" s="15" t="s">
        <v>2003</v>
      </c>
    </row>
    <row r="1228" spans="3:3" x14ac:dyDescent="0.25">
      <c r="C1228" s="15" t="s">
        <v>2004</v>
      </c>
    </row>
    <row r="1229" spans="1:3" x14ac:dyDescent="0.25">
      <c r="A1229" s="15" t="s">
        <v>2075</v>
      </c>
      <c r="B1229" s="15" t="s">
        <v>17</v>
      </c>
      <c r="C1229" s="15" t="s">
        <v>751</v>
      </c>
    </row>
    <row r="1230" spans="3:3" x14ac:dyDescent="0.25">
      <c r="C1230" s="15" t="s">
        <v>2005</v>
      </c>
    </row>
    <row r="1231" spans="3:3" x14ac:dyDescent="0.25">
      <c r="C1231" s="15" t="s">
        <v>2006</v>
      </c>
    </row>
    <row r="1232" spans="1:3" x14ac:dyDescent="0.25">
      <c r="A1232" s="15" t="s">
        <v>2076</v>
      </c>
      <c r="B1232" s="15" t="s">
        <v>17</v>
      </c>
      <c r="C1232" s="15" t="s">
        <v>762</v>
      </c>
    </row>
    <row r="1233" spans="3:3" x14ac:dyDescent="0.25">
      <c r="C1233" s="15" t="s">
        <v>2007</v>
      </c>
    </row>
    <row r="1234" spans="3:3" x14ac:dyDescent="0.25">
      <c r="C1234" s="15" t="s">
        <v>2008</v>
      </c>
    </row>
    <row r="1235" spans="3:3" x14ac:dyDescent="0.25">
      <c r="C1235" s="15" t="s">
        <v>2009</v>
      </c>
    </row>
    <row r="1236" spans="3:3" x14ac:dyDescent="0.25">
      <c r="C1236" s="15" t="s">
        <v>2010</v>
      </c>
    </row>
    <row r="1237" spans="3:3" x14ac:dyDescent="0.25">
      <c r="C1237" s="15" t="s">
        <v>2011</v>
      </c>
    </row>
    <row r="1238" spans="3:3" x14ac:dyDescent="0.25">
      <c r="C1238" s="15" t="s">
        <v>2012</v>
      </c>
    </row>
    <row r="1239" spans="3:3" x14ac:dyDescent="0.25">
      <c r="C1239" s="15" t="s">
        <v>2013</v>
      </c>
    </row>
    <row r="1240" spans="3:3" x14ac:dyDescent="0.25">
      <c r="C1240" s="15" t="s">
        <v>2014</v>
      </c>
    </row>
    <row r="1241" spans="3:3" x14ac:dyDescent="0.25">
      <c r="C1241" s="15" t="s">
        <v>2015</v>
      </c>
    </row>
    <row r="1242" spans="3:3" x14ac:dyDescent="0.25">
      <c r="C1242" s="15" t="s">
        <v>2016</v>
      </c>
    </row>
    <row r="1243" spans="3:3" x14ac:dyDescent="0.25">
      <c r="C1243" s="15" t="s">
        <v>2017</v>
      </c>
    </row>
    <row r="1244" spans="3:3" x14ac:dyDescent="0.25">
      <c r="C1244" s="15" t="s">
        <v>2018</v>
      </c>
    </row>
    <row r="1245" spans="3:3" x14ac:dyDescent="0.25">
      <c r="C1245" s="15" t="s">
        <v>2019</v>
      </c>
    </row>
    <row r="1246" spans="3:3" x14ac:dyDescent="0.25">
      <c r="C1246" s="15" t="s">
        <v>2020</v>
      </c>
    </row>
    <row r="1247" spans="3:3" x14ac:dyDescent="0.25">
      <c r="C1247" s="15" t="s">
        <v>2021</v>
      </c>
    </row>
    <row r="1248" spans="1:3" x14ac:dyDescent="0.25">
      <c r="A1248" s="15" t="s">
        <v>2077</v>
      </c>
      <c r="B1248" s="15" t="s">
        <v>17</v>
      </c>
      <c r="C1248" s="15" t="s">
        <v>1729</v>
      </c>
    </row>
    <row r="1249" spans="3:3" x14ac:dyDescent="0.25">
      <c r="C1249" s="15" t="s">
        <v>1730</v>
      </c>
    </row>
    <row r="1250" spans="3:3" x14ac:dyDescent="0.25">
      <c r="C1250" s="15" t="s">
        <v>1731</v>
      </c>
    </row>
    <row r="1251" spans="3:3" x14ac:dyDescent="0.25">
      <c r="C1251" s="15" t="s">
        <v>1732</v>
      </c>
    </row>
    <row r="1252" spans="3:3" x14ac:dyDescent="0.25">
      <c r="C1252" s="15" t="s">
        <v>1733</v>
      </c>
    </row>
    <row r="1253" spans="3:3" x14ac:dyDescent="0.25">
      <c r="C1253" s="15" t="s">
        <v>1734</v>
      </c>
    </row>
    <row r="1254" spans="3:3" x14ac:dyDescent="0.25">
      <c r="C1254" s="15" t="s">
        <v>1735</v>
      </c>
    </row>
    <row r="1255" spans="3:3" x14ac:dyDescent="0.25">
      <c r="C1255" s="15" t="s">
        <v>1736</v>
      </c>
    </row>
    <row r="1256" spans="3:3" x14ac:dyDescent="0.25">
      <c r="C1256" s="15" t="s">
        <v>1737</v>
      </c>
    </row>
    <row r="1257" spans="3:3" x14ac:dyDescent="0.25">
      <c r="C1257" s="15" t="s">
        <v>1738</v>
      </c>
    </row>
    <row r="1258" spans="3:3" x14ac:dyDescent="0.25">
      <c r="C1258" s="15" t="s">
        <v>1739</v>
      </c>
    </row>
    <row r="1259" spans="3:3" x14ac:dyDescent="0.25">
      <c r="C1259" s="15" t="s">
        <v>1740</v>
      </c>
    </row>
    <row r="1260" spans="3:3" x14ac:dyDescent="0.25">
      <c r="C1260" s="15" t="s">
        <v>1741</v>
      </c>
    </row>
    <row r="1261" spans="3:3" x14ac:dyDescent="0.25">
      <c r="C1261" s="15" t="s">
        <v>1742</v>
      </c>
    </row>
    <row r="1262" spans="3:3" x14ac:dyDescent="0.25">
      <c r="C1262" s="15" t="s">
        <v>1743</v>
      </c>
    </row>
    <row r="1263" spans="3:3" x14ac:dyDescent="0.25">
      <c r="C1263" s="15" t="s">
        <v>1744</v>
      </c>
    </row>
    <row r="1264" spans="3:3" x14ac:dyDescent="0.25">
      <c r="C1264" s="15" t="s">
        <v>1745</v>
      </c>
    </row>
    <row r="1265" spans="3:3" x14ac:dyDescent="0.25">
      <c r="C1265" s="15" t="s">
        <v>1746</v>
      </c>
    </row>
    <row r="1266" spans="3:3" x14ac:dyDescent="0.25">
      <c r="C1266" s="15" t="s">
        <v>1747</v>
      </c>
    </row>
    <row r="1267" spans="3:3" x14ac:dyDescent="0.25">
      <c r="C1267" s="15" t="s">
        <v>1748</v>
      </c>
    </row>
    <row r="1268" spans="3:3" x14ac:dyDescent="0.25">
      <c r="C1268" s="15" t="s">
        <v>1749</v>
      </c>
    </row>
    <row r="1269" spans="3:3" x14ac:dyDescent="0.25">
      <c r="C1269" s="15" t="s">
        <v>1750</v>
      </c>
    </row>
    <row r="1270" spans="3:3" x14ac:dyDescent="0.25">
      <c r="C1270" s="15" t="s">
        <v>1751</v>
      </c>
    </row>
    <row r="1271" spans="3:3" x14ac:dyDescent="0.25">
      <c r="C1271" s="15" t="s">
        <v>1752</v>
      </c>
    </row>
    <row r="1272" spans="3:3" x14ac:dyDescent="0.25">
      <c r="C1272" s="15" t="s">
        <v>1753</v>
      </c>
    </row>
    <row r="1273" spans="3:3" x14ac:dyDescent="0.25">
      <c r="C1273" s="15" t="s">
        <v>1754</v>
      </c>
    </row>
    <row r="1274" spans="3:3" x14ac:dyDescent="0.25">
      <c r="C1274" s="15" t="s">
        <v>1755</v>
      </c>
    </row>
    <row r="1275" spans="3:3" x14ac:dyDescent="0.25">
      <c r="C1275" s="15" t="s">
        <v>1756</v>
      </c>
    </row>
    <row r="1276" spans="3:3" x14ac:dyDescent="0.25">
      <c r="C1276" s="15" t="s">
        <v>1757</v>
      </c>
    </row>
    <row r="1277" spans="3:3" x14ac:dyDescent="0.25">
      <c r="C1277" s="15" t="s">
        <v>1758</v>
      </c>
    </row>
    <row r="1278" spans="3:3" x14ac:dyDescent="0.25">
      <c r="C1278" s="15" t="s">
        <v>1759</v>
      </c>
    </row>
    <row r="1279" spans="3:3" x14ac:dyDescent="0.25">
      <c r="C1279" s="15" t="s">
        <v>1760</v>
      </c>
    </row>
    <row r="1280" spans="3:3" x14ac:dyDescent="0.25">
      <c r="C1280" s="15" t="s">
        <v>1761</v>
      </c>
    </row>
    <row r="1281" spans="3:3" x14ac:dyDescent="0.25">
      <c r="C1281" s="15" t="s">
        <v>1762</v>
      </c>
    </row>
    <row r="1282" spans="3:3" x14ac:dyDescent="0.25">
      <c r="C1282" s="15" t="s">
        <v>1763</v>
      </c>
    </row>
    <row r="1283" spans="3:3" x14ac:dyDescent="0.25">
      <c r="C1283" s="15" t="s">
        <v>1764</v>
      </c>
    </row>
    <row r="1284" spans="3:3" x14ac:dyDescent="0.25">
      <c r="C1284" s="15" t="s">
        <v>1765</v>
      </c>
    </row>
    <row r="1285" spans="3:3" x14ac:dyDescent="0.25">
      <c r="C1285" s="15" t="s">
        <v>1766</v>
      </c>
    </row>
    <row r="1286" spans="3:3" x14ac:dyDescent="0.25">
      <c r="C1286" s="15" t="s">
        <v>1767</v>
      </c>
    </row>
    <row r="1287" spans="3:3" x14ac:dyDescent="0.25">
      <c r="C1287" s="15" t="s">
        <v>1768</v>
      </c>
    </row>
    <row r="1288" spans="3:3" x14ac:dyDescent="0.25">
      <c r="C1288" s="15" t="s">
        <v>1769</v>
      </c>
    </row>
    <row r="1289" spans="3:3" x14ac:dyDescent="0.25">
      <c r="C1289" s="15" t="s">
        <v>1770</v>
      </c>
    </row>
    <row r="1290" spans="3:3" x14ac:dyDescent="0.25">
      <c r="C1290" s="15" t="s">
        <v>1771</v>
      </c>
    </row>
    <row r="1291" spans="3:3" x14ac:dyDescent="0.25">
      <c r="C1291" s="15" t="s">
        <v>1772</v>
      </c>
    </row>
    <row r="1292" spans="3:3" x14ac:dyDescent="0.25">
      <c r="C1292" s="15" t="s">
        <v>1773</v>
      </c>
    </row>
    <row r="1293" spans="3:3" x14ac:dyDescent="0.25">
      <c r="C1293" s="15" t="s">
        <v>1774</v>
      </c>
    </row>
    <row r="1294" spans="3:3" x14ac:dyDescent="0.25">
      <c r="C1294" s="15" t="s">
        <v>1775</v>
      </c>
    </row>
    <row r="1295" spans="3:3" x14ac:dyDescent="0.25">
      <c r="C1295" s="15" t="s">
        <v>1776</v>
      </c>
    </row>
    <row r="1296" spans="3:3" x14ac:dyDescent="0.25">
      <c r="C1296" s="15" t="s">
        <v>1777</v>
      </c>
    </row>
    <row r="1297" spans="3:3" x14ac:dyDescent="0.25">
      <c r="C1297" s="15" t="s">
        <v>1778</v>
      </c>
    </row>
    <row r="1298" spans="3:3" x14ac:dyDescent="0.25">
      <c r="C1298" s="15" t="s">
        <v>1779</v>
      </c>
    </row>
    <row r="1299" spans="3:3" x14ac:dyDescent="0.25">
      <c r="C1299" s="15" t="s">
        <v>1780</v>
      </c>
    </row>
    <row r="1300" spans="3:3" x14ac:dyDescent="0.25">
      <c r="C1300" s="15" t="s">
        <v>1781</v>
      </c>
    </row>
    <row r="1301" spans="3:3" x14ac:dyDescent="0.25">
      <c r="C1301" s="15" t="s">
        <v>1782</v>
      </c>
    </row>
    <row r="1302" spans="3:3" x14ac:dyDescent="0.25">
      <c r="C1302" s="15" t="s">
        <v>1783</v>
      </c>
    </row>
    <row r="1303" spans="3:3" x14ac:dyDescent="0.25">
      <c r="C1303" s="15" t="s">
        <v>1784</v>
      </c>
    </row>
    <row r="1304" spans="3:3" x14ac:dyDescent="0.25">
      <c r="C1304" s="15" t="s">
        <v>1785</v>
      </c>
    </row>
    <row r="1305" spans="3:3" x14ac:dyDescent="0.25">
      <c r="C1305" s="15" t="s">
        <v>1786</v>
      </c>
    </row>
    <row r="1306" spans="3:3" x14ac:dyDescent="0.25">
      <c r="C1306" s="15" t="s">
        <v>1787</v>
      </c>
    </row>
    <row r="1307" spans="3:3" x14ac:dyDescent="0.25">
      <c r="C1307" s="15" t="s">
        <v>1788</v>
      </c>
    </row>
    <row r="1308" spans="3:3" x14ac:dyDescent="0.25">
      <c r="C1308" s="15" t="s">
        <v>1789</v>
      </c>
    </row>
    <row r="1309" spans="3:3" x14ac:dyDescent="0.25">
      <c r="C1309" s="15" t="s">
        <v>1790</v>
      </c>
    </row>
    <row r="1310" spans="3:3" x14ac:dyDescent="0.25">
      <c r="C1310" s="15" t="s">
        <v>1791</v>
      </c>
    </row>
    <row r="1311" spans="3:3" x14ac:dyDescent="0.25">
      <c r="C1311" s="15" t="s">
        <v>1792</v>
      </c>
    </row>
    <row r="1312" spans="3:3" x14ac:dyDescent="0.25">
      <c r="C1312" s="15" t="s">
        <v>1793</v>
      </c>
    </row>
    <row r="1313" spans="3:3" x14ac:dyDescent="0.25">
      <c r="C1313" s="15" t="s">
        <v>1794</v>
      </c>
    </row>
    <row r="1314" spans="3:3" x14ac:dyDescent="0.25">
      <c r="C1314" s="15" t="s">
        <v>1795</v>
      </c>
    </row>
    <row r="1315" spans="3:3" x14ac:dyDescent="0.25">
      <c r="C1315" s="15" t="s">
        <v>1796</v>
      </c>
    </row>
    <row r="1316" spans="3:3" x14ac:dyDescent="0.25">
      <c r="C1316" s="15" t="s">
        <v>1797</v>
      </c>
    </row>
    <row r="1317" spans="3:3" x14ac:dyDescent="0.25">
      <c r="C1317" s="15" t="s">
        <v>1798</v>
      </c>
    </row>
    <row r="1318" spans="3:3" x14ac:dyDescent="0.25">
      <c r="C1318" s="15" t="s">
        <v>1799</v>
      </c>
    </row>
    <row r="1319" spans="3:3" x14ac:dyDescent="0.25">
      <c r="C1319" s="15" t="s">
        <v>1800</v>
      </c>
    </row>
    <row r="1320" spans="3:3" x14ac:dyDescent="0.25">
      <c r="C1320" s="15" t="s">
        <v>1801</v>
      </c>
    </row>
    <row r="1321" spans="3:3" x14ac:dyDescent="0.25">
      <c r="C1321" s="15" t="s">
        <v>1802</v>
      </c>
    </row>
    <row r="1322" spans="3:3" x14ac:dyDescent="0.25">
      <c r="C1322" s="15" t="s">
        <v>1803</v>
      </c>
    </row>
    <row r="1323" spans="3:3" x14ac:dyDescent="0.25">
      <c r="C1323" s="15" t="s">
        <v>1804</v>
      </c>
    </row>
    <row r="1324" spans="3:3" x14ac:dyDescent="0.25">
      <c r="C1324" s="15" t="s">
        <v>1805</v>
      </c>
    </row>
    <row r="1325" spans="3:3" x14ac:dyDescent="0.25">
      <c r="C1325" s="15" t="s">
        <v>1806</v>
      </c>
    </row>
    <row r="1326" spans="3:3" x14ac:dyDescent="0.25">
      <c r="C1326" s="15" t="s">
        <v>1807</v>
      </c>
    </row>
    <row r="1327" spans="3:3" x14ac:dyDescent="0.25">
      <c r="C1327" s="15" t="s">
        <v>1808</v>
      </c>
    </row>
    <row r="1328" spans="3:3" x14ac:dyDescent="0.25">
      <c r="C1328" s="15" t="s">
        <v>1809</v>
      </c>
    </row>
    <row r="1329" spans="3:3" x14ac:dyDescent="0.25">
      <c r="C1329" s="15" t="s">
        <v>1810</v>
      </c>
    </row>
    <row r="1330" spans="3:3" x14ac:dyDescent="0.25">
      <c r="C1330" s="15" t="s">
        <v>1811</v>
      </c>
    </row>
    <row r="1331" spans="3:3" x14ac:dyDescent="0.25">
      <c r="C1331" s="15" t="s">
        <v>1812</v>
      </c>
    </row>
    <row r="1332" spans="3:3" x14ac:dyDescent="0.25">
      <c r="C1332" s="15" t="s">
        <v>1813</v>
      </c>
    </row>
    <row r="1333" spans="3:3" x14ac:dyDescent="0.25">
      <c r="C1333" s="15" t="s">
        <v>1814</v>
      </c>
    </row>
    <row r="1334" spans="3:3" x14ac:dyDescent="0.25">
      <c r="C1334" s="15" t="s">
        <v>1815</v>
      </c>
    </row>
    <row r="1335" spans="3:3" x14ac:dyDescent="0.25">
      <c r="C1335" s="15" t="s">
        <v>1816</v>
      </c>
    </row>
    <row r="1336" spans="3:3" x14ac:dyDescent="0.25">
      <c r="C1336" s="15" t="s">
        <v>1817</v>
      </c>
    </row>
    <row r="1337" spans="3:3" x14ac:dyDescent="0.25">
      <c r="C1337" s="15" t="s">
        <v>1818</v>
      </c>
    </row>
    <row r="1338" spans="3:3" x14ac:dyDescent="0.25">
      <c r="C1338" s="15" t="s">
        <v>1819</v>
      </c>
    </row>
    <row r="1339" spans="3:3" x14ac:dyDescent="0.25">
      <c r="C1339" s="15" t="s">
        <v>1820</v>
      </c>
    </row>
    <row r="1340" spans="3:3" x14ac:dyDescent="0.25">
      <c r="C1340" s="15" t="s">
        <v>1821</v>
      </c>
    </row>
    <row r="1341" spans="3:3" x14ac:dyDescent="0.25">
      <c r="C1341" s="15" t="s">
        <v>1822</v>
      </c>
    </row>
    <row r="1342" spans="3:3" x14ac:dyDescent="0.25">
      <c r="C1342" s="15" t="s">
        <v>1823</v>
      </c>
    </row>
    <row r="1343" spans="3:3" x14ac:dyDescent="0.25">
      <c r="C1343" s="15" t="s">
        <v>1824</v>
      </c>
    </row>
    <row r="1344" spans="3:3" x14ac:dyDescent="0.25">
      <c r="C1344" s="15" t="s">
        <v>1825</v>
      </c>
    </row>
    <row r="1345" spans="3:3" x14ac:dyDescent="0.25">
      <c r="C1345" s="15" t="s">
        <v>1826</v>
      </c>
    </row>
    <row r="1346" spans="3:3" x14ac:dyDescent="0.25">
      <c r="C1346" s="15" t="s">
        <v>1827</v>
      </c>
    </row>
    <row r="1347" spans="3:3" x14ac:dyDescent="0.25">
      <c r="C1347" s="15" t="s">
        <v>1828</v>
      </c>
    </row>
    <row r="1348" spans="3:3" x14ac:dyDescent="0.25">
      <c r="C1348" s="15" t="s">
        <v>1829</v>
      </c>
    </row>
    <row r="1349" spans="3:3" x14ac:dyDescent="0.25">
      <c r="C1349" s="15" t="s">
        <v>1830</v>
      </c>
    </row>
    <row r="1350" spans="3:3" x14ac:dyDescent="0.25">
      <c r="C1350" s="15" t="s">
        <v>1831</v>
      </c>
    </row>
    <row r="1351" spans="3:3" x14ac:dyDescent="0.25">
      <c r="C1351" s="15" t="s">
        <v>1832</v>
      </c>
    </row>
    <row r="1352" spans="3:3" x14ac:dyDescent="0.25">
      <c r="C1352" s="15" t="s">
        <v>1833</v>
      </c>
    </row>
    <row r="1353" spans="3:3" x14ac:dyDescent="0.25">
      <c r="C1353" s="15" t="s">
        <v>1834</v>
      </c>
    </row>
    <row r="1354" spans="3:3" x14ac:dyDescent="0.25">
      <c r="C1354" s="15" t="s">
        <v>1835</v>
      </c>
    </row>
    <row r="1355" spans="3:3" x14ac:dyDescent="0.25">
      <c r="C1355" s="15" t="s">
        <v>1836</v>
      </c>
    </row>
    <row r="1356" spans="3:3" x14ac:dyDescent="0.25">
      <c r="C1356" s="15" t="s">
        <v>1837</v>
      </c>
    </row>
    <row r="1357" spans="3:3" x14ac:dyDescent="0.25">
      <c r="C1357" s="15" t="s">
        <v>1838</v>
      </c>
    </row>
    <row r="1358" spans="3:3" x14ac:dyDescent="0.25">
      <c r="C1358" s="15" t="s">
        <v>1839</v>
      </c>
    </row>
    <row r="1359" spans="3:3" x14ac:dyDescent="0.25">
      <c r="C1359" s="15" t="s">
        <v>1840</v>
      </c>
    </row>
    <row r="1360" spans="3:3" x14ac:dyDescent="0.25">
      <c r="C1360" s="15" t="s">
        <v>1841</v>
      </c>
    </row>
    <row r="1361" spans="3:3" x14ac:dyDescent="0.25">
      <c r="C1361" s="15" t="s">
        <v>1842</v>
      </c>
    </row>
    <row r="1362" spans="3:3" x14ac:dyDescent="0.25">
      <c r="C1362" s="15" t="s">
        <v>1843</v>
      </c>
    </row>
    <row r="1363" spans="3:3" x14ac:dyDescent="0.25">
      <c r="C1363" s="15" t="s">
        <v>1844</v>
      </c>
    </row>
    <row r="1364" spans="3:3" x14ac:dyDescent="0.25">
      <c r="C1364" s="15" t="s">
        <v>1845</v>
      </c>
    </row>
    <row r="1365" spans="3:3" x14ac:dyDescent="0.25">
      <c r="C1365" s="15" t="s">
        <v>1846</v>
      </c>
    </row>
    <row r="1366" spans="3:3" x14ac:dyDescent="0.25">
      <c r="C1366" s="15" t="s">
        <v>1847</v>
      </c>
    </row>
    <row r="1367" spans="3:3" x14ac:dyDescent="0.25">
      <c r="C1367" s="15" t="s">
        <v>1848</v>
      </c>
    </row>
    <row r="1368" spans="3:3" x14ac:dyDescent="0.25">
      <c r="C1368" s="15" t="s">
        <v>1849</v>
      </c>
    </row>
    <row r="1369" spans="3:3" x14ac:dyDescent="0.25">
      <c r="C1369" s="15" t="s">
        <v>1850</v>
      </c>
    </row>
    <row r="1370" spans="3:3" x14ac:dyDescent="0.25">
      <c r="C1370" s="15" t="s">
        <v>1851</v>
      </c>
    </row>
    <row r="1371" spans="3:3" x14ac:dyDescent="0.25">
      <c r="C1371" s="15" t="s">
        <v>1852</v>
      </c>
    </row>
    <row r="1372" spans="3:3" x14ac:dyDescent="0.25">
      <c r="C1372" s="15" t="s">
        <v>1853</v>
      </c>
    </row>
    <row r="1373" spans="3:3" x14ac:dyDescent="0.25">
      <c r="C1373" s="15" t="s">
        <v>1854</v>
      </c>
    </row>
    <row r="1374" spans="3:3" x14ac:dyDescent="0.25">
      <c r="C1374" s="15" t="s">
        <v>1855</v>
      </c>
    </row>
    <row r="1375" spans="3:3" x14ac:dyDescent="0.25">
      <c r="C1375" s="15" t="s">
        <v>1856</v>
      </c>
    </row>
    <row r="1376" spans="3:3" x14ac:dyDescent="0.25">
      <c r="C1376" s="15" t="s">
        <v>1857</v>
      </c>
    </row>
    <row r="1377" spans="3:3" x14ac:dyDescent="0.25">
      <c r="C1377" s="15" t="s">
        <v>1858</v>
      </c>
    </row>
    <row r="1378" spans="3:3" x14ac:dyDescent="0.25">
      <c r="C1378" s="15" t="s">
        <v>1859</v>
      </c>
    </row>
    <row r="1379" spans="3:3" x14ac:dyDescent="0.25">
      <c r="C1379" s="15" t="s">
        <v>1860</v>
      </c>
    </row>
    <row r="1380" spans="3:3" x14ac:dyDescent="0.25">
      <c r="C1380" s="15" t="s">
        <v>1861</v>
      </c>
    </row>
    <row r="1381" spans="3:3" x14ac:dyDescent="0.25">
      <c r="C1381" s="15" t="s">
        <v>1862</v>
      </c>
    </row>
    <row r="1382" spans="3:3" x14ac:dyDescent="0.25">
      <c r="C1382" s="15" t="s">
        <v>1863</v>
      </c>
    </row>
    <row r="1383" spans="3:3" x14ac:dyDescent="0.25">
      <c r="C1383" s="15" t="s">
        <v>1864</v>
      </c>
    </row>
    <row r="1384" spans="3:3" x14ac:dyDescent="0.25">
      <c r="C1384" s="15" t="s">
        <v>1865</v>
      </c>
    </row>
    <row r="1385" spans="3:3" x14ac:dyDescent="0.25">
      <c r="C1385" s="15" t="s">
        <v>1866</v>
      </c>
    </row>
    <row r="1386" spans="3:3" x14ac:dyDescent="0.25">
      <c r="C1386" s="15" t="s">
        <v>1867</v>
      </c>
    </row>
    <row r="1387" spans="3:3" x14ac:dyDescent="0.25">
      <c r="C1387" s="15" t="s">
        <v>1868</v>
      </c>
    </row>
    <row r="1388" spans="3:3" x14ac:dyDescent="0.25">
      <c r="C1388" s="15" t="s">
        <v>1869</v>
      </c>
    </row>
    <row r="1389" spans="3:3" x14ac:dyDescent="0.25">
      <c r="C1389" s="15" t="s">
        <v>1870</v>
      </c>
    </row>
    <row r="1390" spans="3:3" x14ac:dyDescent="0.25">
      <c r="C1390" s="15" t="s">
        <v>1871</v>
      </c>
    </row>
    <row r="1391" spans="3:3" x14ac:dyDescent="0.25">
      <c r="C1391" s="15" t="s">
        <v>1872</v>
      </c>
    </row>
    <row r="1392" spans="3:3" x14ac:dyDescent="0.25">
      <c r="C1392" s="15" t="s">
        <v>1873</v>
      </c>
    </row>
    <row r="1393" spans="3:3" x14ac:dyDescent="0.25">
      <c r="C1393" s="15" t="s">
        <v>1874</v>
      </c>
    </row>
    <row r="1394" spans="3:3" x14ac:dyDescent="0.25">
      <c r="C1394" s="15" t="s">
        <v>1875</v>
      </c>
    </row>
    <row r="1395" spans="3:3" x14ac:dyDescent="0.25">
      <c r="C1395" s="15" t="s">
        <v>1876</v>
      </c>
    </row>
    <row r="1396" spans="3:3" x14ac:dyDescent="0.25">
      <c r="C1396" s="15" t="s">
        <v>1877</v>
      </c>
    </row>
    <row r="1397" spans="3:3" x14ac:dyDescent="0.25">
      <c r="C1397" s="15" t="s">
        <v>1878</v>
      </c>
    </row>
    <row r="1398" spans="3:3" x14ac:dyDescent="0.25">
      <c r="C1398" s="15" t="s">
        <v>1879</v>
      </c>
    </row>
    <row r="1399" spans="3:3" x14ac:dyDescent="0.25">
      <c r="C1399" s="15" t="s">
        <v>1880</v>
      </c>
    </row>
    <row r="1400" spans="3:3" x14ac:dyDescent="0.25">
      <c r="C1400" s="15" t="s">
        <v>1881</v>
      </c>
    </row>
    <row r="1401" spans="3:3" x14ac:dyDescent="0.25">
      <c r="C1401" s="15" t="s">
        <v>1882</v>
      </c>
    </row>
    <row r="1402" spans="3:3" x14ac:dyDescent="0.25">
      <c r="C1402" s="15" t="s">
        <v>1883</v>
      </c>
    </row>
    <row r="1403" spans="3:3" x14ac:dyDescent="0.25">
      <c r="C1403" s="15" t="s">
        <v>1884</v>
      </c>
    </row>
    <row r="1404" spans="3:3" x14ac:dyDescent="0.25">
      <c r="C1404" s="15" t="s">
        <v>1885</v>
      </c>
    </row>
    <row r="1405" spans="3:3" x14ac:dyDescent="0.25">
      <c r="C1405" s="15" t="s">
        <v>1886</v>
      </c>
    </row>
    <row r="1406" spans="3:3" x14ac:dyDescent="0.25">
      <c r="C1406" s="15" t="s">
        <v>1887</v>
      </c>
    </row>
    <row r="1407" spans="3:3" x14ac:dyDescent="0.25">
      <c r="C1407" s="15" t="s">
        <v>1888</v>
      </c>
    </row>
    <row r="1408" spans="3:3" x14ac:dyDescent="0.25">
      <c r="C1408" s="15" t="s">
        <v>1889</v>
      </c>
    </row>
    <row r="1409" spans="3:3" x14ac:dyDescent="0.25">
      <c r="C1409" s="15" t="s">
        <v>1890</v>
      </c>
    </row>
    <row r="1410" spans="3:3" x14ac:dyDescent="0.25">
      <c r="C1410" s="15" t="s">
        <v>1891</v>
      </c>
    </row>
    <row r="1411" spans="3:3" x14ac:dyDescent="0.25">
      <c r="C1411" s="15" t="s">
        <v>1892</v>
      </c>
    </row>
    <row r="1412" spans="3:3" x14ac:dyDescent="0.25">
      <c r="C1412" s="15" t="s">
        <v>1893</v>
      </c>
    </row>
    <row r="1413" spans="3:3" x14ac:dyDescent="0.25">
      <c r="C1413" s="15" t="s">
        <v>1894</v>
      </c>
    </row>
    <row r="1414" spans="3:3" x14ac:dyDescent="0.25">
      <c r="C1414" s="15" t="s">
        <v>1895</v>
      </c>
    </row>
    <row r="1415" spans="3:3" x14ac:dyDescent="0.25">
      <c r="C1415" s="15" t="s">
        <v>1896</v>
      </c>
    </row>
    <row r="1416" spans="3:3" x14ac:dyDescent="0.25">
      <c r="C1416" s="15" t="s">
        <v>1897</v>
      </c>
    </row>
    <row r="1417" spans="3:3" x14ac:dyDescent="0.25">
      <c r="C1417" s="15" t="s">
        <v>1898</v>
      </c>
    </row>
    <row r="1418" spans="3:3" x14ac:dyDescent="0.25">
      <c r="C1418" s="15" t="s">
        <v>1899</v>
      </c>
    </row>
    <row r="1419" spans="3:3" x14ac:dyDescent="0.25">
      <c r="C1419" s="15" t="s">
        <v>1900</v>
      </c>
    </row>
    <row r="1420" spans="3:3" x14ac:dyDescent="0.25">
      <c r="C1420" s="15" t="s">
        <v>1901</v>
      </c>
    </row>
    <row r="1421" spans="3:3" x14ac:dyDescent="0.25">
      <c r="C1421" s="15" t="s">
        <v>1902</v>
      </c>
    </row>
    <row r="1422" spans="3:3" x14ac:dyDescent="0.25">
      <c r="C1422" s="15" t="s">
        <v>1903</v>
      </c>
    </row>
    <row r="1423" spans="3:3" x14ac:dyDescent="0.25">
      <c r="C1423" s="15" t="s">
        <v>1904</v>
      </c>
    </row>
    <row r="1424" spans="3:3" x14ac:dyDescent="0.25">
      <c r="C1424" s="15" t="s">
        <v>1905</v>
      </c>
    </row>
    <row r="1425" spans="3:3" x14ac:dyDescent="0.25">
      <c r="C1425" s="15" t="s">
        <v>1906</v>
      </c>
    </row>
    <row r="1426" spans="3:3" x14ac:dyDescent="0.25">
      <c r="C1426" s="15" t="s">
        <v>1907</v>
      </c>
    </row>
    <row r="1427" spans="3:3" x14ac:dyDescent="0.25">
      <c r="C1427" s="15" t="s">
        <v>1908</v>
      </c>
    </row>
    <row r="1428" spans="3:3" x14ac:dyDescent="0.25">
      <c r="C1428" s="15" t="s">
        <v>1909</v>
      </c>
    </row>
    <row r="1429" spans="3:3" x14ac:dyDescent="0.25">
      <c r="C1429" s="15" t="s">
        <v>1910</v>
      </c>
    </row>
    <row r="1430" spans="3:3" x14ac:dyDescent="0.25">
      <c r="C1430" s="15" t="s">
        <v>1911</v>
      </c>
    </row>
    <row r="1431" spans="3:3" x14ac:dyDescent="0.25">
      <c r="C1431" s="15" t="s">
        <v>1912</v>
      </c>
    </row>
    <row r="1432" spans="3:3" x14ac:dyDescent="0.25">
      <c r="C1432" s="15" t="s">
        <v>1913</v>
      </c>
    </row>
    <row r="1433" spans="3:3" x14ac:dyDescent="0.25">
      <c r="C1433" s="15" t="s">
        <v>1914</v>
      </c>
    </row>
    <row r="1434" spans="3:3" x14ac:dyDescent="0.25">
      <c r="C1434" s="15" t="s">
        <v>1915</v>
      </c>
    </row>
    <row r="1435" spans="3:3" x14ac:dyDescent="0.25">
      <c r="C1435" s="15" t="s">
        <v>1916</v>
      </c>
    </row>
    <row r="1436" spans="3:3" x14ac:dyDescent="0.25">
      <c r="C1436" s="15" t="s">
        <v>1917</v>
      </c>
    </row>
    <row r="1437" spans="3:3" x14ac:dyDescent="0.25">
      <c r="C1437" s="15" t="s">
        <v>1918</v>
      </c>
    </row>
    <row r="1438" spans="3:3" x14ac:dyDescent="0.25">
      <c r="C1438" s="15" t="s">
        <v>1919</v>
      </c>
    </row>
    <row r="1439" spans="3:3" x14ac:dyDescent="0.25">
      <c r="C1439" s="15" t="s">
        <v>1920</v>
      </c>
    </row>
    <row r="1440" spans="3:3" x14ac:dyDescent="0.25">
      <c r="C1440" s="15" t="s">
        <v>1921</v>
      </c>
    </row>
    <row r="1441" spans="3:3" x14ac:dyDescent="0.25">
      <c r="C1441" s="15" t="s">
        <v>1922</v>
      </c>
    </row>
    <row r="1442" spans="3:3" x14ac:dyDescent="0.25">
      <c r="C1442" s="15" t="s">
        <v>1923</v>
      </c>
    </row>
    <row r="1443" spans="3:3" x14ac:dyDescent="0.25">
      <c r="C1443" s="15" t="s">
        <v>1924</v>
      </c>
    </row>
    <row r="1444" spans="3:3" x14ac:dyDescent="0.25">
      <c r="C1444" s="15" t="s">
        <v>1925</v>
      </c>
    </row>
    <row r="1445" spans="3:3" x14ac:dyDescent="0.25">
      <c r="C1445" s="15" t="s">
        <v>1926</v>
      </c>
    </row>
    <row r="1446" spans="3:3" x14ac:dyDescent="0.25">
      <c r="C1446" s="15" t="s">
        <v>1927</v>
      </c>
    </row>
    <row r="1447" spans="3:3" x14ac:dyDescent="0.25">
      <c r="C1447" s="15" t="s">
        <v>1928</v>
      </c>
    </row>
    <row r="1448" spans="3:3" x14ac:dyDescent="0.25">
      <c r="C1448" s="15" t="s">
        <v>1929</v>
      </c>
    </row>
    <row r="1449" spans="3:3" x14ac:dyDescent="0.25">
      <c r="C1449" s="15" t="s">
        <v>1930</v>
      </c>
    </row>
    <row r="1450" spans="3:3" x14ac:dyDescent="0.25">
      <c r="C1450" s="15" t="s">
        <v>1931</v>
      </c>
    </row>
    <row r="1451" spans="3:3" x14ac:dyDescent="0.25">
      <c r="C1451" s="15" t="s">
        <v>1932</v>
      </c>
    </row>
    <row r="1452" spans="3:3" x14ac:dyDescent="0.25">
      <c r="C1452" s="15" t="s">
        <v>1933</v>
      </c>
    </row>
    <row r="1453" spans="3:3" x14ac:dyDescent="0.25">
      <c r="C1453" s="15" t="s">
        <v>1934</v>
      </c>
    </row>
    <row r="1454" spans="3:3" x14ac:dyDescent="0.25">
      <c r="C1454" s="15" t="s">
        <v>1935</v>
      </c>
    </row>
    <row r="1455" spans="3:3" x14ac:dyDescent="0.25">
      <c r="C1455" s="15" t="s">
        <v>1936</v>
      </c>
    </row>
    <row r="1456" spans="3:3" x14ac:dyDescent="0.25">
      <c r="C1456" s="15" t="s">
        <v>1937</v>
      </c>
    </row>
    <row r="1457" spans="3:3" x14ac:dyDescent="0.25">
      <c r="C1457" s="15" t="s">
        <v>1938</v>
      </c>
    </row>
    <row r="1458" spans="3:3" x14ac:dyDescent="0.25">
      <c r="C1458" s="15" t="s">
        <v>1939</v>
      </c>
    </row>
    <row r="1459" spans="3:3" x14ac:dyDescent="0.25">
      <c r="C1459" s="15" t="s">
        <v>340</v>
      </c>
    </row>
    <row r="1460" spans="3:3" x14ac:dyDescent="0.25">
      <c r="C1460" s="15" t="s">
        <v>1940</v>
      </c>
    </row>
    <row r="1461" spans="3:3" x14ac:dyDescent="0.25">
      <c r="C1461" s="15" t="s">
        <v>1941</v>
      </c>
    </row>
    <row r="1462" spans="3:3" x14ac:dyDescent="0.25">
      <c r="C1462" s="15" t="s">
        <v>1942</v>
      </c>
    </row>
    <row r="1463" spans="3:3" x14ac:dyDescent="0.25">
      <c r="C1463" s="15" t="s">
        <v>1943</v>
      </c>
    </row>
    <row r="1464" spans="3:3" x14ac:dyDescent="0.25">
      <c r="C1464" s="15" t="s">
        <v>1944</v>
      </c>
    </row>
    <row r="1465" spans="3:3" x14ac:dyDescent="0.25">
      <c r="C1465" s="15" t="s">
        <v>1945</v>
      </c>
    </row>
    <row r="1466" spans="3:3" x14ac:dyDescent="0.25">
      <c r="C1466" s="15" t="s">
        <v>1946</v>
      </c>
    </row>
    <row r="1467" spans="3:3" x14ac:dyDescent="0.25">
      <c r="C1467" s="15" t="s">
        <v>1947</v>
      </c>
    </row>
    <row r="1468" spans="3:3" x14ac:dyDescent="0.25">
      <c r="C1468" s="15" t="s">
        <v>1948</v>
      </c>
    </row>
    <row r="1469" spans="3:3" x14ac:dyDescent="0.25">
      <c r="C1469" s="15" t="s">
        <v>1949</v>
      </c>
    </row>
    <row r="1470" spans="3:3" x14ac:dyDescent="0.25">
      <c r="C1470" s="15" t="s">
        <v>1950</v>
      </c>
    </row>
    <row r="1471" spans="3:3" x14ac:dyDescent="0.25">
      <c r="C1471" s="15" t="s">
        <v>1951</v>
      </c>
    </row>
    <row r="1472" spans="3:3" x14ac:dyDescent="0.25">
      <c r="C1472" s="15" t="s">
        <v>1952</v>
      </c>
    </row>
    <row r="1473" spans="3:3" x14ac:dyDescent="0.25">
      <c r="C1473" s="15" t="s">
        <v>1953</v>
      </c>
    </row>
    <row r="1474" spans="3:3" x14ac:dyDescent="0.25">
      <c r="C1474" s="15" t="s">
        <v>1954</v>
      </c>
    </row>
    <row r="1475" spans="3:3" x14ac:dyDescent="0.25">
      <c r="C1475" s="15" t="s">
        <v>1955</v>
      </c>
    </row>
    <row r="1476" spans="3:3" x14ac:dyDescent="0.25">
      <c r="C1476" s="15" t="s">
        <v>1956</v>
      </c>
    </row>
    <row r="1477" spans="3:3" x14ac:dyDescent="0.25">
      <c r="C1477" s="15" t="s">
        <v>1957</v>
      </c>
    </row>
    <row r="1478" spans="3:3" x14ac:dyDescent="0.25">
      <c r="C1478" s="15" t="s">
        <v>1958</v>
      </c>
    </row>
    <row r="1479" spans="3:3" x14ac:dyDescent="0.25">
      <c r="C1479" s="15" t="s">
        <v>1959</v>
      </c>
    </row>
    <row r="1480" spans="3:3" x14ac:dyDescent="0.25">
      <c r="C1480" s="15" t="s">
        <v>1960</v>
      </c>
    </row>
    <row r="1481" spans="3:3" x14ac:dyDescent="0.25">
      <c r="C1481" s="15" t="s">
        <v>1961</v>
      </c>
    </row>
    <row r="1482" spans="3:3" x14ac:dyDescent="0.25">
      <c r="C1482" s="15" t="s">
        <v>1962</v>
      </c>
    </row>
    <row r="1483" spans="3:3" x14ac:dyDescent="0.25">
      <c r="C1483" s="15" t="s">
        <v>1963</v>
      </c>
    </row>
    <row r="1484" spans="3:3" x14ac:dyDescent="0.25">
      <c r="C1484" s="15" t="s">
        <v>1964</v>
      </c>
    </row>
    <row r="1485" spans="3:3" x14ac:dyDescent="0.25">
      <c r="C1485" s="15" t="s">
        <v>1965</v>
      </c>
    </row>
    <row r="1486" spans="3:3" x14ac:dyDescent="0.25">
      <c r="C1486" s="15" t="s">
        <v>1966</v>
      </c>
    </row>
    <row r="1487" spans="3:3" x14ac:dyDescent="0.25">
      <c r="C1487" s="15" t="s">
        <v>1967</v>
      </c>
    </row>
    <row r="1488" spans="3:3" x14ac:dyDescent="0.25">
      <c r="C1488" s="15" t="s">
        <v>1968</v>
      </c>
    </row>
    <row r="1489" spans="3:3" x14ac:dyDescent="0.25">
      <c r="C1489" s="15" t="s">
        <v>1969</v>
      </c>
    </row>
    <row r="1490" spans="3:3" x14ac:dyDescent="0.25">
      <c r="C1490" s="15" t="s">
        <v>1970</v>
      </c>
    </row>
    <row r="1491" spans="3:3" x14ac:dyDescent="0.25">
      <c r="C1491" s="15" t="s">
        <v>1971</v>
      </c>
    </row>
    <row r="1492" spans="3:3" x14ac:dyDescent="0.25">
      <c r="C1492" s="15" t="s">
        <v>1972</v>
      </c>
    </row>
    <row r="1493" spans="3:3" x14ac:dyDescent="0.25">
      <c r="C1493" s="15" t="s">
        <v>1973</v>
      </c>
    </row>
    <row r="1494" spans="3:3" x14ac:dyDescent="0.25">
      <c r="C1494" s="15" t="s">
        <v>1974</v>
      </c>
    </row>
    <row r="1495" spans="3:3" x14ac:dyDescent="0.25">
      <c r="C1495" s="15" t="s">
        <v>1975</v>
      </c>
    </row>
    <row r="1496" spans="3:3" x14ac:dyDescent="0.25">
      <c r="C1496" s="15" t="s">
        <v>1976</v>
      </c>
    </row>
    <row r="1497" spans="3:3" x14ac:dyDescent="0.25">
      <c r="C1497" s="15" t="s">
        <v>1977</v>
      </c>
    </row>
    <row r="1498" spans="3:3" x14ac:dyDescent="0.25">
      <c r="C1498" s="15" t="s">
        <v>1978</v>
      </c>
    </row>
    <row r="1499" spans="3:3" x14ac:dyDescent="0.25">
      <c r="C1499" s="15" t="s">
        <v>1979</v>
      </c>
    </row>
    <row r="1500" spans="3:3" x14ac:dyDescent="0.25">
      <c r="C1500" s="15" t="s">
        <v>1980</v>
      </c>
    </row>
    <row r="1501" spans="1:3" x14ac:dyDescent="0.25">
      <c r="A1501" s="15" t="s">
        <v>2078</v>
      </c>
      <c r="B1501" s="15" t="s">
        <v>17</v>
      </c>
      <c r="C1501" s="15" t="s">
        <v>354</v>
      </c>
    </row>
    <row r="1502" spans="3:3" x14ac:dyDescent="0.25">
      <c r="C1502" s="15" t="s">
        <v>1981</v>
      </c>
    </row>
    <row r="1503" spans="1:3" x14ac:dyDescent="0.25">
      <c r="A1503" s="15" t="s">
        <v>2079</v>
      </c>
      <c r="B1503" s="15" t="s">
        <v>17</v>
      </c>
      <c r="C1503" s="15" t="s">
        <v>234</v>
      </c>
    </row>
    <row r="1504" spans="3:3" x14ac:dyDescent="0.25">
      <c r="C1504" s="15" t="s">
        <v>1718</v>
      </c>
    </row>
    <row r="1505" spans="1:3" x14ac:dyDescent="0.25">
      <c r="A1505" s="15" t="s">
        <v>2080</v>
      </c>
      <c r="B1505" s="15" t="s">
        <v>17</v>
      </c>
      <c r="C1505" s="15" t="s">
        <v>238</v>
      </c>
    </row>
    <row r="1506" spans="3:3" x14ac:dyDescent="0.25">
      <c r="C1506" s="15" t="s">
        <v>1719</v>
      </c>
    </row>
    <row r="1507" spans="3:3" x14ac:dyDescent="0.25">
      <c r="C1507" s="15" t="s">
        <v>1720</v>
      </c>
    </row>
    <row r="1508" spans="3:3" x14ac:dyDescent="0.25">
      <c r="C1508" s="15" t="s">
        <v>1721</v>
      </c>
    </row>
    <row r="1509" spans="3:3" x14ac:dyDescent="0.25">
      <c r="C1509" s="15" t="s">
        <v>1722</v>
      </c>
    </row>
    <row r="1510" spans="3:3" x14ac:dyDescent="0.25">
      <c r="C1510" s="15" t="s">
        <v>1723</v>
      </c>
    </row>
    <row r="1511" spans="3:3" x14ac:dyDescent="0.25">
      <c r="C1511" s="15" t="s">
        <v>1724</v>
      </c>
    </row>
    <row r="1512" spans="1:3" x14ac:dyDescent="0.25">
      <c r="A1512" s="15" t="s">
        <v>2081</v>
      </c>
      <c r="B1512" s="15" t="s">
        <v>17</v>
      </c>
      <c r="C1512" s="15" t="s">
        <v>245</v>
      </c>
    </row>
    <row r="1513" spans="3:3" x14ac:dyDescent="0.25">
      <c r="C1513" s="15" t="s">
        <v>1726</v>
      </c>
    </row>
    <row r="1514" spans="3:3" x14ac:dyDescent="0.25">
      <c r="C1514" s="15" t="s">
        <v>1727</v>
      </c>
    </row>
    <row r="1515" spans="3:3" x14ac:dyDescent="0.25">
      <c r="C1515" s="15" t="s">
        <v>1724</v>
      </c>
    </row>
    <row r="1516" spans="1:3" x14ac:dyDescent="0.25">
      <c r="A1516" s="15" t="s">
        <v>2082</v>
      </c>
      <c r="B1516" s="15" t="s">
        <v>17</v>
      </c>
      <c r="C1516" s="15" t="s">
        <v>251</v>
      </c>
    </row>
    <row r="1517" spans="3:3" x14ac:dyDescent="0.25">
      <c r="C1517" s="15" t="s">
        <v>1728</v>
      </c>
    </row>
    <row r="1518" spans="1:3" x14ac:dyDescent="0.25">
      <c r="A1518" s="15" t="s">
        <v>2083</v>
      </c>
      <c r="B1518" s="15" t="s">
        <v>17</v>
      </c>
      <c r="C1518" s="15" t="s">
        <v>762</v>
      </c>
    </row>
    <row r="1519" spans="3:3" x14ac:dyDescent="0.25">
      <c r="C1519" s="15" t="s">
        <v>2007</v>
      </c>
    </row>
    <row r="1520" spans="3:3" x14ac:dyDescent="0.25">
      <c r="C1520" s="15" t="s">
        <v>2008</v>
      </c>
    </row>
    <row r="1521" spans="3:3" x14ac:dyDescent="0.25">
      <c r="C1521" s="15" t="s">
        <v>2009</v>
      </c>
    </row>
    <row r="1522" spans="3:3" x14ac:dyDescent="0.25">
      <c r="C1522" s="15" t="s">
        <v>2010</v>
      </c>
    </row>
    <row r="1523" spans="3:3" x14ac:dyDescent="0.25">
      <c r="C1523" s="15" t="s">
        <v>2011</v>
      </c>
    </row>
    <row r="1524" spans="3:3" x14ac:dyDescent="0.25">
      <c r="C1524" s="15" t="s">
        <v>2012</v>
      </c>
    </row>
    <row r="1525" spans="3:3" x14ac:dyDescent="0.25">
      <c r="C1525" s="15" t="s">
        <v>2013</v>
      </c>
    </row>
    <row r="1526" spans="3:3" x14ac:dyDescent="0.25">
      <c r="C1526" s="15" t="s">
        <v>2014</v>
      </c>
    </row>
    <row r="1527" spans="3:3" x14ac:dyDescent="0.25">
      <c r="C1527" s="15" t="s">
        <v>2015</v>
      </c>
    </row>
    <row r="1528" spans="3:3" x14ac:dyDescent="0.25">
      <c r="C1528" s="15" t="s">
        <v>2016</v>
      </c>
    </row>
    <row r="1529" spans="3:3" x14ac:dyDescent="0.25">
      <c r="C1529" s="15" t="s">
        <v>2017</v>
      </c>
    </row>
    <row r="1530" spans="3:3" x14ac:dyDescent="0.25">
      <c r="C1530" s="15" t="s">
        <v>2018</v>
      </c>
    </row>
    <row r="1531" spans="3:3" x14ac:dyDescent="0.25">
      <c r="C1531" s="15" t="s">
        <v>2019</v>
      </c>
    </row>
    <row r="1532" spans="3:3" x14ac:dyDescent="0.25">
      <c r="C1532" s="15" t="s">
        <v>2020</v>
      </c>
    </row>
    <row r="1533" spans="3:3" x14ac:dyDescent="0.25">
      <c r="C1533" s="15" t="s">
        <v>2021</v>
      </c>
    </row>
    <row r="1534" spans="1:3" x14ac:dyDescent="0.25">
      <c r="A1534" s="15" t="s">
        <v>2084</v>
      </c>
      <c r="B1534" s="15" t="s">
        <v>17</v>
      </c>
      <c r="C1534" s="15" t="s">
        <v>1729</v>
      </c>
    </row>
    <row r="1535" spans="3:3" x14ac:dyDescent="0.25">
      <c r="C1535" s="15" t="s">
        <v>1730</v>
      </c>
    </row>
    <row r="1536" spans="3:3" x14ac:dyDescent="0.25">
      <c r="C1536" s="15" t="s">
        <v>1731</v>
      </c>
    </row>
    <row r="1537" spans="3:3" x14ac:dyDescent="0.25">
      <c r="C1537" s="15" t="s">
        <v>1732</v>
      </c>
    </row>
    <row r="1538" spans="3:3" x14ac:dyDescent="0.25">
      <c r="C1538" s="15" t="s">
        <v>1733</v>
      </c>
    </row>
    <row r="1539" spans="3:3" x14ac:dyDescent="0.25">
      <c r="C1539" s="15" t="s">
        <v>1734</v>
      </c>
    </row>
    <row r="1540" spans="3:3" x14ac:dyDescent="0.25">
      <c r="C1540" s="15" t="s">
        <v>1735</v>
      </c>
    </row>
    <row r="1541" spans="3:3" x14ac:dyDescent="0.25">
      <c r="C1541" s="15" t="s">
        <v>1736</v>
      </c>
    </row>
    <row r="1542" spans="3:3" x14ac:dyDescent="0.25">
      <c r="C1542" s="15" t="s">
        <v>1737</v>
      </c>
    </row>
    <row r="1543" spans="3:3" x14ac:dyDescent="0.25">
      <c r="C1543" s="15" t="s">
        <v>1738</v>
      </c>
    </row>
    <row r="1544" spans="3:3" x14ac:dyDescent="0.25">
      <c r="C1544" s="15" t="s">
        <v>1739</v>
      </c>
    </row>
    <row r="1545" spans="3:3" x14ac:dyDescent="0.25">
      <c r="C1545" s="15" t="s">
        <v>1740</v>
      </c>
    </row>
    <row r="1546" spans="3:3" x14ac:dyDescent="0.25">
      <c r="C1546" s="15" t="s">
        <v>1741</v>
      </c>
    </row>
    <row r="1547" spans="3:3" x14ac:dyDescent="0.25">
      <c r="C1547" s="15" t="s">
        <v>1742</v>
      </c>
    </row>
    <row r="1548" spans="3:3" x14ac:dyDescent="0.25">
      <c r="C1548" s="15" t="s">
        <v>1743</v>
      </c>
    </row>
    <row r="1549" spans="3:3" x14ac:dyDescent="0.25">
      <c r="C1549" s="15" t="s">
        <v>1744</v>
      </c>
    </row>
    <row r="1550" spans="3:3" x14ac:dyDescent="0.25">
      <c r="C1550" s="15" t="s">
        <v>1745</v>
      </c>
    </row>
    <row r="1551" spans="3:3" x14ac:dyDescent="0.25">
      <c r="C1551" s="15" t="s">
        <v>1746</v>
      </c>
    </row>
    <row r="1552" spans="3:3" x14ac:dyDescent="0.25">
      <c r="C1552" s="15" t="s">
        <v>1747</v>
      </c>
    </row>
    <row r="1553" spans="3:3" x14ac:dyDescent="0.25">
      <c r="C1553" s="15" t="s">
        <v>1748</v>
      </c>
    </row>
    <row r="1554" spans="3:3" x14ac:dyDescent="0.25">
      <c r="C1554" s="15" t="s">
        <v>1749</v>
      </c>
    </row>
    <row r="1555" spans="3:3" x14ac:dyDescent="0.25">
      <c r="C1555" s="15" t="s">
        <v>1750</v>
      </c>
    </row>
    <row r="1556" spans="3:3" x14ac:dyDescent="0.25">
      <c r="C1556" s="15" t="s">
        <v>1751</v>
      </c>
    </row>
    <row r="1557" spans="3:3" x14ac:dyDescent="0.25">
      <c r="C1557" s="15" t="s">
        <v>1752</v>
      </c>
    </row>
    <row r="1558" spans="3:3" x14ac:dyDescent="0.25">
      <c r="C1558" s="15" t="s">
        <v>1753</v>
      </c>
    </row>
    <row r="1559" spans="3:3" x14ac:dyDescent="0.25">
      <c r="C1559" s="15" t="s">
        <v>1754</v>
      </c>
    </row>
    <row r="1560" spans="3:3" x14ac:dyDescent="0.25">
      <c r="C1560" s="15" t="s">
        <v>1755</v>
      </c>
    </row>
    <row r="1561" spans="3:3" x14ac:dyDescent="0.25">
      <c r="C1561" s="15" t="s">
        <v>1756</v>
      </c>
    </row>
    <row r="1562" spans="3:3" x14ac:dyDescent="0.25">
      <c r="C1562" s="15" t="s">
        <v>1757</v>
      </c>
    </row>
    <row r="1563" spans="3:3" x14ac:dyDescent="0.25">
      <c r="C1563" s="15" t="s">
        <v>1758</v>
      </c>
    </row>
    <row r="1564" spans="3:3" x14ac:dyDescent="0.25">
      <c r="C1564" s="15" t="s">
        <v>1759</v>
      </c>
    </row>
    <row r="1565" spans="3:3" x14ac:dyDescent="0.25">
      <c r="C1565" s="15" t="s">
        <v>1760</v>
      </c>
    </row>
    <row r="1566" spans="3:3" x14ac:dyDescent="0.25">
      <c r="C1566" s="15" t="s">
        <v>1761</v>
      </c>
    </row>
    <row r="1567" spans="3:3" x14ac:dyDescent="0.25">
      <c r="C1567" s="15" t="s">
        <v>1762</v>
      </c>
    </row>
    <row r="1568" spans="3:3" x14ac:dyDescent="0.25">
      <c r="C1568" s="15" t="s">
        <v>1763</v>
      </c>
    </row>
    <row r="1569" spans="3:3" x14ac:dyDescent="0.25">
      <c r="C1569" s="15" t="s">
        <v>1764</v>
      </c>
    </row>
    <row r="1570" spans="3:3" x14ac:dyDescent="0.25">
      <c r="C1570" s="15" t="s">
        <v>1765</v>
      </c>
    </row>
    <row r="1571" spans="3:3" x14ac:dyDescent="0.25">
      <c r="C1571" s="15" t="s">
        <v>1766</v>
      </c>
    </row>
    <row r="1572" spans="3:3" x14ac:dyDescent="0.25">
      <c r="C1572" s="15" t="s">
        <v>1767</v>
      </c>
    </row>
    <row r="1573" spans="3:3" x14ac:dyDescent="0.25">
      <c r="C1573" s="15" t="s">
        <v>1768</v>
      </c>
    </row>
    <row r="1574" spans="3:3" x14ac:dyDescent="0.25">
      <c r="C1574" s="15" t="s">
        <v>1769</v>
      </c>
    </row>
    <row r="1575" spans="3:3" x14ac:dyDescent="0.25">
      <c r="C1575" s="15" t="s">
        <v>1770</v>
      </c>
    </row>
    <row r="1576" spans="3:3" x14ac:dyDescent="0.25">
      <c r="C1576" s="15" t="s">
        <v>1771</v>
      </c>
    </row>
    <row r="1577" spans="3:3" x14ac:dyDescent="0.25">
      <c r="C1577" s="15" t="s">
        <v>1772</v>
      </c>
    </row>
    <row r="1578" spans="3:3" x14ac:dyDescent="0.25">
      <c r="C1578" s="15" t="s">
        <v>1773</v>
      </c>
    </row>
    <row r="1579" spans="3:3" x14ac:dyDescent="0.25">
      <c r="C1579" s="15" t="s">
        <v>1774</v>
      </c>
    </row>
    <row r="1580" spans="3:3" x14ac:dyDescent="0.25">
      <c r="C1580" s="15" t="s">
        <v>1775</v>
      </c>
    </row>
    <row r="1581" spans="3:3" x14ac:dyDescent="0.25">
      <c r="C1581" s="15" t="s">
        <v>1776</v>
      </c>
    </row>
    <row r="1582" spans="3:3" x14ac:dyDescent="0.25">
      <c r="C1582" s="15" t="s">
        <v>1777</v>
      </c>
    </row>
    <row r="1583" spans="3:3" x14ac:dyDescent="0.25">
      <c r="C1583" s="15" t="s">
        <v>1778</v>
      </c>
    </row>
    <row r="1584" spans="3:3" x14ac:dyDescent="0.25">
      <c r="C1584" s="15" t="s">
        <v>1779</v>
      </c>
    </row>
    <row r="1585" spans="3:3" x14ac:dyDescent="0.25">
      <c r="C1585" s="15" t="s">
        <v>1780</v>
      </c>
    </row>
    <row r="1586" spans="3:3" x14ac:dyDescent="0.25">
      <c r="C1586" s="15" t="s">
        <v>1781</v>
      </c>
    </row>
    <row r="1587" spans="3:3" x14ac:dyDescent="0.25">
      <c r="C1587" s="15" t="s">
        <v>1782</v>
      </c>
    </row>
    <row r="1588" spans="3:3" x14ac:dyDescent="0.25">
      <c r="C1588" s="15" t="s">
        <v>1783</v>
      </c>
    </row>
    <row r="1589" spans="3:3" x14ac:dyDescent="0.25">
      <c r="C1589" s="15" t="s">
        <v>1784</v>
      </c>
    </row>
    <row r="1590" spans="3:3" x14ac:dyDescent="0.25">
      <c r="C1590" s="15" t="s">
        <v>1785</v>
      </c>
    </row>
    <row r="1591" spans="3:3" x14ac:dyDescent="0.25">
      <c r="C1591" s="15" t="s">
        <v>1786</v>
      </c>
    </row>
    <row r="1592" spans="3:3" x14ac:dyDescent="0.25">
      <c r="C1592" s="15" t="s">
        <v>1787</v>
      </c>
    </row>
    <row r="1593" spans="3:3" x14ac:dyDescent="0.25">
      <c r="C1593" s="15" t="s">
        <v>1788</v>
      </c>
    </row>
    <row r="1594" spans="3:3" x14ac:dyDescent="0.25">
      <c r="C1594" s="15" t="s">
        <v>1789</v>
      </c>
    </row>
    <row r="1595" spans="3:3" x14ac:dyDescent="0.25">
      <c r="C1595" s="15" t="s">
        <v>1790</v>
      </c>
    </row>
    <row r="1596" spans="3:3" x14ac:dyDescent="0.25">
      <c r="C1596" s="15" t="s">
        <v>1791</v>
      </c>
    </row>
    <row r="1597" spans="3:3" x14ac:dyDescent="0.25">
      <c r="C1597" s="15" t="s">
        <v>1792</v>
      </c>
    </row>
    <row r="1598" spans="3:3" x14ac:dyDescent="0.25">
      <c r="C1598" s="15" t="s">
        <v>1793</v>
      </c>
    </row>
    <row r="1599" spans="3:3" x14ac:dyDescent="0.25">
      <c r="C1599" s="15" t="s">
        <v>1794</v>
      </c>
    </row>
    <row r="1600" spans="3:3" x14ac:dyDescent="0.25">
      <c r="C1600" s="15" t="s">
        <v>1795</v>
      </c>
    </row>
    <row r="1601" spans="3:3" x14ac:dyDescent="0.25">
      <c r="C1601" s="15" t="s">
        <v>1796</v>
      </c>
    </row>
    <row r="1602" spans="3:3" x14ac:dyDescent="0.25">
      <c r="C1602" s="15" t="s">
        <v>1797</v>
      </c>
    </row>
    <row r="1603" spans="3:3" x14ac:dyDescent="0.25">
      <c r="C1603" s="15" t="s">
        <v>1798</v>
      </c>
    </row>
    <row r="1604" spans="3:3" x14ac:dyDescent="0.25">
      <c r="C1604" s="15" t="s">
        <v>1799</v>
      </c>
    </row>
    <row r="1605" spans="3:3" x14ac:dyDescent="0.25">
      <c r="C1605" s="15" t="s">
        <v>1800</v>
      </c>
    </row>
    <row r="1606" spans="3:3" x14ac:dyDescent="0.25">
      <c r="C1606" s="15" t="s">
        <v>1801</v>
      </c>
    </row>
    <row r="1607" spans="3:3" x14ac:dyDescent="0.25">
      <c r="C1607" s="15" t="s">
        <v>1802</v>
      </c>
    </row>
    <row r="1608" spans="3:3" x14ac:dyDescent="0.25">
      <c r="C1608" s="15" t="s">
        <v>1803</v>
      </c>
    </row>
    <row r="1609" spans="3:3" x14ac:dyDescent="0.25">
      <c r="C1609" s="15" t="s">
        <v>1804</v>
      </c>
    </row>
    <row r="1610" spans="3:3" x14ac:dyDescent="0.25">
      <c r="C1610" s="15" t="s">
        <v>1805</v>
      </c>
    </row>
    <row r="1611" spans="3:3" x14ac:dyDescent="0.25">
      <c r="C1611" s="15" t="s">
        <v>1806</v>
      </c>
    </row>
    <row r="1612" spans="3:3" x14ac:dyDescent="0.25">
      <c r="C1612" s="15" t="s">
        <v>1807</v>
      </c>
    </row>
    <row r="1613" spans="3:3" x14ac:dyDescent="0.25">
      <c r="C1613" s="15" t="s">
        <v>1808</v>
      </c>
    </row>
    <row r="1614" spans="3:3" x14ac:dyDescent="0.25">
      <c r="C1614" s="15" t="s">
        <v>1809</v>
      </c>
    </row>
    <row r="1615" spans="3:3" x14ac:dyDescent="0.25">
      <c r="C1615" s="15" t="s">
        <v>1810</v>
      </c>
    </row>
    <row r="1616" spans="3:3" x14ac:dyDescent="0.25">
      <c r="C1616" s="15" t="s">
        <v>1811</v>
      </c>
    </row>
    <row r="1617" spans="3:3" x14ac:dyDescent="0.25">
      <c r="C1617" s="15" t="s">
        <v>1812</v>
      </c>
    </row>
    <row r="1618" spans="3:3" x14ac:dyDescent="0.25">
      <c r="C1618" s="15" t="s">
        <v>1813</v>
      </c>
    </row>
    <row r="1619" spans="3:3" x14ac:dyDescent="0.25">
      <c r="C1619" s="15" t="s">
        <v>1814</v>
      </c>
    </row>
    <row r="1620" spans="3:3" x14ac:dyDescent="0.25">
      <c r="C1620" s="15" t="s">
        <v>1815</v>
      </c>
    </row>
    <row r="1621" spans="3:3" x14ac:dyDescent="0.25">
      <c r="C1621" s="15" t="s">
        <v>1816</v>
      </c>
    </row>
    <row r="1622" spans="3:3" x14ac:dyDescent="0.25">
      <c r="C1622" s="15" t="s">
        <v>1817</v>
      </c>
    </row>
    <row r="1623" spans="3:3" x14ac:dyDescent="0.25">
      <c r="C1623" s="15" t="s">
        <v>1818</v>
      </c>
    </row>
    <row r="1624" spans="3:3" x14ac:dyDescent="0.25">
      <c r="C1624" s="15" t="s">
        <v>1819</v>
      </c>
    </row>
    <row r="1625" spans="3:3" x14ac:dyDescent="0.25">
      <c r="C1625" s="15" t="s">
        <v>1820</v>
      </c>
    </row>
    <row r="1626" spans="3:3" x14ac:dyDescent="0.25">
      <c r="C1626" s="15" t="s">
        <v>1821</v>
      </c>
    </row>
    <row r="1627" spans="3:3" x14ac:dyDescent="0.25">
      <c r="C1627" s="15" t="s">
        <v>1822</v>
      </c>
    </row>
    <row r="1628" spans="3:3" x14ac:dyDescent="0.25">
      <c r="C1628" s="15" t="s">
        <v>1823</v>
      </c>
    </row>
    <row r="1629" spans="3:3" x14ac:dyDescent="0.25">
      <c r="C1629" s="15" t="s">
        <v>1824</v>
      </c>
    </row>
    <row r="1630" spans="3:3" x14ac:dyDescent="0.25">
      <c r="C1630" s="15" t="s">
        <v>1825</v>
      </c>
    </row>
    <row r="1631" spans="3:3" x14ac:dyDescent="0.25">
      <c r="C1631" s="15" t="s">
        <v>1826</v>
      </c>
    </row>
    <row r="1632" spans="3:3" x14ac:dyDescent="0.25">
      <c r="C1632" s="15" t="s">
        <v>1827</v>
      </c>
    </row>
    <row r="1633" spans="3:3" x14ac:dyDescent="0.25">
      <c r="C1633" s="15" t="s">
        <v>1828</v>
      </c>
    </row>
    <row r="1634" spans="3:3" x14ac:dyDescent="0.25">
      <c r="C1634" s="15" t="s">
        <v>1829</v>
      </c>
    </row>
    <row r="1635" spans="3:3" x14ac:dyDescent="0.25">
      <c r="C1635" s="15" t="s">
        <v>1830</v>
      </c>
    </row>
    <row r="1636" spans="3:3" x14ac:dyDescent="0.25">
      <c r="C1636" s="15" t="s">
        <v>1831</v>
      </c>
    </row>
    <row r="1637" spans="3:3" x14ac:dyDescent="0.25">
      <c r="C1637" s="15" t="s">
        <v>1832</v>
      </c>
    </row>
    <row r="1638" spans="3:3" x14ac:dyDescent="0.25">
      <c r="C1638" s="15" t="s">
        <v>1833</v>
      </c>
    </row>
    <row r="1639" spans="3:3" x14ac:dyDescent="0.25">
      <c r="C1639" s="15" t="s">
        <v>1834</v>
      </c>
    </row>
    <row r="1640" spans="3:3" x14ac:dyDescent="0.25">
      <c r="C1640" s="15" t="s">
        <v>1835</v>
      </c>
    </row>
    <row r="1641" spans="3:3" x14ac:dyDescent="0.25">
      <c r="C1641" s="15" t="s">
        <v>1836</v>
      </c>
    </row>
    <row r="1642" spans="3:3" x14ac:dyDescent="0.25">
      <c r="C1642" s="15" t="s">
        <v>1837</v>
      </c>
    </row>
    <row r="1643" spans="3:3" x14ac:dyDescent="0.25">
      <c r="C1643" s="15" t="s">
        <v>1838</v>
      </c>
    </row>
    <row r="1644" spans="3:3" x14ac:dyDescent="0.25">
      <c r="C1644" s="15" t="s">
        <v>1839</v>
      </c>
    </row>
    <row r="1645" spans="3:3" x14ac:dyDescent="0.25">
      <c r="C1645" s="15" t="s">
        <v>1840</v>
      </c>
    </row>
    <row r="1646" spans="3:3" x14ac:dyDescent="0.25">
      <c r="C1646" s="15" t="s">
        <v>1841</v>
      </c>
    </row>
    <row r="1647" spans="3:3" x14ac:dyDescent="0.25">
      <c r="C1647" s="15" t="s">
        <v>1842</v>
      </c>
    </row>
    <row r="1648" spans="3:3" x14ac:dyDescent="0.25">
      <c r="C1648" s="15" t="s">
        <v>1843</v>
      </c>
    </row>
    <row r="1649" spans="3:3" x14ac:dyDescent="0.25">
      <c r="C1649" s="15" t="s">
        <v>1844</v>
      </c>
    </row>
    <row r="1650" spans="3:3" x14ac:dyDescent="0.25">
      <c r="C1650" s="15" t="s">
        <v>1845</v>
      </c>
    </row>
    <row r="1651" spans="3:3" x14ac:dyDescent="0.25">
      <c r="C1651" s="15" t="s">
        <v>1846</v>
      </c>
    </row>
    <row r="1652" spans="3:3" x14ac:dyDescent="0.25">
      <c r="C1652" s="15" t="s">
        <v>1847</v>
      </c>
    </row>
    <row r="1653" spans="3:3" x14ac:dyDescent="0.25">
      <c r="C1653" s="15" t="s">
        <v>1848</v>
      </c>
    </row>
    <row r="1654" spans="3:3" x14ac:dyDescent="0.25">
      <c r="C1654" s="15" t="s">
        <v>1849</v>
      </c>
    </row>
    <row r="1655" spans="3:3" x14ac:dyDescent="0.25">
      <c r="C1655" s="15" t="s">
        <v>1850</v>
      </c>
    </row>
    <row r="1656" spans="3:3" x14ac:dyDescent="0.25">
      <c r="C1656" s="15" t="s">
        <v>1851</v>
      </c>
    </row>
    <row r="1657" spans="3:3" x14ac:dyDescent="0.25">
      <c r="C1657" s="15" t="s">
        <v>1852</v>
      </c>
    </row>
    <row r="1658" spans="3:3" x14ac:dyDescent="0.25">
      <c r="C1658" s="15" t="s">
        <v>1853</v>
      </c>
    </row>
    <row r="1659" spans="3:3" x14ac:dyDescent="0.25">
      <c r="C1659" s="15" t="s">
        <v>1854</v>
      </c>
    </row>
    <row r="1660" spans="3:3" x14ac:dyDescent="0.25">
      <c r="C1660" s="15" t="s">
        <v>1855</v>
      </c>
    </row>
    <row r="1661" spans="3:3" x14ac:dyDescent="0.25">
      <c r="C1661" s="15" t="s">
        <v>1856</v>
      </c>
    </row>
    <row r="1662" spans="3:3" x14ac:dyDescent="0.25">
      <c r="C1662" s="15" t="s">
        <v>1857</v>
      </c>
    </row>
    <row r="1663" spans="3:3" x14ac:dyDescent="0.25">
      <c r="C1663" s="15" t="s">
        <v>1858</v>
      </c>
    </row>
    <row r="1664" spans="3:3" x14ac:dyDescent="0.25">
      <c r="C1664" s="15" t="s">
        <v>1859</v>
      </c>
    </row>
    <row r="1665" spans="3:3" x14ac:dyDescent="0.25">
      <c r="C1665" s="15" t="s">
        <v>1860</v>
      </c>
    </row>
    <row r="1666" spans="3:3" x14ac:dyDescent="0.25">
      <c r="C1666" s="15" t="s">
        <v>1861</v>
      </c>
    </row>
    <row r="1667" spans="3:3" x14ac:dyDescent="0.25">
      <c r="C1667" s="15" t="s">
        <v>1862</v>
      </c>
    </row>
    <row r="1668" spans="3:3" x14ac:dyDescent="0.25">
      <c r="C1668" s="15" t="s">
        <v>1863</v>
      </c>
    </row>
    <row r="1669" spans="3:3" x14ac:dyDescent="0.25">
      <c r="C1669" s="15" t="s">
        <v>1864</v>
      </c>
    </row>
    <row r="1670" spans="3:3" x14ac:dyDescent="0.25">
      <c r="C1670" s="15" t="s">
        <v>1865</v>
      </c>
    </row>
    <row r="1671" spans="3:3" x14ac:dyDescent="0.25">
      <c r="C1671" s="15" t="s">
        <v>1866</v>
      </c>
    </row>
    <row r="1672" spans="3:3" x14ac:dyDescent="0.25">
      <c r="C1672" s="15" t="s">
        <v>1867</v>
      </c>
    </row>
    <row r="1673" spans="3:3" x14ac:dyDescent="0.25">
      <c r="C1673" s="15" t="s">
        <v>1868</v>
      </c>
    </row>
    <row r="1674" spans="3:3" x14ac:dyDescent="0.25">
      <c r="C1674" s="15" t="s">
        <v>1869</v>
      </c>
    </row>
    <row r="1675" spans="3:3" x14ac:dyDescent="0.25">
      <c r="C1675" s="15" t="s">
        <v>1870</v>
      </c>
    </row>
    <row r="1676" spans="3:3" x14ac:dyDescent="0.25">
      <c r="C1676" s="15" t="s">
        <v>1871</v>
      </c>
    </row>
    <row r="1677" spans="3:3" x14ac:dyDescent="0.25">
      <c r="C1677" s="15" t="s">
        <v>1872</v>
      </c>
    </row>
    <row r="1678" spans="3:3" x14ac:dyDescent="0.25">
      <c r="C1678" s="15" t="s">
        <v>1873</v>
      </c>
    </row>
    <row r="1679" spans="3:3" x14ac:dyDescent="0.25">
      <c r="C1679" s="15" t="s">
        <v>1874</v>
      </c>
    </row>
    <row r="1680" spans="3:3" x14ac:dyDescent="0.25">
      <c r="C1680" s="15" t="s">
        <v>1875</v>
      </c>
    </row>
    <row r="1681" spans="3:3" x14ac:dyDescent="0.25">
      <c r="C1681" s="15" t="s">
        <v>1876</v>
      </c>
    </row>
    <row r="1682" spans="3:3" x14ac:dyDescent="0.25">
      <c r="C1682" s="15" t="s">
        <v>1877</v>
      </c>
    </row>
    <row r="1683" spans="3:3" x14ac:dyDescent="0.25">
      <c r="C1683" s="15" t="s">
        <v>1878</v>
      </c>
    </row>
    <row r="1684" spans="3:3" x14ac:dyDescent="0.25">
      <c r="C1684" s="15" t="s">
        <v>1879</v>
      </c>
    </row>
    <row r="1685" spans="3:3" x14ac:dyDescent="0.25">
      <c r="C1685" s="15" t="s">
        <v>1880</v>
      </c>
    </row>
    <row r="1686" spans="3:3" x14ac:dyDescent="0.25">
      <c r="C1686" s="15" t="s">
        <v>1881</v>
      </c>
    </row>
    <row r="1687" spans="3:3" x14ac:dyDescent="0.25">
      <c r="C1687" s="15" t="s">
        <v>1882</v>
      </c>
    </row>
    <row r="1688" spans="3:3" x14ac:dyDescent="0.25">
      <c r="C1688" s="15" t="s">
        <v>1883</v>
      </c>
    </row>
    <row r="1689" spans="3:3" x14ac:dyDescent="0.25">
      <c r="C1689" s="15" t="s">
        <v>1884</v>
      </c>
    </row>
    <row r="1690" spans="3:3" x14ac:dyDescent="0.25">
      <c r="C1690" s="15" t="s">
        <v>1885</v>
      </c>
    </row>
    <row r="1691" spans="3:3" x14ac:dyDescent="0.25">
      <c r="C1691" s="15" t="s">
        <v>1886</v>
      </c>
    </row>
    <row r="1692" spans="3:3" x14ac:dyDescent="0.25">
      <c r="C1692" s="15" t="s">
        <v>1887</v>
      </c>
    </row>
    <row r="1693" spans="3:3" x14ac:dyDescent="0.25">
      <c r="C1693" s="15" t="s">
        <v>1888</v>
      </c>
    </row>
    <row r="1694" spans="3:3" x14ac:dyDescent="0.25">
      <c r="C1694" s="15" t="s">
        <v>1889</v>
      </c>
    </row>
    <row r="1695" spans="3:3" x14ac:dyDescent="0.25">
      <c r="C1695" s="15" t="s">
        <v>1890</v>
      </c>
    </row>
    <row r="1696" spans="3:3" x14ac:dyDescent="0.25">
      <c r="C1696" s="15" t="s">
        <v>1891</v>
      </c>
    </row>
    <row r="1697" spans="3:3" x14ac:dyDescent="0.25">
      <c r="C1697" s="15" t="s">
        <v>1892</v>
      </c>
    </row>
    <row r="1698" spans="3:3" x14ac:dyDescent="0.25">
      <c r="C1698" s="15" t="s">
        <v>1893</v>
      </c>
    </row>
    <row r="1699" spans="3:3" x14ac:dyDescent="0.25">
      <c r="C1699" s="15" t="s">
        <v>1894</v>
      </c>
    </row>
    <row r="1700" spans="3:3" x14ac:dyDescent="0.25">
      <c r="C1700" s="15" t="s">
        <v>1895</v>
      </c>
    </row>
    <row r="1701" spans="3:3" x14ac:dyDescent="0.25">
      <c r="C1701" s="15" t="s">
        <v>1896</v>
      </c>
    </row>
    <row r="1702" spans="3:3" x14ac:dyDescent="0.25">
      <c r="C1702" s="15" t="s">
        <v>1897</v>
      </c>
    </row>
    <row r="1703" spans="3:3" x14ac:dyDescent="0.25">
      <c r="C1703" s="15" t="s">
        <v>1898</v>
      </c>
    </row>
    <row r="1704" spans="3:3" x14ac:dyDescent="0.25">
      <c r="C1704" s="15" t="s">
        <v>1899</v>
      </c>
    </row>
    <row r="1705" spans="3:3" x14ac:dyDescent="0.25">
      <c r="C1705" s="15" t="s">
        <v>1900</v>
      </c>
    </row>
    <row r="1706" spans="3:3" x14ac:dyDescent="0.25">
      <c r="C1706" s="15" t="s">
        <v>1901</v>
      </c>
    </row>
    <row r="1707" spans="3:3" x14ac:dyDescent="0.25">
      <c r="C1707" s="15" t="s">
        <v>1902</v>
      </c>
    </row>
    <row r="1708" spans="3:3" x14ac:dyDescent="0.25">
      <c r="C1708" s="15" t="s">
        <v>1903</v>
      </c>
    </row>
    <row r="1709" spans="3:3" x14ac:dyDescent="0.25">
      <c r="C1709" s="15" t="s">
        <v>1904</v>
      </c>
    </row>
    <row r="1710" spans="3:3" x14ac:dyDescent="0.25">
      <c r="C1710" s="15" t="s">
        <v>1905</v>
      </c>
    </row>
    <row r="1711" spans="3:3" x14ac:dyDescent="0.25">
      <c r="C1711" s="15" t="s">
        <v>1906</v>
      </c>
    </row>
    <row r="1712" spans="3:3" x14ac:dyDescent="0.25">
      <c r="C1712" s="15" t="s">
        <v>1907</v>
      </c>
    </row>
    <row r="1713" spans="3:3" x14ac:dyDescent="0.25">
      <c r="C1713" s="15" t="s">
        <v>1908</v>
      </c>
    </row>
    <row r="1714" spans="3:3" x14ac:dyDescent="0.25">
      <c r="C1714" s="15" t="s">
        <v>1909</v>
      </c>
    </row>
    <row r="1715" spans="3:3" x14ac:dyDescent="0.25">
      <c r="C1715" s="15" t="s">
        <v>1910</v>
      </c>
    </row>
    <row r="1716" spans="3:3" x14ac:dyDescent="0.25">
      <c r="C1716" s="15" t="s">
        <v>1911</v>
      </c>
    </row>
    <row r="1717" spans="3:3" x14ac:dyDescent="0.25">
      <c r="C1717" s="15" t="s">
        <v>1912</v>
      </c>
    </row>
    <row r="1718" spans="3:3" x14ac:dyDescent="0.25">
      <c r="C1718" s="15" t="s">
        <v>1913</v>
      </c>
    </row>
    <row r="1719" spans="3:3" x14ac:dyDescent="0.25">
      <c r="C1719" s="15" t="s">
        <v>1914</v>
      </c>
    </row>
    <row r="1720" spans="3:3" x14ac:dyDescent="0.25">
      <c r="C1720" s="15" t="s">
        <v>1915</v>
      </c>
    </row>
    <row r="1721" spans="3:3" x14ac:dyDescent="0.25">
      <c r="C1721" s="15" t="s">
        <v>1916</v>
      </c>
    </row>
    <row r="1722" spans="3:3" x14ac:dyDescent="0.25">
      <c r="C1722" s="15" t="s">
        <v>1917</v>
      </c>
    </row>
    <row r="1723" spans="3:3" x14ac:dyDescent="0.25">
      <c r="C1723" s="15" t="s">
        <v>1918</v>
      </c>
    </row>
    <row r="1724" spans="3:3" x14ac:dyDescent="0.25">
      <c r="C1724" s="15" t="s">
        <v>1919</v>
      </c>
    </row>
    <row r="1725" spans="3:3" x14ac:dyDescent="0.25">
      <c r="C1725" s="15" t="s">
        <v>1920</v>
      </c>
    </row>
    <row r="1726" spans="3:3" x14ac:dyDescent="0.25">
      <c r="C1726" s="15" t="s">
        <v>1921</v>
      </c>
    </row>
    <row r="1727" spans="3:3" x14ac:dyDescent="0.25">
      <c r="C1727" s="15" t="s">
        <v>1922</v>
      </c>
    </row>
    <row r="1728" spans="3:3" x14ac:dyDescent="0.25">
      <c r="C1728" s="15" t="s">
        <v>1923</v>
      </c>
    </row>
    <row r="1729" spans="3:3" x14ac:dyDescent="0.25">
      <c r="C1729" s="15" t="s">
        <v>1924</v>
      </c>
    </row>
    <row r="1730" spans="3:3" x14ac:dyDescent="0.25">
      <c r="C1730" s="15" t="s">
        <v>1925</v>
      </c>
    </row>
    <row r="1731" spans="3:3" x14ac:dyDescent="0.25">
      <c r="C1731" s="15" t="s">
        <v>1926</v>
      </c>
    </row>
    <row r="1732" spans="3:3" x14ac:dyDescent="0.25">
      <c r="C1732" s="15" t="s">
        <v>1927</v>
      </c>
    </row>
    <row r="1733" spans="3:3" x14ac:dyDescent="0.25">
      <c r="C1733" s="15" t="s">
        <v>1928</v>
      </c>
    </row>
    <row r="1734" spans="3:3" x14ac:dyDescent="0.25">
      <c r="C1734" s="15" t="s">
        <v>1929</v>
      </c>
    </row>
    <row r="1735" spans="3:3" x14ac:dyDescent="0.25">
      <c r="C1735" s="15" t="s">
        <v>1930</v>
      </c>
    </row>
    <row r="1736" spans="3:3" x14ac:dyDescent="0.25">
      <c r="C1736" s="15" t="s">
        <v>1931</v>
      </c>
    </row>
    <row r="1737" spans="3:3" x14ac:dyDescent="0.25">
      <c r="C1737" s="15" t="s">
        <v>1932</v>
      </c>
    </row>
    <row r="1738" spans="3:3" x14ac:dyDescent="0.25">
      <c r="C1738" s="15" t="s">
        <v>1933</v>
      </c>
    </row>
    <row r="1739" spans="3:3" x14ac:dyDescent="0.25">
      <c r="C1739" s="15" t="s">
        <v>1934</v>
      </c>
    </row>
    <row r="1740" spans="3:3" x14ac:dyDescent="0.25">
      <c r="C1740" s="15" t="s">
        <v>1935</v>
      </c>
    </row>
    <row r="1741" spans="3:3" x14ac:dyDescent="0.25">
      <c r="C1741" s="15" t="s">
        <v>1936</v>
      </c>
    </row>
    <row r="1742" spans="3:3" x14ac:dyDescent="0.25">
      <c r="C1742" s="15" t="s">
        <v>1937</v>
      </c>
    </row>
    <row r="1743" spans="3:3" x14ac:dyDescent="0.25">
      <c r="C1743" s="15" t="s">
        <v>1938</v>
      </c>
    </row>
    <row r="1744" spans="3:3" x14ac:dyDescent="0.25">
      <c r="C1744" s="15" t="s">
        <v>1939</v>
      </c>
    </row>
    <row r="1745" spans="3:3" x14ac:dyDescent="0.25">
      <c r="C1745" s="15" t="s">
        <v>340</v>
      </c>
    </row>
    <row r="1746" spans="3:3" x14ac:dyDescent="0.25">
      <c r="C1746" s="15" t="s">
        <v>1940</v>
      </c>
    </row>
    <row r="1747" spans="3:3" x14ac:dyDescent="0.25">
      <c r="C1747" s="15" t="s">
        <v>1941</v>
      </c>
    </row>
    <row r="1748" spans="3:3" x14ac:dyDescent="0.25">
      <c r="C1748" s="15" t="s">
        <v>1942</v>
      </c>
    </row>
    <row r="1749" spans="3:3" x14ac:dyDescent="0.25">
      <c r="C1749" s="15" t="s">
        <v>1943</v>
      </c>
    </row>
    <row r="1750" spans="3:3" x14ac:dyDescent="0.25">
      <c r="C1750" s="15" t="s">
        <v>1944</v>
      </c>
    </row>
    <row r="1751" spans="3:3" x14ac:dyDescent="0.25">
      <c r="C1751" s="15" t="s">
        <v>1945</v>
      </c>
    </row>
    <row r="1752" spans="3:3" x14ac:dyDescent="0.25">
      <c r="C1752" s="15" t="s">
        <v>1946</v>
      </c>
    </row>
    <row r="1753" spans="3:3" x14ac:dyDescent="0.25">
      <c r="C1753" s="15" t="s">
        <v>1947</v>
      </c>
    </row>
    <row r="1754" spans="3:3" x14ac:dyDescent="0.25">
      <c r="C1754" s="15" t="s">
        <v>1948</v>
      </c>
    </row>
    <row r="1755" spans="3:3" x14ac:dyDescent="0.25">
      <c r="C1755" s="15" t="s">
        <v>1949</v>
      </c>
    </row>
    <row r="1756" spans="3:3" x14ac:dyDescent="0.25">
      <c r="C1756" s="15" t="s">
        <v>1950</v>
      </c>
    </row>
    <row r="1757" spans="3:3" x14ac:dyDescent="0.25">
      <c r="C1757" s="15" t="s">
        <v>1951</v>
      </c>
    </row>
    <row r="1758" spans="3:3" x14ac:dyDescent="0.25">
      <c r="C1758" s="15" t="s">
        <v>1952</v>
      </c>
    </row>
    <row r="1759" spans="3:3" x14ac:dyDescent="0.25">
      <c r="C1759" s="15" t="s">
        <v>1953</v>
      </c>
    </row>
    <row r="1760" spans="3:3" x14ac:dyDescent="0.25">
      <c r="C1760" s="15" t="s">
        <v>1954</v>
      </c>
    </row>
    <row r="1761" spans="3:3" x14ac:dyDescent="0.25">
      <c r="C1761" s="15" t="s">
        <v>1955</v>
      </c>
    </row>
    <row r="1762" spans="3:3" x14ac:dyDescent="0.25">
      <c r="C1762" s="15" t="s">
        <v>1956</v>
      </c>
    </row>
    <row r="1763" spans="3:3" x14ac:dyDescent="0.25">
      <c r="C1763" s="15" t="s">
        <v>1957</v>
      </c>
    </row>
    <row r="1764" spans="3:3" x14ac:dyDescent="0.25">
      <c r="C1764" s="15" t="s">
        <v>1958</v>
      </c>
    </row>
    <row r="1765" spans="3:3" x14ac:dyDescent="0.25">
      <c r="C1765" s="15" t="s">
        <v>1959</v>
      </c>
    </row>
    <row r="1766" spans="3:3" x14ac:dyDescent="0.25">
      <c r="C1766" s="15" t="s">
        <v>1960</v>
      </c>
    </row>
    <row r="1767" spans="3:3" x14ac:dyDescent="0.25">
      <c r="C1767" s="15" t="s">
        <v>1961</v>
      </c>
    </row>
    <row r="1768" spans="3:3" x14ac:dyDescent="0.25">
      <c r="C1768" s="15" t="s">
        <v>1962</v>
      </c>
    </row>
    <row r="1769" spans="3:3" x14ac:dyDescent="0.25">
      <c r="C1769" s="15" t="s">
        <v>1963</v>
      </c>
    </row>
    <row r="1770" spans="3:3" x14ac:dyDescent="0.25">
      <c r="C1770" s="15" t="s">
        <v>1964</v>
      </c>
    </row>
    <row r="1771" spans="3:3" x14ac:dyDescent="0.25">
      <c r="C1771" s="15" t="s">
        <v>1965</v>
      </c>
    </row>
    <row r="1772" spans="3:3" x14ac:dyDescent="0.25">
      <c r="C1772" s="15" t="s">
        <v>1966</v>
      </c>
    </row>
    <row r="1773" spans="3:3" x14ac:dyDescent="0.25">
      <c r="C1773" s="15" t="s">
        <v>1967</v>
      </c>
    </row>
    <row r="1774" spans="3:3" x14ac:dyDescent="0.25">
      <c r="C1774" s="15" t="s">
        <v>1968</v>
      </c>
    </row>
    <row r="1775" spans="3:3" x14ac:dyDescent="0.25">
      <c r="C1775" s="15" t="s">
        <v>1969</v>
      </c>
    </row>
    <row r="1776" spans="3:3" x14ac:dyDescent="0.25">
      <c r="C1776" s="15" t="s">
        <v>1970</v>
      </c>
    </row>
    <row r="1777" spans="3:3" x14ac:dyDescent="0.25">
      <c r="C1777" s="15" t="s">
        <v>1971</v>
      </c>
    </row>
    <row r="1778" spans="3:3" x14ac:dyDescent="0.25">
      <c r="C1778" s="15" t="s">
        <v>1972</v>
      </c>
    </row>
    <row r="1779" spans="3:3" x14ac:dyDescent="0.25">
      <c r="C1779" s="15" t="s">
        <v>1973</v>
      </c>
    </row>
    <row r="1780" spans="3:3" x14ac:dyDescent="0.25">
      <c r="C1780" s="15" t="s">
        <v>1974</v>
      </c>
    </row>
    <row r="1781" spans="3:3" x14ac:dyDescent="0.25">
      <c r="C1781" s="15" t="s">
        <v>1975</v>
      </c>
    </row>
    <row r="1782" spans="3:3" x14ac:dyDescent="0.25">
      <c r="C1782" s="15" t="s">
        <v>1976</v>
      </c>
    </row>
    <row r="1783" spans="3:3" x14ac:dyDescent="0.25">
      <c r="C1783" s="15" t="s">
        <v>1977</v>
      </c>
    </row>
    <row r="1784" spans="3:3" x14ac:dyDescent="0.25">
      <c r="C1784" s="15" t="s">
        <v>1978</v>
      </c>
    </row>
    <row r="1785" spans="3:3" x14ac:dyDescent="0.25">
      <c r="C1785" s="15" t="s">
        <v>1979</v>
      </c>
    </row>
    <row r="1786" spans="3:3" x14ac:dyDescent="0.25">
      <c r="C1786" s="15" t="s">
        <v>1980</v>
      </c>
    </row>
    <row r="1787" spans="1:3" x14ac:dyDescent="0.25">
      <c r="A1787" s="15" t="s">
        <v>2085</v>
      </c>
      <c r="B1787" s="15" t="s">
        <v>17</v>
      </c>
      <c r="C1787" s="15" t="s">
        <v>15</v>
      </c>
    </row>
    <row r="1788" spans="3:3" x14ac:dyDescent="0.25">
      <c r="C1788" s="15" t="s">
        <v>17</v>
      </c>
    </row>
    <row r="1789" spans="1:3" x14ac:dyDescent="0.25">
      <c r="A1789" s="15" t="s">
        <v>1180</v>
      </c>
      <c r="B1789" s="15" t="s">
        <v>17</v>
      </c>
      <c r="C1789" s="15" t="s">
        <v>1182</v>
      </c>
    </row>
    <row r="1790" spans="3:3" x14ac:dyDescent="0.25">
      <c r="C1790" s="15" t="s">
        <v>2043</v>
      </c>
    </row>
    <row r="1791" spans="3:3" x14ac:dyDescent="0.25">
      <c r="C1791" s="15" t="s">
        <v>2044</v>
      </c>
    </row>
    <row r="1792" spans="3:3" x14ac:dyDescent="0.25">
      <c r="C1792" s="15" t="s">
        <v>2045</v>
      </c>
    </row>
    <row r="1793" spans="3:3" x14ac:dyDescent="0.25">
      <c r="C1793" s="15" t="s">
        <v>2046</v>
      </c>
    </row>
    <row r="1794" spans="3:3" x14ac:dyDescent="0.25">
      <c r="C1794" s="15" t="s">
        <v>2047</v>
      </c>
    </row>
    <row r="1795" spans="3:3" x14ac:dyDescent="0.25">
      <c r="C1795" s="15" t="s">
        <v>1724</v>
      </c>
    </row>
    <row r="1796" spans="1:3" x14ac:dyDescent="0.25">
      <c r="A1796" s="15" t="s">
        <v>904</v>
      </c>
      <c r="B1796" s="15" t="s">
        <v>17</v>
      </c>
      <c r="C1796" s="15" t="s">
        <v>906</v>
      </c>
    </row>
    <row r="1797" spans="3:3" x14ac:dyDescent="0.25">
      <c r="C1797" s="15" t="s">
        <v>2028</v>
      </c>
    </row>
    <row r="1798" spans="1:3" x14ac:dyDescent="0.25">
      <c r="A1798" s="15" t="s">
        <v>2086</v>
      </c>
      <c r="B1798" s="15" t="s">
        <v>17</v>
      </c>
      <c r="C1798" s="15" t="s">
        <v>234</v>
      </c>
    </row>
    <row r="1799" spans="3:3" x14ac:dyDescent="0.25">
      <c r="C1799" s="15" t="s">
        <v>1718</v>
      </c>
    </row>
    <row r="1800" spans="1:3" x14ac:dyDescent="0.25">
      <c r="A1800" s="15" t="s">
        <v>2087</v>
      </c>
      <c r="B1800" s="15" t="s">
        <v>17</v>
      </c>
      <c r="C1800" s="15" t="s">
        <v>238</v>
      </c>
    </row>
    <row r="1801" spans="3:3" x14ac:dyDescent="0.25">
      <c r="C1801" s="15" t="s">
        <v>1719</v>
      </c>
    </row>
    <row r="1802" spans="3:3" x14ac:dyDescent="0.25">
      <c r="C1802" s="15" t="s">
        <v>1720</v>
      </c>
    </row>
    <row r="1803" spans="3:3" x14ac:dyDescent="0.25">
      <c r="C1803" s="15" t="s">
        <v>1721</v>
      </c>
    </row>
    <row r="1804" spans="3:3" x14ac:dyDescent="0.25">
      <c r="C1804" s="15" t="s">
        <v>1722</v>
      </c>
    </row>
    <row r="1805" spans="3:3" x14ac:dyDescent="0.25">
      <c r="C1805" s="15" t="s">
        <v>1723</v>
      </c>
    </row>
    <row r="1806" spans="3:3" x14ac:dyDescent="0.25">
      <c r="C1806" s="15" t="s">
        <v>1724</v>
      </c>
    </row>
    <row r="1807" spans="1:3" x14ac:dyDescent="0.25">
      <c r="A1807" s="15" t="s">
        <v>2088</v>
      </c>
      <c r="B1807" s="15" t="s">
        <v>17</v>
      </c>
      <c r="C1807" s="15" t="s">
        <v>245</v>
      </c>
    </row>
    <row r="1808" spans="3:3" x14ac:dyDescent="0.25">
      <c r="C1808" s="15" t="s">
        <v>1726</v>
      </c>
    </row>
    <row r="1809" spans="3:3" x14ac:dyDescent="0.25">
      <c r="C1809" s="15" t="s">
        <v>1727</v>
      </c>
    </row>
    <row r="1810" spans="3:3" x14ac:dyDescent="0.25">
      <c r="C1810" s="15" t="s">
        <v>1724</v>
      </c>
    </row>
    <row r="1811" spans="1:3" x14ac:dyDescent="0.25">
      <c r="A1811" s="15" t="s">
        <v>249</v>
      </c>
      <c r="B1811" s="15" t="s">
        <v>17</v>
      </c>
      <c r="C1811" s="15" t="s">
        <v>251</v>
      </c>
    </row>
    <row r="1812" spans="3:3" x14ac:dyDescent="0.25">
      <c r="C1812" s="15" t="s">
        <v>1728</v>
      </c>
    </row>
    <row r="1813" spans="1:3" x14ac:dyDescent="0.25">
      <c r="A1813" s="15" t="s">
        <v>2089</v>
      </c>
      <c r="B1813" s="15" t="s">
        <v>17</v>
      </c>
      <c r="C1813" s="15" t="s">
        <v>722</v>
      </c>
    </row>
    <row r="1814" spans="3:3" x14ac:dyDescent="0.25">
      <c r="C1814" s="15" t="s">
        <v>1986</v>
      </c>
    </row>
    <row r="1815" spans="3:3" x14ac:dyDescent="0.25">
      <c r="C1815" s="15" t="s">
        <v>1987</v>
      </c>
    </row>
    <row r="1816" spans="3:3" x14ac:dyDescent="0.25">
      <c r="C1816" s="15" t="s">
        <v>1988</v>
      </c>
    </row>
    <row r="1817" spans="3:3" x14ac:dyDescent="0.25">
      <c r="C1817" s="15" t="s">
        <v>1989</v>
      </c>
    </row>
    <row r="1818" spans="3:3" x14ac:dyDescent="0.25">
      <c r="C1818" s="15" t="s">
        <v>1990</v>
      </c>
    </row>
    <row r="1819" spans="3:3" x14ac:dyDescent="0.25">
      <c r="C1819" s="15" t="s">
        <v>1991</v>
      </c>
    </row>
    <row r="1820" spans="3:3" x14ac:dyDescent="0.25">
      <c r="C1820" s="15" t="s">
        <v>1992</v>
      </c>
    </row>
    <row r="1821" spans="3:3" x14ac:dyDescent="0.25">
      <c r="C1821" s="15" t="s">
        <v>1993</v>
      </c>
    </row>
    <row r="1822" spans="3:3" x14ac:dyDescent="0.25">
      <c r="C1822" s="15" t="s">
        <v>1994</v>
      </c>
    </row>
    <row r="1823" spans="3:3" x14ac:dyDescent="0.25">
      <c r="C1823" s="15" t="s">
        <v>1995</v>
      </c>
    </row>
    <row r="1824" spans="3:3" x14ac:dyDescent="0.25">
      <c r="C1824" s="15" t="s">
        <v>1996</v>
      </c>
    </row>
    <row r="1825" spans="3:3" x14ac:dyDescent="0.25">
      <c r="C1825" s="15" t="s">
        <v>1997</v>
      </c>
    </row>
    <row r="1826" spans="3:3" x14ac:dyDescent="0.25">
      <c r="C1826" s="15" t="s">
        <v>1998</v>
      </c>
    </row>
    <row r="1827" spans="3:3" x14ac:dyDescent="0.25">
      <c r="C1827" s="15" t="s">
        <v>1999</v>
      </c>
    </row>
    <row r="1828" spans="3:3" x14ac:dyDescent="0.25">
      <c r="C1828" s="15" t="s">
        <v>2000</v>
      </c>
    </row>
    <row r="1829" spans="1:3" x14ac:dyDescent="0.25">
      <c r="A1829" s="15" t="s">
        <v>138</v>
      </c>
      <c r="B1829" s="15" t="s">
        <v>17</v>
      </c>
      <c r="C1829" s="15" t="s">
        <v>140</v>
      </c>
    </row>
    <row r="1830" spans="3:3" x14ac:dyDescent="0.25">
      <c r="C1830" s="15" t="s">
        <v>1714</v>
      </c>
    </row>
    <row r="1831" spans="3:3" x14ac:dyDescent="0.25">
      <c r="C1831" s="15" t="s">
        <v>1715</v>
      </c>
    </row>
    <row r="1832" spans="3:3" x14ac:dyDescent="0.25">
      <c r="C1832" s="15" t="s">
        <v>1716</v>
      </c>
    </row>
    <row r="1833" spans="3:3" x14ac:dyDescent="0.25">
      <c r="C1833" s="15" t="s">
        <v>1717</v>
      </c>
    </row>
    <row r="1834" spans="1:3" x14ac:dyDescent="0.25">
      <c r="A1834" s="15" t="s">
        <v>2090</v>
      </c>
      <c r="B1834" s="15" t="s">
        <v>17</v>
      </c>
      <c r="C1834" s="15" t="s">
        <v>251</v>
      </c>
    </row>
    <row r="1835" spans="3:3" x14ac:dyDescent="0.25">
      <c r="C1835" s="15" t="s">
        <v>1728</v>
      </c>
    </row>
    <row r="1836" spans="1:3" x14ac:dyDescent="0.25">
      <c r="A1836" s="15" t="s">
        <v>2091</v>
      </c>
      <c r="B1836" s="15" t="s">
        <v>17</v>
      </c>
      <c r="C1836" s="15" t="s">
        <v>251</v>
      </c>
    </row>
    <row r="1837" spans="3:3" x14ac:dyDescent="0.25">
      <c r="C1837" s="15" t="s">
        <v>1728</v>
      </c>
    </row>
    <row r="1838" spans="1:3" x14ac:dyDescent="0.25">
      <c r="A1838" s="15" t="s">
        <v>2092</v>
      </c>
      <c r="B1838" s="15" t="s">
        <v>17</v>
      </c>
      <c r="C1838" s="15" t="s">
        <v>677</v>
      </c>
    </row>
    <row r="1839" spans="3:3" x14ac:dyDescent="0.25">
      <c r="C1839" s="15" t="s">
        <v>685</v>
      </c>
    </row>
    <row r="1840" spans="1:3" x14ac:dyDescent="0.25">
      <c r="A1840" s="15" t="s">
        <v>424</v>
      </c>
      <c r="B1840" s="15" t="s">
        <v>17</v>
      </c>
      <c r="C1840" s="15" t="s">
        <v>251</v>
      </c>
    </row>
    <row r="1841" spans="3:3" x14ac:dyDescent="0.25">
      <c r="C1841" s="15" t="s">
        <v>1728</v>
      </c>
    </row>
    <row r="1842" spans="1:3" x14ac:dyDescent="0.25">
      <c r="A1842" s="15" t="s">
        <v>45</v>
      </c>
      <c r="B1842" s="15" t="s">
        <v>17</v>
      </c>
      <c r="C1842" s="15" t="s">
        <v>1711</v>
      </c>
    </row>
    <row r="1843" spans="3:3" x14ac:dyDescent="0.25">
      <c r="C1843" s="15" t="s">
        <v>1712</v>
      </c>
    </row>
    <row r="1844" spans="3:3" x14ac:dyDescent="0.25">
      <c r="C1844" s="15" t="s">
        <v>1713</v>
      </c>
    </row>
    <row r="1845" spans="1:3" x14ac:dyDescent="0.25">
      <c r="A1845" s="15" t="s">
        <v>1209</v>
      </c>
      <c r="B1845" s="15" t="s">
        <v>17</v>
      </c>
      <c r="C1845" s="15" t="s">
        <v>906</v>
      </c>
    </row>
    <row r="1846" spans="3:3" x14ac:dyDescent="0.25">
      <c r="C1846" s="15" t="s">
        <v>2028</v>
      </c>
    </row>
    <row r="1847" spans="1:3" x14ac:dyDescent="0.25">
      <c r="A1847" s="15" t="s">
        <v>2093</v>
      </c>
      <c r="B1847" s="15" t="s">
        <v>17</v>
      </c>
      <c r="C1847" s="15" t="s">
        <v>1729</v>
      </c>
    </row>
    <row r="1848" spans="3:3" x14ac:dyDescent="0.25">
      <c r="C1848" s="15" t="s">
        <v>1730</v>
      </c>
    </row>
    <row r="1849" spans="3:3" x14ac:dyDescent="0.25">
      <c r="C1849" s="15" t="s">
        <v>1731</v>
      </c>
    </row>
    <row r="1850" spans="3:3" x14ac:dyDescent="0.25">
      <c r="C1850" s="15" t="s">
        <v>1732</v>
      </c>
    </row>
    <row r="1851" spans="3:3" x14ac:dyDescent="0.25">
      <c r="C1851" s="15" t="s">
        <v>1733</v>
      </c>
    </row>
    <row r="1852" spans="3:3" x14ac:dyDescent="0.25">
      <c r="C1852" s="15" t="s">
        <v>1734</v>
      </c>
    </row>
    <row r="1853" spans="3:3" x14ac:dyDescent="0.25">
      <c r="C1853" s="15" t="s">
        <v>1735</v>
      </c>
    </row>
    <row r="1854" spans="3:3" x14ac:dyDescent="0.25">
      <c r="C1854" s="15" t="s">
        <v>1736</v>
      </c>
    </row>
    <row r="1855" spans="3:3" x14ac:dyDescent="0.25">
      <c r="C1855" s="15" t="s">
        <v>1737</v>
      </c>
    </row>
    <row r="1856" spans="3:3" x14ac:dyDescent="0.25">
      <c r="C1856" s="15" t="s">
        <v>1738</v>
      </c>
    </row>
    <row r="1857" spans="3:3" x14ac:dyDescent="0.25">
      <c r="C1857" s="15" t="s">
        <v>1739</v>
      </c>
    </row>
    <row r="1858" spans="3:3" x14ac:dyDescent="0.25">
      <c r="C1858" s="15" t="s">
        <v>1740</v>
      </c>
    </row>
    <row r="1859" spans="3:3" x14ac:dyDescent="0.25">
      <c r="C1859" s="15" t="s">
        <v>1741</v>
      </c>
    </row>
    <row r="1860" spans="3:3" x14ac:dyDescent="0.25">
      <c r="C1860" s="15" t="s">
        <v>1742</v>
      </c>
    </row>
    <row r="1861" spans="3:3" x14ac:dyDescent="0.25">
      <c r="C1861" s="15" t="s">
        <v>1743</v>
      </c>
    </row>
    <row r="1862" spans="3:3" x14ac:dyDescent="0.25">
      <c r="C1862" s="15" t="s">
        <v>1744</v>
      </c>
    </row>
    <row r="1863" spans="3:3" x14ac:dyDescent="0.25">
      <c r="C1863" s="15" t="s">
        <v>1745</v>
      </c>
    </row>
    <row r="1864" spans="3:3" x14ac:dyDescent="0.25">
      <c r="C1864" s="15" t="s">
        <v>1746</v>
      </c>
    </row>
    <row r="1865" spans="3:3" x14ac:dyDescent="0.25">
      <c r="C1865" s="15" t="s">
        <v>1747</v>
      </c>
    </row>
    <row r="1866" spans="3:3" x14ac:dyDescent="0.25">
      <c r="C1866" s="15" t="s">
        <v>1748</v>
      </c>
    </row>
    <row r="1867" spans="3:3" x14ac:dyDescent="0.25">
      <c r="C1867" s="15" t="s">
        <v>1749</v>
      </c>
    </row>
    <row r="1868" spans="3:3" x14ac:dyDescent="0.25">
      <c r="C1868" s="15" t="s">
        <v>1750</v>
      </c>
    </row>
    <row r="1869" spans="3:3" x14ac:dyDescent="0.25">
      <c r="C1869" s="15" t="s">
        <v>1751</v>
      </c>
    </row>
    <row r="1870" spans="3:3" x14ac:dyDescent="0.25">
      <c r="C1870" s="15" t="s">
        <v>1752</v>
      </c>
    </row>
    <row r="1871" spans="3:3" x14ac:dyDescent="0.25">
      <c r="C1871" s="15" t="s">
        <v>1753</v>
      </c>
    </row>
    <row r="1872" spans="3:3" x14ac:dyDescent="0.25">
      <c r="C1872" s="15" t="s">
        <v>1754</v>
      </c>
    </row>
    <row r="1873" spans="3:3" x14ac:dyDescent="0.25">
      <c r="C1873" s="15" t="s">
        <v>1755</v>
      </c>
    </row>
    <row r="1874" spans="3:3" x14ac:dyDescent="0.25">
      <c r="C1874" s="15" t="s">
        <v>1756</v>
      </c>
    </row>
    <row r="1875" spans="3:3" x14ac:dyDescent="0.25">
      <c r="C1875" s="15" t="s">
        <v>1757</v>
      </c>
    </row>
    <row r="1876" spans="3:3" x14ac:dyDescent="0.25">
      <c r="C1876" s="15" t="s">
        <v>1758</v>
      </c>
    </row>
    <row r="1877" spans="3:3" x14ac:dyDescent="0.25">
      <c r="C1877" s="15" t="s">
        <v>1759</v>
      </c>
    </row>
    <row r="1878" spans="3:3" x14ac:dyDescent="0.25">
      <c r="C1878" s="15" t="s">
        <v>1760</v>
      </c>
    </row>
    <row r="1879" spans="3:3" x14ac:dyDescent="0.25">
      <c r="C1879" s="15" t="s">
        <v>1761</v>
      </c>
    </row>
    <row r="1880" spans="3:3" x14ac:dyDescent="0.25">
      <c r="C1880" s="15" t="s">
        <v>1762</v>
      </c>
    </row>
    <row r="1881" spans="3:3" x14ac:dyDescent="0.25">
      <c r="C1881" s="15" t="s">
        <v>1763</v>
      </c>
    </row>
    <row r="1882" spans="3:3" x14ac:dyDescent="0.25">
      <c r="C1882" s="15" t="s">
        <v>1764</v>
      </c>
    </row>
    <row r="1883" spans="3:3" x14ac:dyDescent="0.25">
      <c r="C1883" s="15" t="s">
        <v>1765</v>
      </c>
    </row>
    <row r="1884" spans="3:3" x14ac:dyDescent="0.25">
      <c r="C1884" s="15" t="s">
        <v>1766</v>
      </c>
    </row>
    <row r="1885" spans="3:3" x14ac:dyDescent="0.25">
      <c r="C1885" s="15" t="s">
        <v>1767</v>
      </c>
    </row>
    <row r="1886" spans="3:3" x14ac:dyDescent="0.25">
      <c r="C1886" s="15" t="s">
        <v>1768</v>
      </c>
    </row>
    <row r="1887" spans="3:3" x14ac:dyDescent="0.25">
      <c r="C1887" s="15" t="s">
        <v>1769</v>
      </c>
    </row>
    <row r="1888" spans="3:3" x14ac:dyDescent="0.25">
      <c r="C1888" s="15" t="s">
        <v>1770</v>
      </c>
    </row>
    <row r="1889" spans="3:3" x14ac:dyDescent="0.25">
      <c r="C1889" s="15" t="s">
        <v>1771</v>
      </c>
    </row>
    <row r="1890" spans="3:3" x14ac:dyDescent="0.25">
      <c r="C1890" s="15" t="s">
        <v>1772</v>
      </c>
    </row>
    <row r="1891" spans="3:3" x14ac:dyDescent="0.25">
      <c r="C1891" s="15" t="s">
        <v>1773</v>
      </c>
    </row>
    <row r="1892" spans="3:3" x14ac:dyDescent="0.25">
      <c r="C1892" s="15" t="s">
        <v>1774</v>
      </c>
    </row>
    <row r="1893" spans="3:3" x14ac:dyDescent="0.25">
      <c r="C1893" s="15" t="s">
        <v>1775</v>
      </c>
    </row>
    <row r="1894" spans="3:3" x14ac:dyDescent="0.25">
      <c r="C1894" s="15" t="s">
        <v>1776</v>
      </c>
    </row>
    <row r="1895" spans="3:3" x14ac:dyDescent="0.25">
      <c r="C1895" s="15" t="s">
        <v>1777</v>
      </c>
    </row>
    <row r="1896" spans="3:3" x14ac:dyDescent="0.25">
      <c r="C1896" s="15" t="s">
        <v>1778</v>
      </c>
    </row>
    <row r="1897" spans="3:3" x14ac:dyDescent="0.25">
      <c r="C1897" s="15" t="s">
        <v>1779</v>
      </c>
    </row>
    <row r="1898" spans="3:3" x14ac:dyDescent="0.25">
      <c r="C1898" s="15" t="s">
        <v>1780</v>
      </c>
    </row>
    <row r="1899" spans="3:3" x14ac:dyDescent="0.25">
      <c r="C1899" s="15" t="s">
        <v>1781</v>
      </c>
    </row>
    <row r="1900" spans="3:3" x14ac:dyDescent="0.25">
      <c r="C1900" s="15" t="s">
        <v>1782</v>
      </c>
    </row>
    <row r="1901" spans="3:3" x14ac:dyDescent="0.25">
      <c r="C1901" s="15" t="s">
        <v>1783</v>
      </c>
    </row>
    <row r="1902" spans="3:3" x14ac:dyDescent="0.25">
      <c r="C1902" s="15" t="s">
        <v>1784</v>
      </c>
    </row>
    <row r="1903" spans="3:3" x14ac:dyDescent="0.25">
      <c r="C1903" s="15" t="s">
        <v>1785</v>
      </c>
    </row>
    <row r="1904" spans="3:3" x14ac:dyDescent="0.25">
      <c r="C1904" s="15" t="s">
        <v>1786</v>
      </c>
    </row>
    <row r="1905" spans="3:3" x14ac:dyDescent="0.25">
      <c r="C1905" s="15" t="s">
        <v>1787</v>
      </c>
    </row>
    <row r="1906" spans="3:3" x14ac:dyDescent="0.25">
      <c r="C1906" s="15" t="s">
        <v>1788</v>
      </c>
    </row>
    <row r="1907" spans="3:3" x14ac:dyDescent="0.25">
      <c r="C1907" s="15" t="s">
        <v>1789</v>
      </c>
    </row>
    <row r="1908" spans="3:3" x14ac:dyDescent="0.25">
      <c r="C1908" s="15" t="s">
        <v>1790</v>
      </c>
    </row>
    <row r="1909" spans="3:3" x14ac:dyDescent="0.25">
      <c r="C1909" s="15" t="s">
        <v>1791</v>
      </c>
    </row>
    <row r="1910" spans="3:3" x14ac:dyDescent="0.25">
      <c r="C1910" s="15" t="s">
        <v>1792</v>
      </c>
    </row>
    <row r="1911" spans="3:3" x14ac:dyDescent="0.25">
      <c r="C1911" s="15" t="s">
        <v>1793</v>
      </c>
    </row>
    <row r="1912" spans="3:3" x14ac:dyDescent="0.25">
      <c r="C1912" s="15" t="s">
        <v>1794</v>
      </c>
    </row>
    <row r="1913" spans="3:3" x14ac:dyDescent="0.25">
      <c r="C1913" s="15" t="s">
        <v>1795</v>
      </c>
    </row>
    <row r="1914" spans="3:3" x14ac:dyDescent="0.25">
      <c r="C1914" s="15" t="s">
        <v>1796</v>
      </c>
    </row>
    <row r="1915" spans="3:3" x14ac:dyDescent="0.25">
      <c r="C1915" s="15" t="s">
        <v>1797</v>
      </c>
    </row>
    <row r="1916" spans="3:3" x14ac:dyDescent="0.25">
      <c r="C1916" s="15" t="s">
        <v>1798</v>
      </c>
    </row>
    <row r="1917" spans="3:3" x14ac:dyDescent="0.25">
      <c r="C1917" s="15" t="s">
        <v>1799</v>
      </c>
    </row>
    <row r="1918" spans="3:3" x14ac:dyDescent="0.25">
      <c r="C1918" s="15" t="s">
        <v>1800</v>
      </c>
    </row>
    <row r="1919" spans="3:3" x14ac:dyDescent="0.25">
      <c r="C1919" s="15" t="s">
        <v>1801</v>
      </c>
    </row>
    <row r="1920" spans="3:3" x14ac:dyDescent="0.25">
      <c r="C1920" s="15" t="s">
        <v>1802</v>
      </c>
    </row>
    <row r="1921" spans="3:3" x14ac:dyDescent="0.25">
      <c r="C1921" s="15" t="s">
        <v>1803</v>
      </c>
    </row>
    <row r="1922" spans="3:3" x14ac:dyDescent="0.25">
      <c r="C1922" s="15" t="s">
        <v>1804</v>
      </c>
    </row>
    <row r="1923" spans="3:3" x14ac:dyDescent="0.25">
      <c r="C1923" s="15" t="s">
        <v>1805</v>
      </c>
    </row>
    <row r="1924" spans="3:3" x14ac:dyDescent="0.25">
      <c r="C1924" s="15" t="s">
        <v>1806</v>
      </c>
    </row>
    <row r="1925" spans="3:3" x14ac:dyDescent="0.25">
      <c r="C1925" s="15" t="s">
        <v>1807</v>
      </c>
    </row>
    <row r="1926" spans="3:3" x14ac:dyDescent="0.25">
      <c r="C1926" s="15" t="s">
        <v>1808</v>
      </c>
    </row>
    <row r="1927" spans="3:3" x14ac:dyDescent="0.25">
      <c r="C1927" s="15" t="s">
        <v>1809</v>
      </c>
    </row>
    <row r="1928" spans="3:3" x14ac:dyDescent="0.25">
      <c r="C1928" s="15" t="s">
        <v>1810</v>
      </c>
    </row>
    <row r="1929" spans="3:3" x14ac:dyDescent="0.25">
      <c r="C1929" s="15" t="s">
        <v>1811</v>
      </c>
    </row>
    <row r="1930" spans="3:3" x14ac:dyDescent="0.25">
      <c r="C1930" s="15" t="s">
        <v>1812</v>
      </c>
    </row>
    <row r="1931" spans="3:3" x14ac:dyDescent="0.25">
      <c r="C1931" s="15" t="s">
        <v>1813</v>
      </c>
    </row>
    <row r="1932" spans="3:3" x14ac:dyDescent="0.25">
      <c r="C1932" s="15" t="s">
        <v>1814</v>
      </c>
    </row>
    <row r="1933" spans="3:3" x14ac:dyDescent="0.25">
      <c r="C1933" s="15" t="s">
        <v>1815</v>
      </c>
    </row>
    <row r="1934" spans="3:3" x14ac:dyDescent="0.25">
      <c r="C1934" s="15" t="s">
        <v>1816</v>
      </c>
    </row>
    <row r="1935" spans="3:3" x14ac:dyDescent="0.25">
      <c r="C1935" s="15" t="s">
        <v>1817</v>
      </c>
    </row>
    <row r="1936" spans="3:3" x14ac:dyDescent="0.25">
      <c r="C1936" s="15" t="s">
        <v>1818</v>
      </c>
    </row>
    <row r="1937" spans="3:3" x14ac:dyDescent="0.25">
      <c r="C1937" s="15" t="s">
        <v>1819</v>
      </c>
    </row>
    <row r="1938" spans="3:3" x14ac:dyDescent="0.25">
      <c r="C1938" s="15" t="s">
        <v>1820</v>
      </c>
    </row>
    <row r="1939" spans="3:3" x14ac:dyDescent="0.25">
      <c r="C1939" s="15" t="s">
        <v>1821</v>
      </c>
    </row>
    <row r="1940" spans="3:3" x14ac:dyDescent="0.25">
      <c r="C1940" s="15" t="s">
        <v>1822</v>
      </c>
    </row>
    <row r="1941" spans="3:3" x14ac:dyDescent="0.25">
      <c r="C1941" s="15" t="s">
        <v>1823</v>
      </c>
    </row>
    <row r="1942" spans="3:3" x14ac:dyDescent="0.25">
      <c r="C1942" s="15" t="s">
        <v>1824</v>
      </c>
    </row>
    <row r="1943" spans="3:3" x14ac:dyDescent="0.25">
      <c r="C1943" s="15" t="s">
        <v>1825</v>
      </c>
    </row>
    <row r="1944" spans="3:3" x14ac:dyDescent="0.25">
      <c r="C1944" s="15" t="s">
        <v>1826</v>
      </c>
    </row>
    <row r="1945" spans="3:3" x14ac:dyDescent="0.25">
      <c r="C1945" s="15" t="s">
        <v>1827</v>
      </c>
    </row>
    <row r="1946" spans="3:3" x14ac:dyDescent="0.25">
      <c r="C1946" s="15" t="s">
        <v>1828</v>
      </c>
    </row>
    <row r="1947" spans="3:3" x14ac:dyDescent="0.25">
      <c r="C1947" s="15" t="s">
        <v>1829</v>
      </c>
    </row>
    <row r="1948" spans="3:3" x14ac:dyDescent="0.25">
      <c r="C1948" s="15" t="s">
        <v>1830</v>
      </c>
    </row>
    <row r="1949" spans="3:3" x14ac:dyDescent="0.25">
      <c r="C1949" s="15" t="s">
        <v>1831</v>
      </c>
    </row>
    <row r="1950" spans="3:3" x14ac:dyDescent="0.25">
      <c r="C1950" s="15" t="s">
        <v>1832</v>
      </c>
    </row>
    <row r="1951" spans="3:3" x14ac:dyDescent="0.25">
      <c r="C1951" s="15" t="s">
        <v>1833</v>
      </c>
    </row>
    <row r="1952" spans="3:3" x14ac:dyDescent="0.25">
      <c r="C1952" s="15" t="s">
        <v>1834</v>
      </c>
    </row>
    <row r="1953" spans="3:3" x14ac:dyDescent="0.25">
      <c r="C1953" s="15" t="s">
        <v>1835</v>
      </c>
    </row>
    <row r="1954" spans="3:3" x14ac:dyDescent="0.25">
      <c r="C1954" s="15" t="s">
        <v>1836</v>
      </c>
    </row>
    <row r="1955" spans="3:3" x14ac:dyDescent="0.25">
      <c r="C1955" s="15" t="s">
        <v>1837</v>
      </c>
    </row>
    <row r="1956" spans="3:3" x14ac:dyDescent="0.25">
      <c r="C1956" s="15" t="s">
        <v>1838</v>
      </c>
    </row>
    <row r="1957" spans="3:3" x14ac:dyDescent="0.25">
      <c r="C1957" s="15" t="s">
        <v>1839</v>
      </c>
    </row>
    <row r="1958" spans="3:3" x14ac:dyDescent="0.25">
      <c r="C1958" s="15" t="s">
        <v>1840</v>
      </c>
    </row>
    <row r="1959" spans="3:3" x14ac:dyDescent="0.25">
      <c r="C1959" s="15" t="s">
        <v>1841</v>
      </c>
    </row>
    <row r="1960" spans="3:3" x14ac:dyDescent="0.25">
      <c r="C1960" s="15" t="s">
        <v>1842</v>
      </c>
    </row>
    <row r="1961" spans="3:3" x14ac:dyDescent="0.25">
      <c r="C1961" s="15" t="s">
        <v>1843</v>
      </c>
    </row>
    <row r="1962" spans="3:3" x14ac:dyDescent="0.25">
      <c r="C1962" s="15" t="s">
        <v>1844</v>
      </c>
    </row>
    <row r="1963" spans="3:3" x14ac:dyDescent="0.25">
      <c r="C1963" s="15" t="s">
        <v>1845</v>
      </c>
    </row>
    <row r="1964" spans="3:3" x14ac:dyDescent="0.25">
      <c r="C1964" s="15" t="s">
        <v>1846</v>
      </c>
    </row>
    <row r="1965" spans="3:3" x14ac:dyDescent="0.25">
      <c r="C1965" s="15" t="s">
        <v>1847</v>
      </c>
    </row>
    <row r="1966" spans="3:3" x14ac:dyDescent="0.25">
      <c r="C1966" s="15" t="s">
        <v>1848</v>
      </c>
    </row>
    <row r="1967" spans="3:3" x14ac:dyDescent="0.25">
      <c r="C1967" s="15" t="s">
        <v>1849</v>
      </c>
    </row>
    <row r="1968" spans="3:3" x14ac:dyDescent="0.25">
      <c r="C1968" s="15" t="s">
        <v>1850</v>
      </c>
    </row>
    <row r="1969" spans="3:3" x14ac:dyDescent="0.25">
      <c r="C1969" s="15" t="s">
        <v>1851</v>
      </c>
    </row>
    <row r="1970" spans="3:3" x14ac:dyDescent="0.25">
      <c r="C1970" s="15" t="s">
        <v>1852</v>
      </c>
    </row>
    <row r="1971" spans="3:3" x14ac:dyDescent="0.25">
      <c r="C1971" s="15" t="s">
        <v>1853</v>
      </c>
    </row>
    <row r="1972" spans="3:3" x14ac:dyDescent="0.25">
      <c r="C1972" s="15" t="s">
        <v>1854</v>
      </c>
    </row>
    <row r="1973" spans="3:3" x14ac:dyDescent="0.25">
      <c r="C1973" s="15" t="s">
        <v>1855</v>
      </c>
    </row>
    <row r="1974" spans="3:3" x14ac:dyDescent="0.25">
      <c r="C1974" s="15" t="s">
        <v>1856</v>
      </c>
    </row>
    <row r="1975" spans="3:3" x14ac:dyDescent="0.25">
      <c r="C1975" s="15" t="s">
        <v>1857</v>
      </c>
    </row>
    <row r="1976" spans="3:3" x14ac:dyDescent="0.25">
      <c r="C1976" s="15" t="s">
        <v>1858</v>
      </c>
    </row>
    <row r="1977" spans="3:3" x14ac:dyDescent="0.25">
      <c r="C1977" s="15" t="s">
        <v>1859</v>
      </c>
    </row>
    <row r="1978" spans="3:3" x14ac:dyDescent="0.25">
      <c r="C1978" s="15" t="s">
        <v>1860</v>
      </c>
    </row>
    <row r="1979" spans="3:3" x14ac:dyDescent="0.25">
      <c r="C1979" s="15" t="s">
        <v>1861</v>
      </c>
    </row>
    <row r="1980" spans="3:3" x14ac:dyDescent="0.25">
      <c r="C1980" s="15" t="s">
        <v>1862</v>
      </c>
    </row>
    <row r="1981" spans="3:3" x14ac:dyDescent="0.25">
      <c r="C1981" s="15" t="s">
        <v>1863</v>
      </c>
    </row>
    <row r="1982" spans="3:3" x14ac:dyDescent="0.25">
      <c r="C1982" s="15" t="s">
        <v>1864</v>
      </c>
    </row>
    <row r="1983" spans="3:3" x14ac:dyDescent="0.25">
      <c r="C1983" s="15" t="s">
        <v>1865</v>
      </c>
    </row>
    <row r="1984" spans="3:3" x14ac:dyDescent="0.25">
      <c r="C1984" s="15" t="s">
        <v>1866</v>
      </c>
    </row>
    <row r="1985" spans="3:3" x14ac:dyDescent="0.25">
      <c r="C1985" s="15" t="s">
        <v>1867</v>
      </c>
    </row>
    <row r="1986" spans="3:3" x14ac:dyDescent="0.25">
      <c r="C1986" s="15" t="s">
        <v>1868</v>
      </c>
    </row>
    <row r="1987" spans="3:3" x14ac:dyDescent="0.25">
      <c r="C1987" s="15" t="s">
        <v>1869</v>
      </c>
    </row>
    <row r="1988" spans="3:3" x14ac:dyDescent="0.25">
      <c r="C1988" s="15" t="s">
        <v>1870</v>
      </c>
    </row>
    <row r="1989" spans="3:3" x14ac:dyDescent="0.25">
      <c r="C1989" s="15" t="s">
        <v>1871</v>
      </c>
    </row>
    <row r="1990" spans="3:3" x14ac:dyDescent="0.25">
      <c r="C1990" s="15" t="s">
        <v>1872</v>
      </c>
    </row>
    <row r="1991" spans="3:3" x14ac:dyDescent="0.25">
      <c r="C1991" s="15" t="s">
        <v>1873</v>
      </c>
    </row>
    <row r="1992" spans="3:3" x14ac:dyDescent="0.25">
      <c r="C1992" s="15" t="s">
        <v>1874</v>
      </c>
    </row>
    <row r="1993" spans="3:3" x14ac:dyDescent="0.25">
      <c r="C1993" s="15" t="s">
        <v>1875</v>
      </c>
    </row>
    <row r="1994" spans="3:3" x14ac:dyDescent="0.25">
      <c r="C1994" s="15" t="s">
        <v>1876</v>
      </c>
    </row>
    <row r="1995" spans="3:3" x14ac:dyDescent="0.25">
      <c r="C1995" s="15" t="s">
        <v>1877</v>
      </c>
    </row>
    <row r="1996" spans="3:3" x14ac:dyDescent="0.25">
      <c r="C1996" s="15" t="s">
        <v>1878</v>
      </c>
    </row>
    <row r="1997" spans="3:3" x14ac:dyDescent="0.25">
      <c r="C1997" s="15" t="s">
        <v>1879</v>
      </c>
    </row>
    <row r="1998" spans="3:3" x14ac:dyDescent="0.25">
      <c r="C1998" s="15" t="s">
        <v>1880</v>
      </c>
    </row>
    <row r="1999" spans="3:3" x14ac:dyDescent="0.25">
      <c r="C1999" s="15" t="s">
        <v>1881</v>
      </c>
    </row>
    <row r="2000" spans="3:3" x14ac:dyDescent="0.25">
      <c r="C2000" s="15" t="s">
        <v>1882</v>
      </c>
    </row>
    <row r="2001" spans="3:3" x14ac:dyDescent="0.25">
      <c r="C2001" s="15" t="s">
        <v>1883</v>
      </c>
    </row>
    <row r="2002" spans="3:3" x14ac:dyDescent="0.25">
      <c r="C2002" s="15" t="s">
        <v>1884</v>
      </c>
    </row>
    <row r="2003" spans="3:3" x14ac:dyDescent="0.25">
      <c r="C2003" s="15" t="s">
        <v>1885</v>
      </c>
    </row>
    <row r="2004" spans="3:3" x14ac:dyDescent="0.25">
      <c r="C2004" s="15" t="s">
        <v>1886</v>
      </c>
    </row>
    <row r="2005" spans="3:3" x14ac:dyDescent="0.25">
      <c r="C2005" s="15" t="s">
        <v>1887</v>
      </c>
    </row>
    <row r="2006" spans="3:3" x14ac:dyDescent="0.25">
      <c r="C2006" s="15" t="s">
        <v>1888</v>
      </c>
    </row>
    <row r="2007" spans="3:3" x14ac:dyDescent="0.25">
      <c r="C2007" s="15" t="s">
        <v>1889</v>
      </c>
    </row>
    <row r="2008" spans="3:3" x14ac:dyDescent="0.25">
      <c r="C2008" s="15" t="s">
        <v>1890</v>
      </c>
    </row>
    <row r="2009" spans="3:3" x14ac:dyDescent="0.25">
      <c r="C2009" s="15" t="s">
        <v>1891</v>
      </c>
    </row>
    <row r="2010" spans="3:3" x14ac:dyDescent="0.25">
      <c r="C2010" s="15" t="s">
        <v>1892</v>
      </c>
    </row>
    <row r="2011" spans="3:3" x14ac:dyDescent="0.25">
      <c r="C2011" s="15" t="s">
        <v>1893</v>
      </c>
    </row>
    <row r="2012" spans="3:3" x14ac:dyDescent="0.25">
      <c r="C2012" s="15" t="s">
        <v>1894</v>
      </c>
    </row>
    <row r="2013" spans="3:3" x14ac:dyDescent="0.25">
      <c r="C2013" s="15" t="s">
        <v>1895</v>
      </c>
    </row>
    <row r="2014" spans="3:3" x14ac:dyDescent="0.25">
      <c r="C2014" s="15" t="s">
        <v>1896</v>
      </c>
    </row>
    <row r="2015" spans="3:3" x14ac:dyDescent="0.25">
      <c r="C2015" s="15" t="s">
        <v>1897</v>
      </c>
    </row>
    <row r="2016" spans="3:3" x14ac:dyDescent="0.25">
      <c r="C2016" s="15" t="s">
        <v>1898</v>
      </c>
    </row>
    <row r="2017" spans="3:3" x14ac:dyDescent="0.25">
      <c r="C2017" s="15" t="s">
        <v>1899</v>
      </c>
    </row>
    <row r="2018" spans="3:3" x14ac:dyDescent="0.25">
      <c r="C2018" s="15" t="s">
        <v>1900</v>
      </c>
    </row>
    <row r="2019" spans="3:3" x14ac:dyDescent="0.25">
      <c r="C2019" s="15" t="s">
        <v>1901</v>
      </c>
    </row>
    <row r="2020" spans="3:3" x14ac:dyDescent="0.25">
      <c r="C2020" s="15" t="s">
        <v>1902</v>
      </c>
    </row>
    <row r="2021" spans="3:3" x14ac:dyDescent="0.25">
      <c r="C2021" s="15" t="s">
        <v>1903</v>
      </c>
    </row>
    <row r="2022" spans="3:3" x14ac:dyDescent="0.25">
      <c r="C2022" s="15" t="s">
        <v>1904</v>
      </c>
    </row>
    <row r="2023" spans="3:3" x14ac:dyDescent="0.25">
      <c r="C2023" s="15" t="s">
        <v>1905</v>
      </c>
    </row>
    <row r="2024" spans="3:3" x14ac:dyDescent="0.25">
      <c r="C2024" s="15" t="s">
        <v>1906</v>
      </c>
    </row>
    <row r="2025" spans="3:3" x14ac:dyDescent="0.25">
      <c r="C2025" s="15" t="s">
        <v>1907</v>
      </c>
    </row>
    <row r="2026" spans="3:3" x14ac:dyDescent="0.25">
      <c r="C2026" s="15" t="s">
        <v>1908</v>
      </c>
    </row>
    <row r="2027" spans="3:3" x14ac:dyDescent="0.25">
      <c r="C2027" s="15" t="s">
        <v>1909</v>
      </c>
    </row>
    <row r="2028" spans="3:3" x14ac:dyDescent="0.25">
      <c r="C2028" s="15" t="s">
        <v>1910</v>
      </c>
    </row>
    <row r="2029" spans="3:3" x14ac:dyDescent="0.25">
      <c r="C2029" s="15" t="s">
        <v>1911</v>
      </c>
    </row>
    <row r="2030" spans="3:3" x14ac:dyDescent="0.25">
      <c r="C2030" s="15" t="s">
        <v>1912</v>
      </c>
    </row>
    <row r="2031" spans="3:3" x14ac:dyDescent="0.25">
      <c r="C2031" s="15" t="s">
        <v>1913</v>
      </c>
    </row>
    <row r="2032" spans="3:3" x14ac:dyDescent="0.25">
      <c r="C2032" s="15" t="s">
        <v>1914</v>
      </c>
    </row>
    <row r="2033" spans="3:3" x14ac:dyDescent="0.25">
      <c r="C2033" s="15" t="s">
        <v>1915</v>
      </c>
    </row>
    <row r="2034" spans="3:3" x14ac:dyDescent="0.25">
      <c r="C2034" s="15" t="s">
        <v>1916</v>
      </c>
    </row>
    <row r="2035" spans="3:3" x14ac:dyDescent="0.25">
      <c r="C2035" s="15" t="s">
        <v>1917</v>
      </c>
    </row>
    <row r="2036" spans="3:3" x14ac:dyDescent="0.25">
      <c r="C2036" s="15" t="s">
        <v>1918</v>
      </c>
    </row>
    <row r="2037" spans="3:3" x14ac:dyDescent="0.25">
      <c r="C2037" s="15" t="s">
        <v>1919</v>
      </c>
    </row>
    <row r="2038" spans="3:3" x14ac:dyDescent="0.25">
      <c r="C2038" s="15" t="s">
        <v>1920</v>
      </c>
    </row>
    <row r="2039" spans="3:3" x14ac:dyDescent="0.25">
      <c r="C2039" s="15" t="s">
        <v>1921</v>
      </c>
    </row>
    <row r="2040" spans="3:3" x14ac:dyDescent="0.25">
      <c r="C2040" s="15" t="s">
        <v>1922</v>
      </c>
    </row>
    <row r="2041" spans="3:3" x14ac:dyDescent="0.25">
      <c r="C2041" s="15" t="s">
        <v>1923</v>
      </c>
    </row>
    <row r="2042" spans="3:3" x14ac:dyDescent="0.25">
      <c r="C2042" s="15" t="s">
        <v>1924</v>
      </c>
    </row>
    <row r="2043" spans="3:3" x14ac:dyDescent="0.25">
      <c r="C2043" s="15" t="s">
        <v>1925</v>
      </c>
    </row>
    <row r="2044" spans="3:3" x14ac:dyDescent="0.25">
      <c r="C2044" s="15" t="s">
        <v>1926</v>
      </c>
    </row>
    <row r="2045" spans="3:3" x14ac:dyDescent="0.25">
      <c r="C2045" s="15" t="s">
        <v>1927</v>
      </c>
    </row>
    <row r="2046" spans="3:3" x14ac:dyDescent="0.25">
      <c r="C2046" s="15" t="s">
        <v>1928</v>
      </c>
    </row>
    <row r="2047" spans="3:3" x14ac:dyDescent="0.25">
      <c r="C2047" s="15" t="s">
        <v>1929</v>
      </c>
    </row>
    <row r="2048" spans="3:3" x14ac:dyDescent="0.25">
      <c r="C2048" s="15" t="s">
        <v>1930</v>
      </c>
    </row>
    <row r="2049" spans="3:3" x14ac:dyDescent="0.25">
      <c r="C2049" s="15" t="s">
        <v>1931</v>
      </c>
    </row>
    <row r="2050" spans="3:3" x14ac:dyDescent="0.25">
      <c r="C2050" s="15" t="s">
        <v>1932</v>
      </c>
    </row>
    <row r="2051" spans="3:3" x14ac:dyDescent="0.25">
      <c r="C2051" s="15" t="s">
        <v>1933</v>
      </c>
    </row>
    <row r="2052" spans="3:3" x14ac:dyDescent="0.25">
      <c r="C2052" s="15" t="s">
        <v>1934</v>
      </c>
    </row>
    <row r="2053" spans="3:3" x14ac:dyDescent="0.25">
      <c r="C2053" s="15" t="s">
        <v>1935</v>
      </c>
    </row>
    <row r="2054" spans="3:3" x14ac:dyDescent="0.25">
      <c r="C2054" s="15" t="s">
        <v>1936</v>
      </c>
    </row>
    <row r="2055" spans="3:3" x14ac:dyDescent="0.25">
      <c r="C2055" s="15" t="s">
        <v>1937</v>
      </c>
    </row>
    <row r="2056" spans="3:3" x14ac:dyDescent="0.25">
      <c r="C2056" s="15" t="s">
        <v>1938</v>
      </c>
    </row>
    <row r="2057" spans="3:3" x14ac:dyDescent="0.25">
      <c r="C2057" s="15" t="s">
        <v>1939</v>
      </c>
    </row>
    <row r="2058" spans="3:3" x14ac:dyDescent="0.25">
      <c r="C2058" s="15" t="s">
        <v>340</v>
      </c>
    </row>
    <row r="2059" spans="3:3" x14ac:dyDescent="0.25">
      <c r="C2059" s="15" t="s">
        <v>1940</v>
      </c>
    </row>
    <row r="2060" spans="3:3" x14ac:dyDescent="0.25">
      <c r="C2060" s="15" t="s">
        <v>1941</v>
      </c>
    </row>
    <row r="2061" spans="3:3" x14ac:dyDescent="0.25">
      <c r="C2061" s="15" t="s">
        <v>1942</v>
      </c>
    </row>
    <row r="2062" spans="3:3" x14ac:dyDescent="0.25">
      <c r="C2062" s="15" t="s">
        <v>1943</v>
      </c>
    </row>
    <row r="2063" spans="3:3" x14ac:dyDescent="0.25">
      <c r="C2063" s="15" t="s">
        <v>1944</v>
      </c>
    </row>
    <row r="2064" spans="3:3" x14ac:dyDescent="0.25">
      <c r="C2064" s="15" t="s">
        <v>1945</v>
      </c>
    </row>
    <row r="2065" spans="3:3" x14ac:dyDescent="0.25">
      <c r="C2065" s="15" t="s">
        <v>1946</v>
      </c>
    </row>
    <row r="2066" spans="3:3" x14ac:dyDescent="0.25">
      <c r="C2066" s="15" t="s">
        <v>1947</v>
      </c>
    </row>
    <row r="2067" spans="3:3" x14ac:dyDescent="0.25">
      <c r="C2067" s="15" t="s">
        <v>1948</v>
      </c>
    </row>
    <row r="2068" spans="3:3" x14ac:dyDescent="0.25">
      <c r="C2068" s="15" t="s">
        <v>1949</v>
      </c>
    </row>
    <row r="2069" spans="3:3" x14ac:dyDescent="0.25">
      <c r="C2069" s="15" t="s">
        <v>1950</v>
      </c>
    </row>
    <row r="2070" spans="3:3" x14ac:dyDescent="0.25">
      <c r="C2070" s="15" t="s">
        <v>1951</v>
      </c>
    </row>
    <row r="2071" spans="3:3" x14ac:dyDescent="0.25">
      <c r="C2071" s="15" t="s">
        <v>1952</v>
      </c>
    </row>
    <row r="2072" spans="3:3" x14ac:dyDescent="0.25">
      <c r="C2072" s="15" t="s">
        <v>1953</v>
      </c>
    </row>
    <row r="2073" spans="3:3" x14ac:dyDescent="0.25">
      <c r="C2073" s="15" t="s">
        <v>1954</v>
      </c>
    </row>
    <row r="2074" spans="3:3" x14ac:dyDescent="0.25">
      <c r="C2074" s="15" t="s">
        <v>1955</v>
      </c>
    </row>
    <row r="2075" spans="3:3" x14ac:dyDescent="0.25">
      <c r="C2075" s="15" t="s">
        <v>1956</v>
      </c>
    </row>
    <row r="2076" spans="3:3" x14ac:dyDescent="0.25">
      <c r="C2076" s="15" t="s">
        <v>1957</v>
      </c>
    </row>
    <row r="2077" spans="3:3" x14ac:dyDescent="0.25">
      <c r="C2077" s="15" t="s">
        <v>1958</v>
      </c>
    </row>
    <row r="2078" spans="3:3" x14ac:dyDescent="0.25">
      <c r="C2078" s="15" t="s">
        <v>1959</v>
      </c>
    </row>
    <row r="2079" spans="3:3" x14ac:dyDescent="0.25">
      <c r="C2079" s="15" t="s">
        <v>1960</v>
      </c>
    </row>
    <row r="2080" spans="3:3" x14ac:dyDescent="0.25">
      <c r="C2080" s="15" t="s">
        <v>1961</v>
      </c>
    </row>
    <row r="2081" spans="3:3" x14ac:dyDescent="0.25">
      <c r="C2081" s="15" t="s">
        <v>1962</v>
      </c>
    </row>
    <row r="2082" spans="3:3" x14ac:dyDescent="0.25">
      <c r="C2082" s="15" t="s">
        <v>1963</v>
      </c>
    </row>
    <row r="2083" spans="3:3" x14ac:dyDescent="0.25">
      <c r="C2083" s="15" t="s">
        <v>1964</v>
      </c>
    </row>
    <row r="2084" spans="3:3" x14ac:dyDescent="0.25">
      <c r="C2084" s="15" t="s">
        <v>1965</v>
      </c>
    </row>
    <row r="2085" spans="3:3" x14ac:dyDescent="0.25">
      <c r="C2085" s="15" t="s">
        <v>1966</v>
      </c>
    </row>
    <row r="2086" spans="3:3" x14ac:dyDescent="0.25">
      <c r="C2086" s="15" t="s">
        <v>1967</v>
      </c>
    </row>
    <row r="2087" spans="3:3" x14ac:dyDescent="0.25">
      <c r="C2087" s="15" t="s">
        <v>1968</v>
      </c>
    </row>
    <row r="2088" spans="3:3" x14ac:dyDescent="0.25">
      <c r="C2088" s="15" t="s">
        <v>1969</v>
      </c>
    </row>
    <row r="2089" spans="3:3" x14ac:dyDescent="0.25">
      <c r="C2089" s="15" t="s">
        <v>1970</v>
      </c>
    </row>
    <row r="2090" spans="3:3" x14ac:dyDescent="0.25">
      <c r="C2090" s="15" t="s">
        <v>1971</v>
      </c>
    </row>
    <row r="2091" spans="3:3" x14ac:dyDescent="0.25">
      <c r="C2091" s="15" t="s">
        <v>1972</v>
      </c>
    </row>
    <row r="2092" spans="3:3" x14ac:dyDescent="0.25">
      <c r="C2092" s="15" t="s">
        <v>1973</v>
      </c>
    </row>
    <row r="2093" spans="3:3" x14ac:dyDescent="0.25">
      <c r="C2093" s="15" t="s">
        <v>1974</v>
      </c>
    </row>
    <row r="2094" spans="3:3" x14ac:dyDescent="0.25">
      <c r="C2094" s="15" t="s">
        <v>1975</v>
      </c>
    </row>
    <row r="2095" spans="3:3" x14ac:dyDescent="0.25">
      <c r="C2095" s="15" t="s">
        <v>1976</v>
      </c>
    </row>
    <row r="2096" spans="3:3" x14ac:dyDescent="0.25">
      <c r="C2096" s="15" t="s">
        <v>1977</v>
      </c>
    </row>
    <row r="2097" spans="3:3" x14ac:dyDescent="0.25">
      <c r="C2097" s="15" t="s">
        <v>1978</v>
      </c>
    </row>
    <row r="2098" spans="3:3" x14ac:dyDescent="0.25">
      <c r="C2098" s="15" t="s">
        <v>1979</v>
      </c>
    </row>
    <row r="2099" spans="3:3" x14ac:dyDescent="0.25">
      <c r="C2099" s="15" t="s">
        <v>1980</v>
      </c>
    </row>
    <row r="2100" spans="1:3" x14ac:dyDescent="0.25">
      <c r="A2100" s="15" t="s">
        <v>2094</v>
      </c>
      <c r="B2100" s="15" t="s">
        <v>17</v>
      </c>
      <c r="C2100" s="15" t="s">
        <v>762</v>
      </c>
    </row>
    <row r="2101" spans="3:3" x14ac:dyDescent="0.25">
      <c r="C2101" s="15" t="s">
        <v>2007</v>
      </c>
    </row>
    <row r="2102" spans="3:3" x14ac:dyDescent="0.25">
      <c r="C2102" s="15" t="s">
        <v>2008</v>
      </c>
    </row>
    <row r="2103" spans="3:3" x14ac:dyDescent="0.25">
      <c r="C2103" s="15" t="s">
        <v>2009</v>
      </c>
    </row>
    <row r="2104" spans="3:3" x14ac:dyDescent="0.25">
      <c r="C2104" s="15" t="s">
        <v>2010</v>
      </c>
    </row>
    <row r="2105" spans="3:3" x14ac:dyDescent="0.25">
      <c r="C2105" s="15" t="s">
        <v>2011</v>
      </c>
    </row>
    <row r="2106" spans="3:3" x14ac:dyDescent="0.25">
      <c r="C2106" s="15" t="s">
        <v>2012</v>
      </c>
    </row>
    <row r="2107" spans="3:3" x14ac:dyDescent="0.25">
      <c r="C2107" s="15" t="s">
        <v>2013</v>
      </c>
    </row>
    <row r="2108" spans="3:3" x14ac:dyDescent="0.25">
      <c r="C2108" s="15" t="s">
        <v>2014</v>
      </c>
    </row>
    <row r="2109" spans="3:3" x14ac:dyDescent="0.25">
      <c r="C2109" s="15" t="s">
        <v>2015</v>
      </c>
    </row>
    <row r="2110" spans="3:3" x14ac:dyDescent="0.25">
      <c r="C2110" s="15" t="s">
        <v>2016</v>
      </c>
    </row>
    <row r="2111" spans="3:3" x14ac:dyDescent="0.25">
      <c r="C2111" s="15" t="s">
        <v>2017</v>
      </c>
    </row>
    <row r="2112" spans="3:3" x14ac:dyDescent="0.25">
      <c r="C2112" s="15" t="s">
        <v>2039</v>
      </c>
    </row>
    <row r="2113" spans="3:3" x14ac:dyDescent="0.25">
      <c r="C2113" s="15" t="s">
        <v>2040</v>
      </c>
    </row>
    <row r="2114" spans="3:3" x14ac:dyDescent="0.25">
      <c r="C2114" s="15" t="s">
        <v>2041</v>
      </c>
    </row>
    <row r="2115" spans="3:3" x14ac:dyDescent="0.25">
      <c r="C2115" s="15" t="s">
        <v>2042</v>
      </c>
    </row>
    <row r="2116" spans="1:3" x14ac:dyDescent="0.25">
      <c r="A2116" s="15" t="s">
        <v>2095</v>
      </c>
      <c r="B2116" s="15" t="s">
        <v>17</v>
      </c>
      <c r="C2116" s="15" t="s">
        <v>238</v>
      </c>
    </row>
    <row r="2117" spans="3:3" x14ac:dyDescent="0.25">
      <c r="C2117" s="15" t="s">
        <v>1719</v>
      </c>
    </row>
    <row r="2118" spans="3:3" x14ac:dyDescent="0.25">
      <c r="C2118" s="15" t="s">
        <v>1720</v>
      </c>
    </row>
    <row r="2119" spans="3:3" x14ac:dyDescent="0.25">
      <c r="C2119" s="15" t="s">
        <v>1721</v>
      </c>
    </row>
    <row r="2120" spans="3:3" x14ac:dyDescent="0.25">
      <c r="C2120" s="15" t="s">
        <v>1722</v>
      </c>
    </row>
    <row r="2121" spans="3:3" x14ac:dyDescent="0.25">
      <c r="C2121" s="15" t="s">
        <v>1723</v>
      </c>
    </row>
    <row r="2122" spans="3:3" x14ac:dyDescent="0.25">
      <c r="C2122" s="15" t="s">
        <v>1724</v>
      </c>
    </row>
    <row r="2123" spans="1:3" x14ac:dyDescent="0.25">
      <c r="A2123" s="15" t="s">
        <v>769</v>
      </c>
      <c r="B2123" s="15" t="s">
        <v>17</v>
      </c>
      <c r="C2123" s="15" t="s">
        <v>1729</v>
      </c>
    </row>
    <row r="2124" spans="3:3" x14ac:dyDescent="0.25">
      <c r="C2124" s="15" t="s">
        <v>1730</v>
      </c>
    </row>
    <row r="2125" spans="3:3" x14ac:dyDescent="0.25">
      <c r="C2125" s="15" t="s">
        <v>1731</v>
      </c>
    </row>
    <row r="2126" spans="3:3" x14ac:dyDescent="0.25">
      <c r="C2126" s="15" t="s">
        <v>1732</v>
      </c>
    </row>
    <row r="2127" spans="3:3" x14ac:dyDescent="0.25">
      <c r="C2127" s="15" t="s">
        <v>1733</v>
      </c>
    </row>
    <row r="2128" spans="3:3" x14ac:dyDescent="0.25">
      <c r="C2128" s="15" t="s">
        <v>1734</v>
      </c>
    </row>
    <row r="2129" spans="3:3" x14ac:dyDescent="0.25">
      <c r="C2129" s="15" t="s">
        <v>1735</v>
      </c>
    </row>
    <row r="2130" spans="3:3" x14ac:dyDescent="0.25">
      <c r="C2130" s="15" t="s">
        <v>1736</v>
      </c>
    </row>
    <row r="2131" spans="3:3" x14ac:dyDescent="0.25">
      <c r="C2131" s="15" t="s">
        <v>1737</v>
      </c>
    </row>
    <row r="2132" spans="3:3" x14ac:dyDescent="0.25">
      <c r="C2132" s="15" t="s">
        <v>1738</v>
      </c>
    </row>
    <row r="2133" spans="3:3" x14ac:dyDescent="0.25">
      <c r="C2133" s="15" t="s">
        <v>1739</v>
      </c>
    </row>
    <row r="2134" spans="3:3" x14ac:dyDescent="0.25">
      <c r="C2134" s="15" t="s">
        <v>1740</v>
      </c>
    </row>
    <row r="2135" spans="3:3" x14ac:dyDescent="0.25">
      <c r="C2135" s="15" t="s">
        <v>1741</v>
      </c>
    </row>
    <row r="2136" spans="3:3" x14ac:dyDescent="0.25">
      <c r="C2136" s="15" t="s">
        <v>1742</v>
      </c>
    </row>
    <row r="2137" spans="3:3" x14ac:dyDescent="0.25">
      <c r="C2137" s="15" t="s">
        <v>1743</v>
      </c>
    </row>
    <row r="2138" spans="3:3" x14ac:dyDescent="0.25">
      <c r="C2138" s="15" t="s">
        <v>1744</v>
      </c>
    </row>
    <row r="2139" spans="3:3" x14ac:dyDescent="0.25">
      <c r="C2139" s="15" t="s">
        <v>1745</v>
      </c>
    </row>
    <row r="2140" spans="3:3" x14ac:dyDescent="0.25">
      <c r="C2140" s="15" t="s">
        <v>1746</v>
      </c>
    </row>
    <row r="2141" spans="3:3" x14ac:dyDescent="0.25">
      <c r="C2141" s="15" t="s">
        <v>1747</v>
      </c>
    </row>
    <row r="2142" spans="3:3" x14ac:dyDescent="0.25">
      <c r="C2142" s="15" t="s">
        <v>1748</v>
      </c>
    </row>
    <row r="2143" spans="3:3" x14ac:dyDescent="0.25">
      <c r="C2143" s="15" t="s">
        <v>1749</v>
      </c>
    </row>
    <row r="2144" spans="3:3" x14ac:dyDescent="0.25">
      <c r="C2144" s="15" t="s">
        <v>1750</v>
      </c>
    </row>
    <row r="2145" spans="3:3" x14ac:dyDescent="0.25">
      <c r="C2145" s="15" t="s">
        <v>1751</v>
      </c>
    </row>
    <row r="2146" spans="3:3" x14ac:dyDescent="0.25">
      <c r="C2146" s="15" t="s">
        <v>1752</v>
      </c>
    </row>
    <row r="2147" spans="3:3" x14ac:dyDescent="0.25">
      <c r="C2147" s="15" t="s">
        <v>1753</v>
      </c>
    </row>
    <row r="2148" spans="3:3" x14ac:dyDescent="0.25">
      <c r="C2148" s="15" t="s">
        <v>1754</v>
      </c>
    </row>
    <row r="2149" spans="3:3" x14ac:dyDescent="0.25">
      <c r="C2149" s="15" t="s">
        <v>1755</v>
      </c>
    </row>
    <row r="2150" spans="3:3" x14ac:dyDescent="0.25">
      <c r="C2150" s="15" t="s">
        <v>1756</v>
      </c>
    </row>
    <row r="2151" spans="3:3" x14ac:dyDescent="0.25">
      <c r="C2151" s="15" t="s">
        <v>1757</v>
      </c>
    </row>
    <row r="2152" spans="3:3" x14ac:dyDescent="0.25">
      <c r="C2152" s="15" t="s">
        <v>1758</v>
      </c>
    </row>
    <row r="2153" spans="3:3" x14ac:dyDescent="0.25">
      <c r="C2153" s="15" t="s">
        <v>1759</v>
      </c>
    </row>
    <row r="2154" spans="3:3" x14ac:dyDescent="0.25">
      <c r="C2154" s="15" t="s">
        <v>1760</v>
      </c>
    </row>
    <row r="2155" spans="3:3" x14ac:dyDescent="0.25">
      <c r="C2155" s="15" t="s">
        <v>1761</v>
      </c>
    </row>
    <row r="2156" spans="3:3" x14ac:dyDescent="0.25">
      <c r="C2156" s="15" t="s">
        <v>1762</v>
      </c>
    </row>
    <row r="2157" spans="3:3" x14ac:dyDescent="0.25">
      <c r="C2157" s="15" t="s">
        <v>1763</v>
      </c>
    </row>
    <row r="2158" spans="3:3" x14ac:dyDescent="0.25">
      <c r="C2158" s="15" t="s">
        <v>1764</v>
      </c>
    </row>
    <row r="2159" spans="3:3" x14ac:dyDescent="0.25">
      <c r="C2159" s="15" t="s">
        <v>1765</v>
      </c>
    </row>
    <row r="2160" spans="3:3" x14ac:dyDescent="0.25">
      <c r="C2160" s="15" t="s">
        <v>1766</v>
      </c>
    </row>
    <row r="2161" spans="3:3" x14ac:dyDescent="0.25">
      <c r="C2161" s="15" t="s">
        <v>1767</v>
      </c>
    </row>
    <row r="2162" spans="3:3" x14ac:dyDescent="0.25">
      <c r="C2162" s="15" t="s">
        <v>1768</v>
      </c>
    </row>
    <row r="2163" spans="3:3" x14ac:dyDescent="0.25">
      <c r="C2163" s="15" t="s">
        <v>1769</v>
      </c>
    </row>
    <row r="2164" spans="3:3" x14ac:dyDescent="0.25">
      <c r="C2164" s="15" t="s">
        <v>1770</v>
      </c>
    </row>
    <row r="2165" spans="3:3" x14ac:dyDescent="0.25">
      <c r="C2165" s="15" t="s">
        <v>1771</v>
      </c>
    </row>
    <row r="2166" spans="3:3" x14ac:dyDescent="0.25">
      <c r="C2166" s="15" t="s">
        <v>1772</v>
      </c>
    </row>
    <row r="2167" spans="3:3" x14ac:dyDescent="0.25">
      <c r="C2167" s="15" t="s">
        <v>1773</v>
      </c>
    </row>
    <row r="2168" spans="3:3" x14ac:dyDescent="0.25">
      <c r="C2168" s="15" t="s">
        <v>1774</v>
      </c>
    </row>
    <row r="2169" spans="3:3" x14ac:dyDescent="0.25">
      <c r="C2169" s="15" t="s">
        <v>1775</v>
      </c>
    </row>
    <row r="2170" spans="3:3" x14ac:dyDescent="0.25">
      <c r="C2170" s="15" t="s">
        <v>1776</v>
      </c>
    </row>
    <row r="2171" spans="3:3" x14ac:dyDescent="0.25">
      <c r="C2171" s="15" t="s">
        <v>1777</v>
      </c>
    </row>
    <row r="2172" spans="3:3" x14ac:dyDescent="0.25">
      <c r="C2172" s="15" t="s">
        <v>1778</v>
      </c>
    </row>
    <row r="2173" spans="3:3" x14ac:dyDescent="0.25">
      <c r="C2173" s="15" t="s">
        <v>1779</v>
      </c>
    </row>
    <row r="2174" spans="3:3" x14ac:dyDescent="0.25">
      <c r="C2174" s="15" t="s">
        <v>1780</v>
      </c>
    </row>
    <row r="2175" spans="3:3" x14ac:dyDescent="0.25">
      <c r="C2175" s="15" t="s">
        <v>1781</v>
      </c>
    </row>
    <row r="2176" spans="3:3" x14ac:dyDescent="0.25">
      <c r="C2176" s="15" t="s">
        <v>1782</v>
      </c>
    </row>
    <row r="2177" spans="3:3" x14ac:dyDescent="0.25">
      <c r="C2177" s="15" t="s">
        <v>1783</v>
      </c>
    </row>
    <row r="2178" spans="3:3" x14ac:dyDescent="0.25">
      <c r="C2178" s="15" t="s">
        <v>1784</v>
      </c>
    </row>
    <row r="2179" spans="3:3" x14ac:dyDescent="0.25">
      <c r="C2179" s="15" t="s">
        <v>1785</v>
      </c>
    </row>
    <row r="2180" spans="3:3" x14ac:dyDescent="0.25">
      <c r="C2180" s="15" t="s">
        <v>1786</v>
      </c>
    </row>
    <row r="2181" spans="3:3" x14ac:dyDescent="0.25">
      <c r="C2181" s="15" t="s">
        <v>1787</v>
      </c>
    </row>
    <row r="2182" spans="3:3" x14ac:dyDescent="0.25">
      <c r="C2182" s="15" t="s">
        <v>1788</v>
      </c>
    </row>
    <row r="2183" spans="3:3" x14ac:dyDescent="0.25">
      <c r="C2183" s="15" t="s">
        <v>1789</v>
      </c>
    </row>
    <row r="2184" spans="3:3" x14ac:dyDescent="0.25">
      <c r="C2184" s="15" t="s">
        <v>1790</v>
      </c>
    </row>
    <row r="2185" spans="3:3" x14ac:dyDescent="0.25">
      <c r="C2185" s="15" t="s">
        <v>1791</v>
      </c>
    </row>
    <row r="2186" spans="3:3" x14ac:dyDescent="0.25">
      <c r="C2186" s="15" t="s">
        <v>1792</v>
      </c>
    </row>
    <row r="2187" spans="3:3" x14ac:dyDescent="0.25">
      <c r="C2187" s="15" t="s">
        <v>1793</v>
      </c>
    </row>
    <row r="2188" spans="3:3" x14ac:dyDescent="0.25">
      <c r="C2188" s="15" t="s">
        <v>1794</v>
      </c>
    </row>
    <row r="2189" spans="3:3" x14ac:dyDescent="0.25">
      <c r="C2189" s="15" t="s">
        <v>1795</v>
      </c>
    </row>
    <row r="2190" spans="3:3" x14ac:dyDescent="0.25">
      <c r="C2190" s="15" t="s">
        <v>1796</v>
      </c>
    </row>
    <row r="2191" spans="3:3" x14ac:dyDescent="0.25">
      <c r="C2191" s="15" t="s">
        <v>1797</v>
      </c>
    </row>
    <row r="2192" spans="3:3" x14ac:dyDescent="0.25">
      <c r="C2192" s="15" t="s">
        <v>1798</v>
      </c>
    </row>
    <row r="2193" spans="3:3" x14ac:dyDescent="0.25">
      <c r="C2193" s="15" t="s">
        <v>1799</v>
      </c>
    </row>
    <row r="2194" spans="3:3" x14ac:dyDescent="0.25">
      <c r="C2194" s="15" t="s">
        <v>1800</v>
      </c>
    </row>
    <row r="2195" spans="3:3" x14ac:dyDescent="0.25">
      <c r="C2195" s="15" t="s">
        <v>1801</v>
      </c>
    </row>
    <row r="2196" spans="3:3" x14ac:dyDescent="0.25">
      <c r="C2196" s="15" t="s">
        <v>1802</v>
      </c>
    </row>
    <row r="2197" spans="3:3" x14ac:dyDescent="0.25">
      <c r="C2197" s="15" t="s">
        <v>1803</v>
      </c>
    </row>
    <row r="2198" spans="3:3" x14ac:dyDescent="0.25">
      <c r="C2198" s="15" t="s">
        <v>1804</v>
      </c>
    </row>
    <row r="2199" spans="3:3" x14ac:dyDescent="0.25">
      <c r="C2199" s="15" t="s">
        <v>1805</v>
      </c>
    </row>
    <row r="2200" spans="3:3" x14ac:dyDescent="0.25">
      <c r="C2200" s="15" t="s">
        <v>1806</v>
      </c>
    </row>
    <row r="2201" spans="3:3" x14ac:dyDescent="0.25">
      <c r="C2201" s="15" t="s">
        <v>1807</v>
      </c>
    </row>
    <row r="2202" spans="3:3" x14ac:dyDescent="0.25">
      <c r="C2202" s="15" t="s">
        <v>1808</v>
      </c>
    </row>
    <row r="2203" spans="3:3" x14ac:dyDescent="0.25">
      <c r="C2203" s="15" t="s">
        <v>1809</v>
      </c>
    </row>
    <row r="2204" spans="3:3" x14ac:dyDescent="0.25">
      <c r="C2204" s="15" t="s">
        <v>1810</v>
      </c>
    </row>
    <row r="2205" spans="3:3" x14ac:dyDescent="0.25">
      <c r="C2205" s="15" t="s">
        <v>1811</v>
      </c>
    </row>
    <row r="2206" spans="3:3" x14ac:dyDescent="0.25">
      <c r="C2206" s="15" t="s">
        <v>1812</v>
      </c>
    </row>
    <row r="2207" spans="3:3" x14ac:dyDescent="0.25">
      <c r="C2207" s="15" t="s">
        <v>1813</v>
      </c>
    </row>
    <row r="2208" spans="3:3" x14ac:dyDescent="0.25">
      <c r="C2208" s="15" t="s">
        <v>1814</v>
      </c>
    </row>
    <row r="2209" spans="3:3" x14ac:dyDescent="0.25">
      <c r="C2209" s="15" t="s">
        <v>1815</v>
      </c>
    </row>
    <row r="2210" spans="3:3" x14ac:dyDescent="0.25">
      <c r="C2210" s="15" t="s">
        <v>1816</v>
      </c>
    </row>
    <row r="2211" spans="3:3" x14ac:dyDescent="0.25">
      <c r="C2211" s="15" t="s">
        <v>1817</v>
      </c>
    </row>
    <row r="2212" spans="3:3" x14ac:dyDescent="0.25">
      <c r="C2212" s="15" t="s">
        <v>1818</v>
      </c>
    </row>
    <row r="2213" spans="3:3" x14ac:dyDescent="0.25">
      <c r="C2213" s="15" t="s">
        <v>1819</v>
      </c>
    </row>
    <row r="2214" spans="3:3" x14ac:dyDescent="0.25">
      <c r="C2214" s="15" t="s">
        <v>1820</v>
      </c>
    </row>
    <row r="2215" spans="3:3" x14ac:dyDescent="0.25">
      <c r="C2215" s="15" t="s">
        <v>1821</v>
      </c>
    </row>
    <row r="2216" spans="3:3" x14ac:dyDescent="0.25">
      <c r="C2216" s="15" t="s">
        <v>1822</v>
      </c>
    </row>
    <row r="2217" spans="3:3" x14ac:dyDescent="0.25">
      <c r="C2217" s="15" t="s">
        <v>1823</v>
      </c>
    </row>
    <row r="2218" spans="3:3" x14ac:dyDescent="0.25">
      <c r="C2218" s="15" t="s">
        <v>1824</v>
      </c>
    </row>
    <row r="2219" spans="3:3" x14ac:dyDescent="0.25">
      <c r="C2219" s="15" t="s">
        <v>1825</v>
      </c>
    </row>
    <row r="2220" spans="3:3" x14ac:dyDescent="0.25">
      <c r="C2220" s="15" t="s">
        <v>1826</v>
      </c>
    </row>
    <row r="2221" spans="3:3" x14ac:dyDescent="0.25">
      <c r="C2221" s="15" t="s">
        <v>1827</v>
      </c>
    </row>
    <row r="2222" spans="3:3" x14ac:dyDescent="0.25">
      <c r="C2222" s="15" t="s">
        <v>1828</v>
      </c>
    </row>
    <row r="2223" spans="3:3" x14ac:dyDescent="0.25">
      <c r="C2223" s="15" t="s">
        <v>1829</v>
      </c>
    </row>
    <row r="2224" spans="3:3" x14ac:dyDescent="0.25">
      <c r="C2224" s="15" t="s">
        <v>1830</v>
      </c>
    </row>
    <row r="2225" spans="3:3" x14ac:dyDescent="0.25">
      <c r="C2225" s="15" t="s">
        <v>1831</v>
      </c>
    </row>
    <row r="2226" spans="3:3" x14ac:dyDescent="0.25">
      <c r="C2226" s="15" t="s">
        <v>1832</v>
      </c>
    </row>
    <row r="2227" spans="3:3" x14ac:dyDescent="0.25">
      <c r="C2227" s="15" t="s">
        <v>1833</v>
      </c>
    </row>
    <row r="2228" spans="3:3" x14ac:dyDescent="0.25">
      <c r="C2228" s="15" t="s">
        <v>1834</v>
      </c>
    </row>
    <row r="2229" spans="3:3" x14ac:dyDescent="0.25">
      <c r="C2229" s="15" t="s">
        <v>1835</v>
      </c>
    </row>
    <row r="2230" spans="3:3" x14ac:dyDescent="0.25">
      <c r="C2230" s="15" t="s">
        <v>1836</v>
      </c>
    </row>
    <row r="2231" spans="3:3" x14ac:dyDescent="0.25">
      <c r="C2231" s="15" t="s">
        <v>1837</v>
      </c>
    </row>
    <row r="2232" spans="3:3" x14ac:dyDescent="0.25">
      <c r="C2232" s="15" t="s">
        <v>1838</v>
      </c>
    </row>
    <row r="2233" spans="3:3" x14ac:dyDescent="0.25">
      <c r="C2233" s="15" t="s">
        <v>1839</v>
      </c>
    </row>
    <row r="2234" spans="3:3" x14ac:dyDescent="0.25">
      <c r="C2234" s="15" t="s">
        <v>1840</v>
      </c>
    </row>
    <row r="2235" spans="3:3" x14ac:dyDescent="0.25">
      <c r="C2235" s="15" t="s">
        <v>1841</v>
      </c>
    </row>
    <row r="2236" spans="3:3" x14ac:dyDescent="0.25">
      <c r="C2236" s="15" t="s">
        <v>1842</v>
      </c>
    </row>
    <row r="2237" spans="3:3" x14ac:dyDescent="0.25">
      <c r="C2237" s="15" t="s">
        <v>1843</v>
      </c>
    </row>
    <row r="2238" spans="3:3" x14ac:dyDescent="0.25">
      <c r="C2238" s="15" t="s">
        <v>1844</v>
      </c>
    </row>
    <row r="2239" spans="3:3" x14ac:dyDescent="0.25">
      <c r="C2239" s="15" t="s">
        <v>1845</v>
      </c>
    </row>
    <row r="2240" spans="3:3" x14ac:dyDescent="0.25">
      <c r="C2240" s="15" t="s">
        <v>1846</v>
      </c>
    </row>
    <row r="2241" spans="3:3" x14ac:dyDescent="0.25">
      <c r="C2241" s="15" t="s">
        <v>1847</v>
      </c>
    </row>
    <row r="2242" spans="3:3" x14ac:dyDescent="0.25">
      <c r="C2242" s="15" t="s">
        <v>1848</v>
      </c>
    </row>
    <row r="2243" spans="3:3" x14ac:dyDescent="0.25">
      <c r="C2243" s="15" t="s">
        <v>1849</v>
      </c>
    </row>
    <row r="2244" spans="3:3" x14ac:dyDescent="0.25">
      <c r="C2244" s="15" t="s">
        <v>1850</v>
      </c>
    </row>
    <row r="2245" spans="3:3" x14ac:dyDescent="0.25">
      <c r="C2245" s="15" t="s">
        <v>1851</v>
      </c>
    </row>
    <row r="2246" spans="3:3" x14ac:dyDescent="0.25">
      <c r="C2246" s="15" t="s">
        <v>1852</v>
      </c>
    </row>
    <row r="2247" spans="3:3" x14ac:dyDescent="0.25">
      <c r="C2247" s="15" t="s">
        <v>1853</v>
      </c>
    </row>
    <row r="2248" spans="3:3" x14ac:dyDescent="0.25">
      <c r="C2248" s="15" t="s">
        <v>1854</v>
      </c>
    </row>
    <row r="2249" spans="3:3" x14ac:dyDescent="0.25">
      <c r="C2249" s="15" t="s">
        <v>1855</v>
      </c>
    </row>
    <row r="2250" spans="3:3" x14ac:dyDescent="0.25">
      <c r="C2250" s="15" t="s">
        <v>1856</v>
      </c>
    </row>
    <row r="2251" spans="3:3" x14ac:dyDescent="0.25">
      <c r="C2251" s="15" t="s">
        <v>1857</v>
      </c>
    </row>
    <row r="2252" spans="3:3" x14ac:dyDescent="0.25">
      <c r="C2252" s="15" t="s">
        <v>1858</v>
      </c>
    </row>
    <row r="2253" spans="3:3" x14ac:dyDescent="0.25">
      <c r="C2253" s="15" t="s">
        <v>1859</v>
      </c>
    </row>
    <row r="2254" spans="3:3" x14ac:dyDescent="0.25">
      <c r="C2254" s="15" t="s">
        <v>1860</v>
      </c>
    </row>
    <row r="2255" spans="3:3" x14ac:dyDescent="0.25">
      <c r="C2255" s="15" t="s">
        <v>1861</v>
      </c>
    </row>
    <row r="2256" spans="3:3" x14ac:dyDescent="0.25">
      <c r="C2256" s="15" t="s">
        <v>1862</v>
      </c>
    </row>
    <row r="2257" spans="3:3" x14ac:dyDescent="0.25">
      <c r="C2257" s="15" t="s">
        <v>1863</v>
      </c>
    </row>
    <row r="2258" spans="3:3" x14ac:dyDescent="0.25">
      <c r="C2258" s="15" t="s">
        <v>1864</v>
      </c>
    </row>
    <row r="2259" spans="3:3" x14ac:dyDescent="0.25">
      <c r="C2259" s="15" t="s">
        <v>1865</v>
      </c>
    </row>
    <row r="2260" spans="3:3" x14ac:dyDescent="0.25">
      <c r="C2260" s="15" t="s">
        <v>1866</v>
      </c>
    </row>
    <row r="2261" spans="3:3" x14ac:dyDescent="0.25">
      <c r="C2261" s="15" t="s">
        <v>1867</v>
      </c>
    </row>
    <row r="2262" spans="3:3" x14ac:dyDescent="0.25">
      <c r="C2262" s="15" t="s">
        <v>1868</v>
      </c>
    </row>
    <row r="2263" spans="3:3" x14ac:dyDescent="0.25">
      <c r="C2263" s="15" t="s">
        <v>1869</v>
      </c>
    </row>
    <row r="2264" spans="3:3" x14ac:dyDescent="0.25">
      <c r="C2264" s="15" t="s">
        <v>1870</v>
      </c>
    </row>
    <row r="2265" spans="3:3" x14ac:dyDescent="0.25">
      <c r="C2265" s="15" t="s">
        <v>1871</v>
      </c>
    </row>
    <row r="2266" spans="3:3" x14ac:dyDescent="0.25">
      <c r="C2266" s="15" t="s">
        <v>1872</v>
      </c>
    </row>
    <row r="2267" spans="3:3" x14ac:dyDescent="0.25">
      <c r="C2267" s="15" t="s">
        <v>1873</v>
      </c>
    </row>
    <row r="2268" spans="3:3" x14ac:dyDescent="0.25">
      <c r="C2268" s="15" t="s">
        <v>1874</v>
      </c>
    </row>
    <row r="2269" spans="3:3" x14ac:dyDescent="0.25">
      <c r="C2269" s="15" t="s">
        <v>1875</v>
      </c>
    </row>
    <row r="2270" spans="3:3" x14ac:dyDescent="0.25">
      <c r="C2270" s="15" t="s">
        <v>1876</v>
      </c>
    </row>
    <row r="2271" spans="3:3" x14ac:dyDescent="0.25">
      <c r="C2271" s="15" t="s">
        <v>1877</v>
      </c>
    </row>
    <row r="2272" spans="3:3" x14ac:dyDescent="0.25">
      <c r="C2272" s="15" t="s">
        <v>1878</v>
      </c>
    </row>
    <row r="2273" spans="3:3" x14ac:dyDescent="0.25">
      <c r="C2273" s="15" t="s">
        <v>1879</v>
      </c>
    </row>
    <row r="2274" spans="3:3" x14ac:dyDescent="0.25">
      <c r="C2274" s="15" t="s">
        <v>1880</v>
      </c>
    </row>
    <row r="2275" spans="3:3" x14ac:dyDescent="0.25">
      <c r="C2275" s="15" t="s">
        <v>1881</v>
      </c>
    </row>
    <row r="2276" spans="3:3" x14ac:dyDescent="0.25">
      <c r="C2276" s="15" t="s">
        <v>1882</v>
      </c>
    </row>
    <row r="2277" spans="3:3" x14ac:dyDescent="0.25">
      <c r="C2277" s="15" t="s">
        <v>1883</v>
      </c>
    </row>
    <row r="2278" spans="3:3" x14ac:dyDescent="0.25">
      <c r="C2278" s="15" t="s">
        <v>1884</v>
      </c>
    </row>
    <row r="2279" spans="3:3" x14ac:dyDescent="0.25">
      <c r="C2279" s="15" t="s">
        <v>1885</v>
      </c>
    </row>
    <row r="2280" spans="3:3" x14ac:dyDescent="0.25">
      <c r="C2280" s="15" t="s">
        <v>1886</v>
      </c>
    </row>
    <row r="2281" spans="3:3" x14ac:dyDescent="0.25">
      <c r="C2281" s="15" t="s">
        <v>1887</v>
      </c>
    </row>
    <row r="2282" spans="3:3" x14ac:dyDescent="0.25">
      <c r="C2282" s="15" t="s">
        <v>1888</v>
      </c>
    </row>
    <row r="2283" spans="3:3" x14ac:dyDescent="0.25">
      <c r="C2283" s="15" t="s">
        <v>1889</v>
      </c>
    </row>
    <row r="2284" spans="3:3" x14ac:dyDescent="0.25">
      <c r="C2284" s="15" t="s">
        <v>1890</v>
      </c>
    </row>
    <row r="2285" spans="3:3" x14ac:dyDescent="0.25">
      <c r="C2285" s="15" t="s">
        <v>1891</v>
      </c>
    </row>
    <row r="2286" spans="3:3" x14ac:dyDescent="0.25">
      <c r="C2286" s="15" t="s">
        <v>1892</v>
      </c>
    </row>
    <row r="2287" spans="3:3" x14ac:dyDescent="0.25">
      <c r="C2287" s="15" t="s">
        <v>1893</v>
      </c>
    </row>
    <row r="2288" spans="3:3" x14ac:dyDescent="0.25">
      <c r="C2288" s="15" t="s">
        <v>1894</v>
      </c>
    </row>
    <row r="2289" spans="3:3" x14ac:dyDescent="0.25">
      <c r="C2289" s="15" t="s">
        <v>1895</v>
      </c>
    </row>
    <row r="2290" spans="3:3" x14ac:dyDescent="0.25">
      <c r="C2290" s="15" t="s">
        <v>1896</v>
      </c>
    </row>
    <row r="2291" spans="3:3" x14ac:dyDescent="0.25">
      <c r="C2291" s="15" t="s">
        <v>1897</v>
      </c>
    </row>
    <row r="2292" spans="3:3" x14ac:dyDescent="0.25">
      <c r="C2292" s="15" t="s">
        <v>1898</v>
      </c>
    </row>
    <row r="2293" spans="3:3" x14ac:dyDescent="0.25">
      <c r="C2293" s="15" t="s">
        <v>1899</v>
      </c>
    </row>
    <row r="2294" spans="3:3" x14ac:dyDescent="0.25">
      <c r="C2294" s="15" t="s">
        <v>1900</v>
      </c>
    </row>
    <row r="2295" spans="3:3" x14ac:dyDescent="0.25">
      <c r="C2295" s="15" t="s">
        <v>1901</v>
      </c>
    </row>
    <row r="2296" spans="3:3" x14ac:dyDescent="0.25">
      <c r="C2296" s="15" t="s">
        <v>1902</v>
      </c>
    </row>
    <row r="2297" spans="3:3" x14ac:dyDescent="0.25">
      <c r="C2297" s="15" t="s">
        <v>1903</v>
      </c>
    </row>
    <row r="2298" spans="3:3" x14ac:dyDescent="0.25">
      <c r="C2298" s="15" t="s">
        <v>1904</v>
      </c>
    </row>
    <row r="2299" spans="3:3" x14ac:dyDescent="0.25">
      <c r="C2299" s="15" t="s">
        <v>1905</v>
      </c>
    </row>
    <row r="2300" spans="3:3" x14ac:dyDescent="0.25">
      <c r="C2300" s="15" t="s">
        <v>1906</v>
      </c>
    </row>
    <row r="2301" spans="3:3" x14ac:dyDescent="0.25">
      <c r="C2301" s="15" t="s">
        <v>1907</v>
      </c>
    </row>
    <row r="2302" spans="3:3" x14ac:dyDescent="0.25">
      <c r="C2302" s="15" t="s">
        <v>1908</v>
      </c>
    </row>
    <row r="2303" spans="3:3" x14ac:dyDescent="0.25">
      <c r="C2303" s="15" t="s">
        <v>1909</v>
      </c>
    </row>
    <row r="2304" spans="3:3" x14ac:dyDescent="0.25">
      <c r="C2304" s="15" t="s">
        <v>1910</v>
      </c>
    </row>
    <row r="2305" spans="3:3" x14ac:dyDescent="0.25">
      <c r="C2305" s="15" t="s">
        <v>1911</v>
      </c>
    </row>
    <row r="2306" spans="3:3" x14ac:dyDescent="0.25">
      <c r="C2306" s="15" t="s">
        <v>1912</v>
      </c>
    </row>
    <row r="2307" spans="3:3" x14ac:dyDescent="0.25">
      <c r="C2307" s="15" t="s">
        <v>1913</v>
      </c>
    </row>
    <row r="2308" spans="3:3" x14ac:dyDescent="0.25">
      <c r="C2308" s="15" t="s">
        <v>1914</v>
      </c>
    </row>
    <row r="2309" spans="3:3" x14ac:dyDescent="0.25">
      <c r="C2309" s="15" t="s">
        <v>1915</v>
      </c>
    </row>
    <row r="2310" spans="3:3" x14ac:dyDescent="0.25">
      <c r="C2310" s="15" t="s">
        <v>1916</v>
      </c>
    </row>
    <row r="2311" spans="3:3" x14ac:dyDescent="0.25">
      <c r="C2311" s="15" t="s">
        <v>1917</v>
      </c>
    </row>
    <row r="2312" spans="3:3" x14ac:dyDescent="0.25">
      <c r="C2312" s="15" t="s">
        <v>1918</v>
      </c>
    </row>
    <row r="2313" spans="3:3" x14ac:dyDescent="0.25">
      <c r="C2313" s="15" t="s">
        <v>1919</v>
      </c>
    </row>
    <row r="2314" spans="3:3" x14ac:dyDescent="0.25">
      <c r="C2314" s="15" t="s">
        <v>1920</v>
      </c>
    </row>
    <row r="2315" spans="3:3" x14ac:dyDescent="0.25">
      <c r="C2315" s="15" t="s">
        <v>1921</v>
      </c>
    </row>
    <row r="2316" spans="3:3" x14ac:dyDescent="0.25">
      <c r="C2316" s="15" t="s">
        <v>1922</v>
      </c>
    </row>
    <row r="2317" spans="3:3" x14ac:dyDescent="0.25">
      <c r="C2317" s="15" t="s">
        <v>1923</v>
      </c>
    </row>
    <row r="2318" spans="3:3" x14ac:dyDescent="0.25">
      <c r="C2318" s="15" t="s">
        <v>1924</v>
      </c>
    </row>
    <row r="2319" spans="3:3" x14ac:dyDescent="0.25">
      <c r="C2319" s="15" t="s">
        <v>1925</v>
      </c>
    </row>
    <row r="2320" spans="3:3" x14ac:dyDescent="0.25">
      <c r="C2320" s="15" t="s">
        <v>1926</v>
      </c>
    </row>
    <row r="2321" spans="3:3" x14ac:dyDescent="0.25">
      <c r="C2321" s="15" t="s">
        <v>1927</v>
      </c>
    </row>
    <row r="2322" spans="3:3" x14ac:dyDescent="0.25">
      <c r="C2322" s="15" t="s">
        <v>1928</v>
      </c>
    </row>
    <row r="2323" spans="3:3" x14ac:dyDescent="0.25">
      <c r="C2323" s="15" t="s">
        <v>1929</v>
      </c>
    </row>
    <row r="2324" spans="3:3" x14ac:dyDescent="0.25">
      <c r="C2324" s="15" t="s">
        <v>1930</v>
      </c>
    </row>
    <row r="2325" spans="3:3" x14ac:dyDescent="0.25">
      <c r="C2325" s="15" t="s">
        <v>1931</v>
      </c>
    </row>
    <row r="2326" spans="3:3" x14ac:dyDescent="0.25">
      <c r="C2326" s="15" t="s">
        <v>1932</v>
      </c>
    </row>
    <row r="2327" spans="3:3" x14ac:dyDescent="0.25">
      <c r="C2327" s="15" t="s">
        <v>1933</v>
      </c>
    </row>
    <row r="2328" spans="3:3" x14ac:dyDescent="0.25">
      <c r="C2328" s="15" t="s">
        <v>1934</v>
      </c>
    </row>
    <row r="2329" spans="3:3" x14ac:dyDescent="0.25">
      <c r="C2329" s="15" t="s">
        <v>1935</v>
      </c>
    </row>
    <row r="2330" spans="3:3" x14ac:dyDescent="0.25">
      <c r="C2330" s="15" t="s">
        <v>1936</v>
      </c>
    </row>
    <row r="2331" spans="3:3" x14ac:dyDescent="0.25">
      <c r="C2331" s="15" t="s">
        <v>1937</v>
      </c>
    </row>
    <row r="2332" spans="3:3" x14ac:dyDescent="0.25">
      <c r="C2332" s="15" t="s">
        <v>1938</v>
      </c>
    </row>
    <row r="2333" spans="3:3" x14ac:dyDescent="0.25">
      <c r="C2333" s="15" t="s">
        <v>1939</v>
      </c>
    </row>
    <row r="2334" spans="3:3" x14ac:dyDescent="0.25">
      <c r="C2334" s="15" t="s">
        <v>340</v>
      </c>
    </row>
    <row r="2335" spans="3:3" x14ac:dyDescent="0.25">
      <c r="C2335" s="15" t="s">
        <v>1940</v>
      </c>
    </row>
    <row r="2336" spans="3:3" x14ac:dyDescent="0.25">
      <c r="C2336" s="15" t="s">
        <v>1941</v>
      </c>
    </row>
    <row r="2337" spans="3:3" x14ac:dyDescent="0.25">
      <c r="C2337" s="15" t="s">
        <v>1942</v>
      </c>
    </row>
    <row r="2338" spans="3:3" x14ac:dyDescent="0.25">
      <c r="C2338" s="15" t="s">
        <v>1943</v>
      </c>
    </row>
    <row r="2339" spans="3:3" x14ac:dyDescent="0.25">
      <c r="C2339" s="15" t="s">
        <v>1944</v>
      </c>
    </row>
    <row r="2340" spans="3:3" x14ac:dyDescent="0.25">
      <c r="C2340" s="15" t="s">
        <v>1945</v>
      </c>
    </row>
    <row r="2341" spans="3:3" x14ac:dyDescent="0.25">
      <c r="C2341" s="15" t="s">
        <v>1946</v>
      </c>
    </row>
    <row r="2342" spans="3:3" x14ac:dyDescent="0.25">
      <c r="C2342" s="15" t="s">
        <v>1947</v>
      </c>
    </row>
    <row r="2343" spans="3:3" x14ac:dyDescent="0.25">
      <c r="C2343" s="15" t="s">
        <v>1948</v>
      </c>
    </row>
    <row r="2344" spans="3:3" x14ac:dyDescent="0.25">
      <c r="C2344" s="15" t="s">
        <v>1949</v>
      </c>
    </row>
    <row r="2345" spans="3:3" x14ac:dyDescent="0.25">
      <c r="C2345" s="15" t="s">
        <v>1950</v>
      </c>
    </row>
    <row r="2346" spans="3:3" x14ac:dyDescent="0.25">
      <c r="C2346" s="15" t="s">
        <v>1951</v>
      </c>
    </row>
    <row r="2347" spans="3:3" x14ac:dyDescent="0.25">
      <c r="C2347" s="15" t="s">
        <v>1952</v>
      </c>
    </row>
    <row r="2348" spans="3:3" x14ac:dyDescent="0.25">
      <c r="C2348" s="15" t="s">
        <v>1953</v>
      </c>
    </row>
    <row r="2349" spans="3:3" x14ac:dyDescent="0.25">
      <c r="C2349" s="15" t="s">
        <v>1954</v>
      </c>
    </row>
    <row r="2350" spans="3:3" x14ac:dyDescent="0.25">
      <c r="C2350" s="15" t="s">
        <v>1955</v>
      </c>
    </row>
    <row r="2351" spans="3:3" x14ac:dyDescent="0.25">
      <c r="C2351" s="15" t="s">
        <v>1956</v>
      </c>
    </row>
    <row r="2352" spans="3:3" x14ac:dyDescent="0.25">
      <c r="C2352" s="15" t="s">
        <v>1957</v>
      </c>
    </row>
    <row r="2353" spans="3:3" x14ac:dyDescent="0.25">
      <c r="C2353" s="15" t="s">
        <v>1958</v>
      </c>
    </row>
    <row r="2354" spans="3:3" x14ac:dyDescent="0.25">
      <c r="C2354" s="15" t="s">
        <v>1959</v>
      </c>
    </row>
    <row r="2355" spans="3:3" x14ac:dyDescent="0.25">
      <c r="C2355" s="15" t="s">
        <v>1960</v>
      </c>
    </row>
    <row r="2356" spans="3:3" x14ac:dyDescent="0.25">
      <c r="C2356" s="15" t="s">
        <v>1961</v>
      </c>
    </row>
    <row r="2357" spans="3:3" x14ac:dyDescent="0.25">
      <c r="C2357" s="15" t="s">
        <v>1962</v>
      </c>
    </row>
    <row r="2358" spans="3:3" x14ac:dyDescent="0.25">
      <c r="C2358" s="15" t="s">
        <v>1963</v>
      </c>
    </row>
    <row r="2359" spans="3:3" x14ac:dyDescent="0.25">
      <c r="C2359" s="15" t="s">
        <v>1964</v>
      </c>
    </row>
    <row r="2360" spans="3:3" x14ac:dyDescent="0.25">
      <c r="C2360" s="15" t="s">
        <v>1965</v>
      </c>
    </row>
    <row r="2361" spans="3:3" x14ac:dyDescent="0.25">
      <c r="C2361" s="15" t="s">
        <v>1966</v>
      </c>
    </row>
    <row r="2362" spans="3:3" x14ac:dyDescent="0.25">
      <c r="C2362" s="15" t="s">
        <v>1967</v>
      </c>
    </row>
    <row r="2363" spans="3:3" x14ac:dyDescent="0.25">
      <c r="C2363" s="15" t="s">
        <v>1968</v>
      </c>
    </row>
    <row r="2364" spans="3:3" x14ac:dyDescent="0.25">
      <c r="C2364" s="15" t="s">
        <v>1969</v>
      </c>
    </row>
    <row r="2365" spans="3:3" x14ac:dyDescent="0.25">
      <c r="C2365" s="15" t="s">
        <v>1970</v>
      </c>
    </row>
    <row r="2366" spans="3:3" x14ac:dyDescent="0.25">
      <c r="C2366" s="15" t="s">
        <v>1971</v>
      </c>
    </row>
    <row r="2367" spans="3:3" x14ac:dyDescent="0.25">
      <c r="C2367" s="15" t="s">
        <v>1972</v>
      </c>
    </row>
    <row r="2368" spans="3:3" x14ac:dyDescent="0.25">
      <c r="C2368" s="15" t="s">
        <v>1973</v>
      </c>
    </row>
    <row r="2369" spans="3:3" x14ac:dyDescent="0.25">
      <c r="C2369" s="15" t="s">
        <v>1974</v>
      </c>
    </row>
    <row r="2370" spans="3:3" x14ac:dyDescent="0.25">
      <c r="C2370" s="15" t="s">
        <v>1975</v>
      </c>
    </row>
    <row r="2371" spans="3:3" x14ac:dyDescent="0.25">
      <c r="C2371" s="15" t="s">
        <v>1976</v>
      </c>
    </row>
    <row r="2372" spans="3:3" x14ac:dyDescent="0.25">
      <c r="C2372" s="15" t="s">
        <v>1977</v>
      </c>
    </row>
    <row r="2373" spans="3:3" x14ac:dyDescent="0.25">
      <c r="C2373" s="15" t="s">
        <v>1978</v>
      </c>
    </row>
    <row r="2374" spans="3:3" x14ac:dyDescent="0.25">
      <c r="C2374" s="15" t="s">
        <v>1979</v>
      </c>
    </row>
    <row r="2375" spans="3:3" x14ac:dyDescent="0.25">
      <c r="C2375" s="15" t="s">
        <v>1980</v>
      </c>
    </row>
    <row r="2376" spans="1:3" x14ac:dyDescent="0.25">
      <c r="A2376" s="15" t="s">
        <v>773</v>
      </c>
      <c r="B2376" s="15" t="s">
        <v>17</v>
      </c>
      <c r="C2376" s="15" t="s">
        <v>354</v>
      </c>
    </row>
    <row r="2377" spans="3:3" x14ac:dyDescent="0.25">
      <c r="C2377" s="15" t="s">
        <v>1981</v>
      </c>
    </row>
    <row r="2378" spans="1:3" x14ac:dyDescent="0.25">
      <c r="A2378" s="15" t="s">
        <v>2096</v>
      </c>
      <c r="B2378" s="15" t="s">
        <v>17</v>
      </c>
      <c r="C2378" s="15" t="s">
        <v>245</v>
      </c>
    </row>
    <row r="2379" spans="3:3" x14ac:dyDescent="0.25">
      <c r="C2379" s="15" t="s">
        <v>1726</v>
      </c>
    </row>
    <row r="2380" spans="3:3" x14ac:dyDescent="0.25">
      <c r="C2380" s="15" t="s">
        <v>1727</v>
      </c>
    </row>
    <row r="2381" spans="3:3" x14ac:dyDescent="0.25">
      <c r="C2381" s="15" t="s">
        <v>1724</v>
      </c>
    </row>
    <row r="2382" spans="1:3" x14ac:dyDescent="0.25">
      <c r="A2382" s="15" t="s">
        <v>2097</v>
      </c>
      <c r="B2382" s="15" t="s">
        <v>17</v>
      </c>
      <c r="C2382" s="15" t="s">
        <v>15</v>
      </c>
    </row>
    <row r="2383" spans="3:3" x14ac:dyDescent="0.25">
      <c r="C2383" s="15" t="s">
        <v>17</v>
      </c>
    </row>
    <row r="2384" spans="1:3" x14ac:dyDescent="0.25">
      <c r="A2384" s="15" t="s">
        <v>2098</v>
      </c>
      <c r="B2384" s="15" t="s">
        <v>17</v>
      </c>
      <c r="C2384" s="15" t="s">
        <v>762</v>
      </c>
    </row>
    <row r="2385" spans="3:3" x14ac:dyDescent="0.25">
      <c r="C2385" s="15" t="s">
        <v>2007</v>
      </c>
    </row>
    <row r="2386" spans="3:3" x14ac:dyDescent="0.25">
      <c r="C2386" s="15" t="s">
        <v>2008</v>
      </c>
    </row>
    <row r="2387" spans="3:3" x14ac:dyDescent="0.25">
      <c r="C2387" s="15" t="s">
        <v>2009</v>
      </c>
    </row>
    <row r="2388" spans="3:3" x14ac:dyDescent="0.25">
      <c r="C2388" s="15" t="s">
        <v>2010</v>
      </c>
    </row>
    <row r="2389" spans="3:3" x14ac:dyDescent="0.25">
      <c r="C2389" s="15" t="s">
        <v>2011</v>
      </c>
    </row>
    <row r="2390" spans="3:3" x14ac:dyDescent="0.25">
      <c r="C2390" s="15" t="s">
        <v>2012</v>
      </c>
    </row>
    <row r="2391" spans="3:3" x14ac:dyDescent="0.25">
      <c r="C2391" s="15" t="s">
        <v>2013</v>
      </c>
    </row>
    <row r="2392" spans="3:3" x14ac:dyDescent="0.25">
      <c r="C2392" s="15" t="s">
        <v>2014</v>
      </c>
    </row>
    <row r="2393" spans="3:3" x14ac:dyDescent="0.25">
      <c r="C2393" s="15" t="s">
        <v>2015</v>
      </c>
    </row>
    <row r="2394" spans="3:3" x14ac:dyDescent="0.25">
      <c r="C2394" s="15" t="s">
        <v>2016</v>
      </c>
    </row>
    <row r="2395" spans="3:3" x14ac:dyDescent="0.25">
      <c r="C2395" s="15" t="s">
        <v>2017</v>
      </c>
    </row>
    <row r="2396" spans="3:3" x14ac:dyDescent="0.25">
      <c r="C2396" s="15" t="s">
        <v>2018</v>
      </c>
    </row>
    <row r="2397" spans="3:3" x14ac:dyDescent="0.25">
      <c r="C2397" s="15" t="s">
        <v>2019</v>
      </c>
    </row>
    <row r="2398" spans="3:3" x14ac:dyDescent="0.25">
      <c r="C2398" s="15" t="s">
        <v>2020</v>
      </c>
    </row>
    <row r="2399" spans="3:3" x14ac:dyDescent="0.25">
      <c r="C2399" s="15" t="s">
        <v>2021</v>
      </c>
    </row>
    <row r="2400" spans="1:3" x14ac:dyDescent="0.25">
      <c r="A2400" s="15" t="s">
        <v>1172</v>
      </c>
      <c r="B2400" s="15" t="s">
        <v>17</v>
      </c>
      <c r="C2400" s="15" t="s">
        <v>762</v>
      </c>
    </row>
    <row r="2401" spans="3:3" x14ac:dyDescent="0.25">
      <c r="C2401" s="15" t="s">
        <v>2007</v>
      </c>
    </row>
    <row r="2402" spans="3:3" x14ac:dyDescent="0.25">
      <c r="C2402" s="15" t="s">
        <v>2008</v>
      </c>
    </row>
    <row r="2403" spans="3:3" x14ac:dyDescent="0.25">
      <c r="C2403" s="15" t="s">
        <v>2009</v>
      </c>
    </row>
    <row r="2404" spans="3:3" x14ac:dyDescent="0.25">
      <c r="C2404" s="15" t="s">
        <v>2010</v>
      </c>
    </row>
    <row r="2405" spans="3:3" x14ac:dyDescent="0.25">
      <c r="C2405" s="15" t="s">
        <v>2011</v>
      </c>
    </row>
    <row r="2406" spans="3:3" x14ac:dyDescent="0.25">
      <c r="C2406" s="15" t="s">
        <v>2012</v>
      </c>
    </row>
    <row r="2407" spans="3:3" x14ac:dyDescent="0.25">
      <c r="C2407" s="15" t="s">
        <v>2013</v>
      </c>
    </row>
    <row r="2408" spans="3:3" x14ac:dyDescent="0.25">
      <c r="C2408" s="15" t="s">
        <v>2014</v>
      </c>
    </row>
    <row r="2409" spans="3:3" x14ac:dyDescent="0.25">
      <c r="C2409" s="15" t="s">
        <v>2015</v>
      </c>
    </row>
    <row r="2410" spans="3:3" x14ac:dyDescent="0.25">
      <c r="C2410" s="15" t="s">
        <v>2016</v>
      </c>
    </row>
    <row r="2411" spans="3:3" x14ac:dyDescent="0.25">
      <c r="C2411" s="15" t="s">
        <v>2017</v>
      </c>
    </row>
    <row r="2412" spans="3:3" x14ac:dyDescent="0.25">
      <c r="C2412" s="15" t="s">
        <v>2039</v>
      </c>
    </row>
    <row r="2413" spans="3:3" x14ac:dyDescent="0.25">
      <c r="C2413" s="15" t="s">
        <v>2040</v>
      </c>
    </row>
    <row r="2414" spans="3:3" x14ac:dyDescent="0.25">
      <c r="C2414" s="15" t="s">
        <v>2041</v>
      </c>
    </row>
    <row r="2415" spans="3:3" x14ac:dyDescent="0.25">
      <c r="C2415" s="15" t="s">
        <v>2042</v>
      </c>
    </row>
    <row r="2416" spans="1:3" x14ac:dyDescent="0.25">
      <c r="A2416" s="15" t="s">
        <v>2099</v>
      </c>
      <c r="B2416" s="15" t="s">
        <v>17</v>
      </c>
      <c r="C2416" s="15" t="s">
        <v>251</v>
      </c>
    </row>
    <row r="2417" spans="3:3" x14ac:dyDescent="0.25">
      <c r="C2417" s="15" t="s">
        <v>1728</v>
      </c>
    </row>
    <row r="2418" spans="1:3" x14ac:dyDescent="0.25">
      <c r="A2418" s="15" t="s">
        <v>2100</v>
      </c>
      <c r="B2418" s="15" t="s">
        <v>17</v>
      </c>
      <c r="C2418" s="15" t="s">
        <v>251</v>
      </c>
    </row>
    <row r="2419" spans="3:3" x14ac:dyDescent="0.25">
      <c r="C2419" s="15" t="s">
        <v>1728</v>
      </c>
    </row>
    <row r="2420" spans="1:3" x14ac:dyDescent="0.25">
      <c r="A2420" s="15" t="s">
        <v>2101</v>
      </c>
      <c r="B2420" s="15" t="s">
        <v>17</v>
      </c>
      <c r="C2420" s="15" t="s">
        <v>677</v>
      </c>
    </row>
    <row r="2421" spans="3:3" x14ac:dyDescent="0.25">
      <c r="C2421" s="15" t="s">
        <v>685</v>
      </c>
    </row>
    <row r="2422" spans="1:3" x14ac:dyDescent="0.25">
      <c r="A2422" s="15" t="s">
        <v>339</v>
      </c>
      <c r="B2422" s="15" t="s">
        <v>17</v>
      </c>
      <c r="C2422" s="15" t="s">
        <v>1729</v>
      </c>
    </row>
    <row r="2423" spans="3:3" x14ac:dyDescent="0.25">
      <c r="C2423" s="15" t="s">
        <v>1730</v>
      </c>
    </row>
    <row r="2424" spans="3:3" x14ac:dyDescent="0.25">
      <c r="C2424" s="15" t="s">
        <v>1731</v>
      </c>
    </row>
    <row r="2425" spans="3:3" x14ac:dyDescent="0.25">
      <c r="C2425" s="15" t="s">
        <v>1732</v>
      </c>
    </row>
    <row r="2426" spans="3:3" x14ac:dyDescent="0.25">
      <c r="C2426" s="15" t="s">
        <v>1733</v>
      </c>
    </row>
    <row r="2427" spans="3:3" x14ac:dyDescent="0.25">
      <c r="C2427" s="15" t="s">
        <v>1734</v>
      </c>
    </row>
    <row r="2428" spans="3:3" x14ac:dyDescent="0.25">
      <c r="C2428" s="15" t="s">
        <v>1735</v>
      </c>
    </row>
    <row r="2429" spans="3:3" x14ac:dyDescent="0.25">
      <c r="C2429" s="15" t="s">
        <v>1736</v>
      </c>
    </row>
    <row r="2430" spans="3:3" x14ac:dyDescent="0.25">
      <c r="C2430" s="15" t="s">
        <v>1737</v>
      </c>
    </row>
    <row r="2431" spans="3:3" x14ac:dyDescent="0.25">
      <c r="C2431" s="15" t="s">
        <v>1738</v>
      </c>
    </row>
    <row r="2432" spans="3:3" x14ac:dyDescent="0.25">
      <c r="C2432" s="15" t="s">
        <v>1739</v>
      </c>
    </row>
    <row r="2433" spans="3:3" x14ac:dyDescent="0.25">
      <c r="C2433" s="15" t="s">
        <v>1740</v>
      </c>
    </row>
    <row r="2434" spans="3:3" x14ac:dyDescent="0.25">
      <c r="C2434" s="15" t="s">
        <v>1741</v>
      </c>
    </row>
    <row r="2435" spans="3:3" x14ac:dyDescent="0.25">
      <c r="C2435" s="15" t="s">
        <v>1742</v>
      </c>
    </row>
    <row r="2436" spans="3:3" x14ac:dyDescent="0.25">
      <c r="C2436" s="15" t="s">
        <v>1743</v>
      </c>
    </row>
    <row r="2437" spans="3:3" x14ac:dyDescent="0.25">
      <c r="C2437" s="15" t="s">
        <v>1744</v>
      </c>
    </row>
    <row r="2438" spans="3:3" x14ac:dyDescent="0.25">
      <c r="C2438" s="15" t="s">
        <v>1745</v>
      </c>
    </row>
    <row r="2439" spans="3:3" x14ac:dyDescent="0.25">
      <c r="C2439" s="15" t="s">
        <v>1746</v>
      </c>
    </row>
    <row r="2440" spans="3:3" x14ac:dyDescent="0.25">
      <c r="C2440" s="15" t="s">
        <v>1747</v>
      </c>
    </row>
    <row r="2441" spans="3:3" x14ac:dyDescent="0.25">
      <c r="C2441" s="15" t="s">
        <v>1748</v>
      </c>
    </row>
    <row r="2442" spans="3:3" x14ac:dyDescent="0.25">
      <c r="C2442" s="15" t="s">
        <v>1749</v>
      </c>
    </row>
    <row r="2443" spans="3:3" x14ac:dyDescent="0.25">
      <c r="C2443" s="15" t="s">
        <v>1750</v>
      </c>
    </row>
    <row r="2444" spans="3:3" x14ac:dyDescent="0.25">
      <c r="C2444" s="15" t="s">
        <v>1751</v>
      </c>
    </row>
    <row r="2445" spans="3:3" x14ac:dyDescent="0.25">
      <c r="C2445" s="15" t="s">
        <v>1752</v>
      </c>
    </row>
    <row r="2446" spans="3:3" x14ac:dyDescent="0.25">
      <c r="C2446" s="15" t="s">
        <v>1753</v>
      </c>
    </row>
    <row r="2447" spans="3:3" x14ac:dyDescent="0.25">
      <c r="C2447" s="15" t="s">
        <v>1754</v>
      </c>
    </row>
    <row r="2448" spans="3:3" x14ac:dyDescent="0.25">
      <c r="C2448" s="15" t="s">
        <v>1755</v>
      </c>
    </row>
    <row r="2449" spans="3:3" x14ac:dyDescent="0.25">
      <c r="C2449" s="15" t="s">
        <v>1756</v>
      </c>
    </row>
    <row r="2450" spans="3:3" x14ac:dyDescent="0.25">
      <c r="C2450" s="15" t="s">
        <v>1757</v>
      </c>
    </row>
    <row r="2451" spans="3:3" x14ac:dyDescent="0.25">
      <c r="C2451" s="15" t="s">
        <v>1758</v>
      </c>
    </row>
    <row r="2452" spans="3:3" x14ac:dyDescent="0.25">
      <c r="C2452" s="15" t="s">
        <v>1759</v>
      </c>
    </row>
    <row r="2453" spans="3:3" x14ac:dyDescent="0.25">
      <c r="C2453" s="15" t="s">
        <v>1760</v>
      </c>
    </row>
    <row r="2454" spans="3:3" x14ac:dyDescent="0.25">
      <c r="C2454" s="15" t="s">
        <v>1761</v>
      </c>
    </row>
    <row r="2455" spans="3:3" x14ac:dyDescent="0.25">
      <c r="C2455" s="15" t="s">
        <v>1762</v>
      </c>
    </row>
    <row r="2456" spans="3:3" x14ac:dyDescent="0.25">
      <c r="C2456" s="15" t="s">
        <v>1763</v>
      </c>
    </row>
    <row r="2457" spans="3:3" x14ac:dyDescent="0.25">
      <c r="C2457" s="15" t="s">
        <v>1764</v>
      </c>
    </row>
    <row r="2458" spans="3:3" x14ac:dyDescent="0.25">
      <c r="C2458" s="15" t="s">
        <v>1765</v>
      </c>
    </row>
    <row r="2459" spans="3:3" x14ac:dyDescent="0.25">
      <c r="C2459" s="15" t="s">
        <v>1766</v>
      </c>
    </row>
    <row r="2460" spans="3:3" x14ac:dyDescent="0.25">
      <c r="C2460" s="15" t="s">
        <v>1767</v>
      </c>
    </row>
    <row r="2461" spans="3:3" x14ac:dyDescent="0.25">
      <c r="C2461" s="15" t="s">
        <v>1768</v>
      </c>
    </row>
    <row r="2462" spans="3:3" x14ac:dyDescent="0.25">
      <c r="C2462" s="15" t="s">
        <v>1769</v>
      </c>
    </row>
    <row r="2463" spans="3:3" x14ac:dyDescent="0.25">
      <c r="C2463" s="15" t="s">
        <v>1770</v>
      </c>
    </row>
    <row r="2464" spans="3:3" x14ac:dyDescent="0.25">
      <c r="C2464" s="15" t="s">
        <v>1771</v>
      </c>
    </row>
    <row r="2465" spans="3:3" x14ac:dyDescent="0.25">
      <c r="C2465" s="15" t="s">
        <v>1772</v>
      </c>
    </row>
    <row r="2466" spans="3:3" x14ac:dyDescent="0.25">
      <c r="C2466" s="15" t="s">
        <v>1773</v>
      </c>
    </row>
    <row r="2467" spans="3:3" x14ac:dyDescent="0.25">
      <c r="C2467" s="15" t="s">
        <v>1774</v>
      </c>
    </row>
    <row r="2468" spans="3:3" x14ac:dyDescent="0.25">
      <c r="C2468" s="15" t="s">
        <v>1775</v>
      </c>
    </row>
    <row r="2469" spans="3:3" x14ac:dyDescent="0.25">
      <c r="C2469" s="15" t="s">
        <v>1776</v>
      </c>
    </row>
    <row r="2470" spans="3:3" x14ac:dyDescent="0.25">
      <c r="C2470" s="15" t="s">
        <v>1777</v>
      </c>
    </row>
    <row r="2471" spans="3:3" x14ac:dyDescent="0.25">
      <c r="C2471" s="15" t="s">
        <v>1778</v>
      </c>
    </row>
    <row r="2472" spans="3:3" x14ac:dyDescent="0.25">
      <c r="C2472" s="15" t="s">
        <v>1779</v>
      </c>
    </row>
    <row r="2473" spans="3:3" x14ac:dyDescent="0.25">
      <c r="C2473" s="15" t="s">
        <v>1780</v>
      </c>
    </row>
    <row r="2474" spans="3:3" x14ac:dyDescent="0.25">
      <c r="C2474" s="15" t="s">
        <v>1781</v>
      </c>
    </row>
    <row r="2475" spans="3:3" x14ac:dyDescent="0.25">
      <c r="C2475" s="15" t="s">
        <v>1782</v>
      </c>
    </row>
    <row r="2476" spans="3:3" x14ac:dyDescent="0.25">
      <c r="C2476" s="15" t="s">
        <v>1783</v>
      </c>
    </row>
    <row r="2477" spans="3:3" x14ac:dyDescent="0.25">
      <c r="C2477" s="15" t="s">
        <v>1784</v>
      </c>
    </row>
    <row r="2478" spans="3:3" x14ac:dyDescent="0.25">
      <c r="C2478" s="15" t="s">
        <v>1785</v>
      </c>
    </row>
    <row r="2479" spans="3:3" x14ac:dyDescent="0.25">
      <c r="C2479" s="15" t="s">
        <v>1786</v>
      </c>
    </row>
    <row r="2480" spans="3:3" x14ac:dyDescent="0.25">
      <c r="C2480" s="15" t="s">
        <v>1787</v>
      </c>
    </row>
    <row r="2481" spans="3:3" x14ac:dyDescent="0.25">
      <c r="C2481" s="15" t="s">
        <v>1788</v>
      </c>
    </row>
    <row r="2482" spans="3:3" x14ac:dyDescent="0.25">
      <c r="C2482" s="15" t="s">
        <v>1789</v>
      </c>
    </row>
    <row r="2483" spans="3:3" x14ac:dyDescent="0.25">
      <c r="C2483" s="15" t="s">
        <v>1790</v>
      </c>
    </row>
    <row r="2484" spans="3:3" x14ac:dyDescent="0.25">
      <c r="C2484" s="15" t="s">
        <v>1791</v>
      </c>
    </row>
    <row r="2485" spans="3:3" x14ac:dyDescent="0.25">
      <c r="C2485" s="15" t="s">
        <v>1792</v>
      </c>
    </row>
    <row r="2486" spans="3:3" x14ac:dyDescent="0.25">
      <c r="C2486" s="15" t="s">
        <v>1793</v>
      </c>
    </row>
    <row r="2487" spans="3:3" x14ac:dyDescent="0.25">
      <c r="C2487" s="15" t="s">
        <v>1794</v>
      </c>
    </row>
    <row r="2488" spans="3:3" x14ac:dyDescent="0.25">
      <c r="C2488" s="15" t="s">
        <v>1795</v>
      </c>
    </row>
    <row r="2489" spans="3:3" x14ac:dyDescent="0.25">
      <c r="C2489" s="15" t="s">
        <v>1796</v>
      </c>
    </row>
    <row r="2490" spans="3:3" x14ac:dyDescent="0.25">
      <c r="C2490" s="15" t="s">
        <v>1797</v>
      </c>
    </row>
    <row r="2491" spans="3:3" x14ac:dyDescent="0.25">
      <c r="C2491" s="15" t="s">
        <v>1798</v>
      </c>
    </row>
    <row r="2492" spans="3:3" x14ac:dyDescent="0.25">
      <c r="C2492" s="15" t="s">
        <v>1799</v>
      </c>
    </row>
    <row r="2493" spans="3:3" x14ac:dyDescent="0.25">
      <c r="C2493" s="15" t="s">
        <v>1800</v>
      </c>
    </row>
    <row r="2494" spans="3:3" x14ac:dyDescent="0.25">
      <c r="C2494" s="15" t="s">
        <v>1801</v>
      </c>
    </row>
    <row r="2495" spans="3:3" x14ac:dyDescent="0.25">
      <c r="C2495" s="15" t="s">
        <v>1802</v>
      </c>
    </row>
    <row r="2496" spans="3:3" x14ac:dyDescent="0.25">
      <c r="C2496" s="15" t="s">
        <v>1803</v>
      </c>
    </row>
    <row r="2497" spans="3:3" x14ac:dyDescent="0.25">
      <c r="C2497" s="15" t="s">
        <v>1804</v>
      </c>
    </row>
    <row r="2498" spans="3:3" x14ac:dyDescent="0.25">
      <c r="C2498" s="15" t="s">
        <v>1805</v>
      </c>
    </row>
    <row r="2499" spans="3:3" x14ac:dyDescent="0.25">
      <c r="C2499" s="15" t="s">
        <v>1806</v>
      </c>
    </row>
    <row r="2500" spans="3:3" x14ac:dyDescent="0.25">
      <c r="C2500" s="15" t="s">
        <v>1807</v>
      </c>
    </row>
    <row r="2501" spans="3:3" x14ac:dyDescent="0.25">
      <c r="C2501" s="15" t="s">
        <v>1808</v>
      </c>
    </row>
    <row r="2502" spans="3:3" x14ac:dyDescent="0.25">
      <c r="C2502" s="15" t="s">
        <v>1809</v>
      </c>
    </row>
    <row r="2503" spans="3:3" x14ac:dyDescent="0.25">
      <c r="C2503" s="15" t="s">
        <v>1810</v>
      </c>
    </row>
    <row r="2504" spans="3:3" x14ac:dyDescent="0.25">
      <c r="C2504" s="15" t="s">
        <v>1811</v>
      </c>
    </row>
    <row r="2505" spans="3:3" x14ac:dyDescent="0.25">
      <c r="C2505" s="15" t="s">
        <v>1812</v>
      </c>
    </row>
    <row r="2506" spans="3:3" x14ac:dyDescent="0.25">
      <c r="C2506" s="15" t="s">
        <v>1813</v>
      </c>
    </row>
    <row r="2507" spans="3:3" x14ac:dyDescent="0.25">
      <c r="C2507" s="15" t="s">
        <v>1814</v>
      </c>
    </row>
    <row r="2508" spans="3:3" x14ac:dyDescent="0.25">
      <c r="C2508" s="15" t="s">
        <v>1815</v>
      </c>
    </row>
    <row r="2509" spans="3:3" x14ac:dyDescent="0.25">
      <c r="C2509" s="15" t="s">
        <v>1816</v>
      </c>
    </row>
    <row r="2510" spans="3:3" x14ac:dyDescent="0.25">
      <c r="C2510" s="15" t="s">
        <v>1817</v>
      </c>
    </row>
    <row r="2511" spans="3:3" x14ac:dyDescent="0.25">
      <c r="C2511" s="15" t="s">
        <v>1818</v>
      </c>
    </row>
    <row r="2512" spans="3:3" x14ac:dyDescent="0.25">
      <c r="C2512" s="15" t="s">
        <v>1819</v>
      </c>
    </row>
    <row r="2513" spans="3:3" x14ac:dyDescent="0.25">
      <c r="C2513" s="15" t="s">
        <v>1820</v>
      </c>
    </row>
    <row r="2514" spans="3:3" x14ac:dyDescent="0.25">
      <c r="C2514" s="15" t="s">
        <v>1821</v>
      </c>
    </row>
    <row r="2515" spans="3:3" x14ac:dyDescent="0.25">
      <c r="C2515" s="15" t="s">
        <v>1822</v>
      </c>
    </row>
    <row r="2516" spans="3:3" x14ac:dyDescent="0.25">
      <c r="C2516" s="15" t="s">
        <v>1823</v>
      </c>
    </row>
    <row r="2517" spans="3:3" x14ac:dyDescent="0.25">
      <c r="C2517" s="15" t="s">
        <v>1824</v>
      </c>
    </row>
    <row r="2518" spans="3:3" x14ac:dyDescent="0.25">
      <c r="C2518" s="15" t="s">
        <v>1825</v>
      </c>
    </row>
    <row r="2519" spans="3:3" x14ac:dyDescent="0.25">
      <c r="C2519" s="15" t="s">
        <v>1826</v>
      </c>
    </row>
    <row r="2520" spans="3:3" x14ac:dyDescent="0.25">
      <c r="C2520" s="15" t="s">
        <v>1827</v>
      </c>
    </row>
    <row r="2521" spans="3:3" x14ac:dyDescent="0.25">
      <c r="C2521" s="15" t="s">
        <v>1828</v>
      </c>
    </row>
    <row r="2522" spans="3:3" x14ac:dyDescent="0.25">
      <c r="C2522" s="15" t="s">
        <v>1829</v>
      </c>
    </row>
    <row r="2523" spans="3:3" x14ac:dyDescent="0.25">
      <c r="C2523" s="15" t="s">
        <v>1830</v>
      </c>
    </row>
    <row r="2524" spans="3:3" x14ac:dyDescent="0.25">
      <c r="C2524" s="15" t="s">
        <v>1831</v>
      </c>
    </row>
    <row r="2525" spans="3:3" x14ac:dyDescent="0.25">
      <c r="C2525" s="15" t="s">
        <v>1832</v>
      </c>
    </row>
    <row r="2526" spans="3:3" x14ac:dyDescent="0.25">
      <c r="C2526" s="15" t="s">
        <v>1833</v>
      </c>
    </row>
    <row r="2527" spans="3:3" x14ac:dyDescent="0.25">
      <c r="C2527" s="15" t="s">
        <v>1834</v>
      </c>
    </row>
    <row r="2528" spans="3:3" x14ac:dyDescent="0.25">
      <c r="C2528" s="15" t="s">
        <v>1835</v>
      </c>
    </row>
    <row r="2529" spans="3:3" x14ac:dyDescent="0.25">
      <c r="C2529" s="15" t="s">
        <v>1836</v>
      </c>
    </row>
    <row r="2530" spans="3:3" x14ac:dyDescent="0.25">
      <c r="C2530" s="15" t="s">
        <v>1837</v>
      </c>
    </row>
    <row r="2531" spans="3:3" x14ac:dyDescent="0.25">
      <c r="C2531" s="15" t="s">
        <v>1838</v>
      </c>
    </row>
    <row r="2532" spans="3:3" x14ac:dyDescent="0.25">
      <c r="C2532" s="15" t="s">
        <v>1839</v>
      </c>
    </row>
    <row r="2533" spans="3:3" x14ac:dyDescent="0.25">
      <c r="C2533" s="15" t="s">
        <v>1840</v>
      </c>
    </row>
    <row r="2534" spans="3:3" x14ac:dyDescent="0.25">
      <c r="C2534" s="15" t="s">
        <v>1841</v>
      </c>
    </row>
    <row r="2535" spans="3:3" x14ac:dyDescent="0.25">
      <c r="C2535" s="15" t="s">
        <v>1842</v>
      </c>
    </row>
    <row r="2536" spans="3:3" x14ac:dyDescent="0.25">
      <c r="C2536" s="15" t="s">
        <v>1843</v>
      </c>
    </row>
    <row r="2537" spans="3:3" x14ac:dyDescent="0.25">
      <c r="C2537" s="15" t="s">
        <v>1844</v>
      </c>
    </row>
    <row r="2538" spans="3:3" x14ac:dyDescent="0.25">
      <c r="C2538" s="15" t="s">
        <v>1845</v>
      </c>
    </row>
    <row r="2539" spans="3:3" x14ac:dyDescent="0.25">
      <c r="C2539" s="15" t="s">
        <v>1846</v>
      </c>
    </row>
    <row r="2540" spans="3:3" x14ac:dyDescent="0.25">
      <c r="C2540" s="15" t="s">
        <v>1847</v>
      </c>
    </row>
    <row r="2541" spans="3:3" x14ac:dyDescent="0.25">
      <c r="C2541" s="15" t="s">
        <v>1848</v>
      </c>
    </row>
    <row r="2542" spans="3:3" x14ac:dyDescent="0.25">
      <c r="C2542" s="15" t="s">
        <v>1849</v>
      </c>
    </row>
    <row r="2543" spans="3:3" x14ac:dyDescent="0.25">
      <c r="C2543" s="15" t="s">
        <v>1850</v>
      </c>
    </row>
    <row r="2544" spans="3:3" x14ac:dyDescent="0.25">
      <c r="C2544" s="15" t="s">
        <v>1851</v>
      </c>
    </row>
    <row r="2545" spans="3:3" x14ac:dyDescent="0.25">
      <c r="C2545" s="15" t="s">
        <v>1852</v>
      </c>
    </row>
    <row r="2546" spans="3:3" x14ac:dyDescent="0.25">
      <c r="C2546" s="15" t="s">
        <v>1853</v>
      </c>
    </row>
    <row r="2547" spans="3:3" x14ac:dyDescent="0.25">
      <c r="C2547" s="15" t="s">
        <v>1854</v>
      </c>
    </row>
    <row r="2548" spans="3:3" x14ac:dyDescent="0.25">
      <c r="C2548" s="15" t="s">
        <v>1855</v>
      </c>
    </row>
    <row r="2549" spans="3:3" x14ac:dyDescent="0.25">
      <c r="C2549" s="15" t="s">
        <v>1856</v>
      </c>
    </row>
    <row r="2550" spans="3:3" x14ac:dyDescent="0.25">
      <c r="C2550" s="15" t="s">
        <v>1857</v>
      </c>
    </row>
    <row r="2551" spans="3:3" x14ac:dyDescent="0.25">
      <c r="C2551" s="15" t="s">
        <v>1858</v>
      </c>
    </row>
    <row r="2552" spans="3:3" x14ac:dyDescent="0.25">
      <c r="C2552" s="15" t="s">
        <v>1859</v>
      </c>
    </row>
    <row r="2553" spans="3:3" x14ac:dyDescent="0.25">
      <c r="C2553" s="15" t="s">
        <v>1860</v>
      </c>
    </row>
    <row r="2554" spans="3:3" x14ac:dyDescent="0.25">
      <c r="C2554" s="15" t="s">
        <v>1861</v>
      </c>
    </row>
    <row r="2555" spans="3:3" x14ac:dyDescent="0.25">
      <c r="C2555" s="15" t="s">
        <v>1862</v>
      </c>
    </row>
    <row r="2556" spans="3:3" x14ac:dyDescent="0.25">
      <c r="C2556" s="15" t="s">
        <v>1863</v>
      </c>
    </row>
    <row r="2557" spans="3:3" x14ac:dyDescent="0.25">
      <c r="C2557" s="15" t="s">
        <v>1864</v>
      </c>
    </row>
    <row r="2558" spans="3:3" x14ac:dyDescent="0.25">
      <c r="C2558" s="15" t="s">
        <v>1865</v>
      </c>
    </row>
    <row r="2559" spans="3:3" x14ac:dyDescent="0.25">
      <c r="C2559" s="15" t="s">
        <v>1866</v>
      </c>
    </row>
    <row r="2560" spans="3:3" x14ac:dyDescent="0.25">
      <c r="C2560" s="15" t="s">
        <v>1867</v>
      </c>
    </row>
    <row r="2561" spans="3:3" x14ac:dyDescent="0.25">
      <c r="C2561" s="15" t="s">
        <v>1868</v>
      </c>
    </row>
    <row r="2562" spans="3:3" x14ac:dyDescent="0.25">
      <c r="C2562" s="15" t="s">
        <v>1869</v>
      </c>
    </row>
    <row r="2563" spans="3:3" x14ac:dyDescent="0.25">
      <c r="C2563" s="15" t="s">
        <v>1870</v>
      </c>
    </row>
    <row r="2564" spans="3:3" x14ac:dyDescent="0.25">
      <c r="C2564" s="15" t="s">
        <v>1871</v>
      </c>
    </row>
    <row r="2565" spans="3:3" x14ac:dyDescent="0.25">
      <c r="C2565" s="15" t="s">
        <v>1872</v>
      </c>
    </row>
    <row r="2566" spans="3:3" x14ac:dyDescent="0.25">
      <c r="C2566" s="15" t="s">
        <v>1873</v>
      </c>
    </row>
    <row r="2567" spans="3:3" x14ac:dyDescent="0.25">
      <c r="C2567" s="15" t="s">
        <v>1874</v>
      </c>
    </row>
    <row r="2568" spans="3:3" x14ac:dyDescent="0.25">
      <c r="C2568" s="15" t="s">
        <v>1875</v>
      </c>
    </row>
    <row r="2569" spans="3:3" x14ac:dyDescent="0.25">
      <c r="C2569" s="15" t="s">
        <v>1876</v>
      </c>
    </row>
    <row r="2570" spans="3:3" x14ac:dyDescent="0.25">
      <c r="C2570" s="15" t="s">
        <v>1877</v>
      </c>
    </row>
    <row r="2571" spans="3:3" x14ac:dyDescent="0.25">
      <c r="C2571" s="15" t="s">
        <v>1878</v>
      </c>
    </row>
    <row r="2572" spans="3:3" x14ac:dyDescent="0.25">
      <c r="C2572" s="15" t="s">
        <v>1879</v>
      </c>
    </row>
    <row r="2573" spans="3:3" x14ac:dyDescent="0.25">
      <c r="C2573" s="15" t="s">
        <v>1880</v>
      </c>
    </row>
    <row r="2574" spans="3:3" x14ac:dyDescent="0.25">
      <c r="C2574" s="15" t="s">
        <v>1881</v>
      </c>
    </row>
    <row r="2575" spans="3:3" x14ac:dyDescent="0.25">
      <c r="C2575" s="15" t="s">
        <v>1882</v>
      </c>
    </row>
    <row r="2576" spans="3:3" x14ac:dyDescent="0.25">
      <c r="C2576" s="15" t="s">
        <v>1883</v>
      </c>
    </row>
    <row r="2577" spans="3:3" x14ac:dyDescent="0.25">
      <c r="C2577" s="15" t="s">
        <v>1884</v>
      </c>
    </row>
    <row r="2578" spans="3:3" x14ac:dyDescent="0.25">
      <c r="C2578" s="15" t="s">
        <v>1885</v>
      </c>
    </row>
    <row r="2579" spans="3:3" x14ac:dyDescent="0.25">
      <c r="C2579" s="15" t="s">
        <v>1886</v>
      </c>
    </row>
    <row r="2580" spans="3:3" x14ac:dyDescent="0.25">
      <c r="C2580" s="15" t="s">
        <v>1887</v>
      </c>
    </row>
    <row r="2581" spans="3:3" x14ac:dyDescent="0.25">
      <c r="C2581" s="15" t="s">
        <v>1888</v>
      </c>
    </row>
    <row r="2582" spans="3:3" x14ac:dyDescent="0.25">
      <c r="C2582" s="15" t="s">
        <v>1889</v>
      </c>
    </row>
    <row r="2583" spans="3:3" x14ac:dyDescent="0.25">
      <c r="C2583" s="15" t="s">
        <v>1890</v>
      </c>
    </row>
    <row r="2584" spans="3:3" x14ac:dyDescent="0.25">
      <c r="C2584" s="15" t="s">
        <v>1891</v>
      </c>
    </row>
    <row r="2585" spans="3:3" x14ac:dyDescent="0.25">
      <c r="C2585" s="15" t="s">
        <v>1892</v>
      </c>
    </row>
    <row r="2586" spans="3:3" x14ac:dyDescent="0.25">
      <c r="C2586" s="15" t="s">
        <v>1893</v>
      </c>
    </row>
    <row r="2587" spans="3:3" x14ac:dyDescent="0.25">
      <c r="C2587" s="15" t="s">
        <v>1894</v>
      </c>
    </row>
    <row r="2588" spans="3:3" x14ac:dyDescent="0.25">
      <c r="C2588" s="15" t="s">
        <v>1895</v>
      </c>
    </row>
    <row r="2589" spans="3:3" x14ac:dyDescent="0.25">
      <c r="C2589" s="15" t="s">
        <v>1896</v>
      </c>
    </row>
    <row r="2590" spans="3:3" x14ac:dyDescent="0.25">
      <c r="C2590" s="15" t="s">
        <v>1897</v>
      </c>
    </row>
    <row r="2591" spans="3:3" x14ac:dyDescent="0.25">
      <c r="C2591" s="15" t="s">
        <v>1898</v>
      </c>
    </row>
    <row r="2592" spans="3:3" x14ac:dyDescent="0.25">
      <c r="C2592" s="15" t="s">
        <v>1899</v>
      </c>
    </row>
    <row r="2593" spans="3:3" x14ac:dyDescent="0.25">
      <c r="C2593" s="15" t="s">
        <v>1900</v>
      </c>
    </row>
    <row r="2594" spans="3:3" x14ac:dyDescent="0.25">
      <c r="C2594" s="15" t="s">
        <v>1901</v>
      </c>
    </row>
    <row r="2595" spans="3:3" x14ac:dyDescent="0.25">
      <c r="C2595" s="15" t="s">
        <v>1902</v>
      </c>
    </row>
    <row r="2596" spans="3:3" x14ac:dyDescent="0.25">
      <c r="C2596" s="15" t="s">
        <v>1903</v>
      </c>
    </row>
    <row r="2597" spans="3:3" x14ac:dyDescent="0.25">
      <c r="C2597" s="15" t="s">
        <v>1904</v>
      </c>
    </row>
    <row r="2598" spans="3:3" x14ac:dyDescent="0.25">
      <c r="C2598" s="15" t="s">
        <v>1905</v>
      </c>
    </row>
    <row r="2599" spans="3:3" x14ac:dyDescent="0.25">
      <c r="C2599" s="15" t="s">
        <v>1906</v>
      </c>
    </row>
    <row r="2600" spans="3:3" x14ac:dyDescent="0.25">
      <c r="C2600" s="15" t="s">
        <v>1907</v>
      </c>
    </row>
    <row r="2601" spans="3:3" x14ac:dyDescent="0.25">
      <c r="C2601" s="15" t="s">
        <v>1908</v>
      </c>
    </row>
    <row r="2602" spans="3:3" x14ac:dyDescent="0.25">
      <c r="C2602" s="15" t="s">
        <v>1909</v>
      </c>
    </row>
    <row r="2603" spans="3:3" x14ac:dyDescent="0.25">
      <c r="C2603" s="15" t="s">
        <v>1910</v>
      </c>
    </row>
    <row r="2604" spans="3:3" x14ac:dyDescent="0.25">
      <c r="C2604" s="15" t="s">
        <v>1911</v>
      </c>
    </row>
    <row r="2605" spans="3:3" x14ac:dyDescent="0.25">
      <c r="C2605" s="15" t="s">
        <v>1912</v>
      </c>
    </row>
    <row r="2606" spans="3:3" x14ac:dyDescent="0.25">
      <c r="C2606" s="15" t="s">
        <v>1913</v>
      </c>
    </row>
    <row r="2607" spans="3:3" x14ac:dyDescent="0.25">
      <c r="C2607" s="15" t="s">
        <v>1914</v>
      </c>
    </row>
    <row r="2608" spans="3:3" x14ac:dyDescent="0.25">
      <c r="C2608" s="15" t="s">
        <v>1915</v>
      </c>
    </row>
    <row r="2609" spans="3:3" x14ac:dyDescent="0.25">
      <c r="C2609" s="15" t="s">
        <v>1916</v>
      </c>
    </row>
    <row r="2610" spans="3:3" x14ac:dyDescent="0.25">
      <c r="C2610" s="15" t="s">
        <v>1917</v>
      </c>
    </row>
    <row r="2611" spans="3:3" x14ac:dyDescent="0.25">
      <c r="C2611" s="15" t="s">
        <v>1918</v>
      </c>
    </row>
    <row r="2612" spans="3:3" x14ac:dyDescent="0.25">
      <c r="C2612" s="15" t="s">
        <v>1919</v>
      </c>
    </row>
    <row r="2613" spans="3:3" x14ac:dyDescent="0.25">
      <c r="C2613" s="15" t="s">
        <v>1920</v>
      </c>
    </row>
    <row r="2614" spans="3:3" x14ac:dyDescent="0.25">
      <c r="C2614" s="15" t="s">
        <v>1921</v>
      </c>
    </row>
    <row r="2615" spans="3:3" x14ac:dyDescent="0.25">
      <c r="C2615" s="15" t="s">
        <v>1922</v>
      </c>
    </row>
    <row r="2616" spans="3:3" x14ac:dyDescent="0.25">
      <c r="C2616" s="15" t="s">
        <v>1923</v>
      </c>
    </row>
    <row r="2617" spans="3:3" x14ac:dyDescent="0.25">
      <c r="C2617" s="15" t="s">
        <v>1924</v>
      </c>
    </row>
    <row r="2618" spans="3:3" x14ac:dyDescent="0.25">
      <c r="C2618" s="15" t="s">
        <v>1925</v>
      </c>
    </row>
    <row r="2619" spans="3:3" x14ac:dyDescent="0.25">
      <c r="C2619" s="15" t="s">
        <v>1926</v>
      </c>
    </row>
    <row r="2620" spans="3:3" x14ac:dyDescent="0.25">
      <c r="C2620" s="15" t="s">
        <v>1927</v>
      </c>
    </row>
    <row r="2621" spans="3:3" x14ac:dyDescent="0.25">
      <c r="C2621" s="15" t="s">
        <v>1928</v>
      </c>
    </row>
    <row r="2622" spans="3:3" x14ac:dyDescent="0.25">
      <c r="C2622" s="15" t="s">
        <v>1929</v>
      </c>
    </row>
    <row r="2623" spans="3:3" x14ac:dyDescent="0.25">
      <c r="C2623" s="15" t="s">
        <v>1930</v>
      </c>
    </row>
    <row r="2624" spans="3:3" x14ac:dyDescent="0.25">
      <c r="C2624" s="15" t="s">
        <v>1931</v>
      </c>
    </row>
    <row r="2625" spans="3:3" x14ac:dyDescent="0.25">
      <c r="C2625" s="15" t="s">
        <v>1932</v>
      </c>
    </row>
    <row r="2626" spans="3:3" x14ac:dyDescent="0.25">
      <c r="C2626" s="15" t="s">
        <v>1933</v>
      </c>
    </row>
    <row r="2627" spans="3:3" x14ac:dyDescent="0.25">
      <c r="C2627" s="15" t="s">
        <v>1934</v>
      </c>
    </row>
    <row r="2628" spans="3:3" x14ac:dyDescent="0.25">
      <c r="C2628" s="15" t="s">
        <v>1935</v>
      </c>
    </row>
    <row r="2629" spans="3:3" x14ac:dyDescent="0.25">
      <c r="C2629" s="15" t="s">
        <v>1936</v>
      </c>
    </row>
    <row r="2630" spans="3:3" x14ac:dyDescent="0.25">
      <c r="C2630" s="15" t="s">
        <v>1937</v>
      </c>
    </row>
    <row r="2631" spans="3:3" x14ac:dyDescent="0.25">
      <c r="C2631" s="15" t="s">
        <v>1938</v>
      </c>
    </row>
    <row r="2632" spans="3:3" x14ac:dyDescent="0.25">
      <c r="C2632" s="15" t="s">
        <v>1939</v>
      </c>
    </row>
    <row r="2633" spans="3:3" x14ac:dyDescent="0.25">
      <c r="C2633" s="15" t="s">
        <v>340</v>
      </c>
    </row>
    <row r="2634" spans="3:3" x14ac:dyDescent="0.25">
      <c r="C2634" s="15" t="s">
        <v>1940</v>
      </c>
    </row>
    <row r="2635" spans="3:3" x14ac:dyDescent="0.25">
      <c r="C2635" s="15" t="s">
        <v>1941</v>
      </c>
    </row>
    <row r="2636" spans="3:3" x14ac:dyDescent="0.25">
      <c r="C2636" s="15" t="s">
        <v>1942</v>
      </c>
    </row>
    <row r="2637" spans="3:3" x14ac:dyDescent="0.25">
      <c r="C2637" s="15" t="s">
        <v>1943</v>
      </c>
    </row>
    <row r="2638" spans="3:3" x14ac:dyDescent="0.25">
      <c r="C2638" s="15" t="s">
        <v>1944</v>
      </c>
    </row>
    <row r="2639" spans="3:3" x14ac:dyDescent="0.25">
      <c r="C2639" s="15" t="s">
        <v>1945</v>
      </c>
    </row>
    <row r="2640" spans="3:3" x14ac:dyDescent="0.25">
      <c r="C2640" s="15" t="s">
        <v>1946</v>
      </c>
    </row>
    <row r="2641" spans="3:3" x14ac:dyDescent="0.25">
      <c r="C2641" s="15" t="s">
        <v>1947</v>
      </c>
    </row>
    <row r="2642" spans="3:3" x14ac:dyDescent="0.25">
      <c r="C2642" s="15" t="s">
        <v>1948</v>
      </c>
    </row>
    <row r="2643" spans="3:3" x14ac:dyDescent="0.25">
      <c r="C2643" s="15" t="s">
        <v>1949</v>
      </c>
    </row>
    <row r="2644" spans="3:3" x14ac:dyDescent="0.25">
      <c r="C2644" s="15" t="s">
        <v>1950</v>
      </c>
    </row>
    <row r="2645" spans="3:3" x14ac:dyDescent="0.25">
      <c r="C2645" s="15" t="s">
        <v>1951</v>
      </c>
    </row>
    <row r="2646" spans="3:3" x14ac:dyDescent="0.25">
      <c r="C2646" s="15" t="s">
        <v>1952</v>
      </c>
    </row>
    <row r="2647" spans="3:3" x14ac:dyDescent="0.25">
      <c r="C2647" s="15" t="s">
        <v>1953</v>
      </c>
    </row>
    <row r="2648" spans="3:3" x14ac:dyDescent="0.25">
      <c r="C2648" s="15" t="s">
        <v>1954</v>
      </c>
    </row>
    <row r="2649" spans="3:3" x14ac:dyDescent="0.25">
      <c r="C2649" s="15" t="s">
        <v>1955</v>
      </c>
    </row>
    <row r="2650" spans="3:3" x14ac:dyDescent="0.25">
      <c r="C2650" s="15" t="s">
        <v>1956</v>
      </c>
    </row>
    <row r="2651" spans="3:3" x14ac:dyDescent="0.25">
      <c r="C2651" s="15" t="s">
        <v>1957</v>
      </c>
    </row>
    <row r="2652" spans="3:3" x14ac:dyDescent="0.25">
      <c r="C2652" s="15" t="s">
        <v>1958</v>
      </c>
    </row>
    <row r="2653" spans="3:3" x14ac:dyDescent="0.25">
      <c r="C2653" s="15" t="s">
        <v>1959</v>
      </c>
    </row>
    <row r="2654" spans="3:3" x14ac:dyDescent="0.25">
      <c r="C2654" s="15" t="s">
        <v>1960</v>
      </c>
    </row>
    <row r="2655" spans="3:3" x14ac:dyDescent="0.25">
      <c r="C2655" s="15" t="s">
        <v>1961</v>
      </c>
    </row>
    <row r="2656" spans="3:3" x14ac:dyDescent="0.25">
      <c r="C2656" s="15" t="s">
        <v>1962</v>
      </c>
    </row>
    <row r="2657" spans="3:3" x14ac:dyDescent="0.25">
      <c r="C2657" s="15" t="s">
        <v>1963</v>
      </c>
    </row>
    <row r="2658" spans="3:3" x14ac:dyDescent="0.25">
      <c r="C2658" s="15" t="s">
        <v>1964</v>
      </c>
    </row>
    <row r="2659" spans="3:3" x14ac:dyDescent="0.25">
      <c r="C2659" s="15" t="s">
        <v>1965</v>
      </c>
    </row>
    <row r="2660" spans="3:3" x14ac:dyDescent="0.25">
      <c r="C2660" s="15" t="s">
        <v>1966</v>
      </c>
    </row>
    <row r="2661" spans="3:3" x14ac:dyDescent="0.25">
      <c r="C2661" s="15" t="s">
        <v>1967</v>
      </c>
    </row>
    <row r="2662" spans="3:3" x14ac:dyDescent="0.25">
      <c r="C2662" s="15" t="s">
        <v>1968</v>
      </c>
    </row>
    <row r="2663" spans="3:3" x14ac:dyDescent="0.25">
      <c r="C2663" s="15" t="s">
        <v>1969</v>
      </c>
    </row>
    <row r="2664" spans="3:3" x14ac:dyDescent="0.25">
      <c r="C2664" s="15" t="s">
        <v>1970</v>
      </c>
    </row>
    <row r="2665" spans="3:3" x14ac:dyDescent="0.25">
      <c r="C2665" s="15" t="s">
        <v>1971</v>
      </c>
    </row>
    <row r="2666" spans="3:3" x14ac:dyDescent="0.25">
      <c r="C2666" s="15" t="s">
        <v>1972</v>
      </c>
    </row>
    <row r="2667" spans="3:3" x14ac:dyDescent="0.25">
      <c r="C2667" s="15" t="s">
        <v>1973</v>
      </c>
    </row>
    <row r="2668" spans="3:3" x14ac:dyDescent="0.25">
      <c r="C2668" s="15" t="s">
        <v>1974</v>
      </c>
    </row>
    <row r="2669" spans="3:3" x14ac:dyDescent="0.25">
      <c r="C2669" s="15" t="s">
        <v>1975</v>
      </c>
    </row>
    <row r="2670" spans="3:3" x14ac:dyDescent="0.25">
      <c r="C2670" s="15" t="s">
        <v>1976</v>
      </c>
    </row>
    <row r="2671" spans="3:3" x14ac:dyDescent="0.25">
      <c r="C2671" s="15" t="s">
        <v>1977</v>
      </c>
    </row>
    <row r="2672" spans="3:3" x14ac:dyDescent="0.25">
      <c r="C2672" s="15" t="s">
        <v>1978</v>
      </c>
    </row>
    <row r="2673" spans="3:3" x14ac:dyDescent="0.25">
      <c r="C2673" s="15" t="s">
        <v>1979</v>
      </c>
    </row>
    <row r="2674" spans="3:3" x14ac:dyDescent="0.25">
      <c r="C2674" s="15" t="s">
        <v>1980</v>
      </c>
    </row>
    <row r="2675" spans="1:3" x14ac:dyDescent="0.25">
      <c r="A2675" s="15" t="s">
        <v>352</v>
      </c>
      <c r="B2675" s="15" t="s">
        <v>17</v>
      </c>
      <c r="C2675" s="15" t="s">
        <v>354</v>
      </c>
    </row>
    <row r="2676" spans="3:3" x14ac:dyDescent="0.25">
      <c r="C2676" s="15" t="s">
        <v>1981</v>
      </c>
    </row>
    <row r="2677" spans="1:3" x14ac:dyDescent="0.25">
      <c r="A2677" s="15" t="s">
        <v>1363</v>
      </c>
      <c r="B2677" s="15" t="s">
        <v>17</v>
      </c>
      <c r="C2677" s="15" t="s">
        <v>251</v>
      </c>
    </row>
    <row r="2678" spans="3:3" x14ac:dyDescent="0.25">
      <c r="C2678" s="15" t="s">
        <v>1728</v>
      </c>
    </row>
    <row r="2679" spans="1:3" x14ac:dyDescent="0.25">
      <c r="A2679" s="15" t="s">
        <v>2102</v>
      </c>
      <c r="B2679" s="15" t="s">
        <v>17</v>
      </c>
      <c r="C2679" s="15" t="s">
        <v>15</v>
      </c>
    </row>
    <row r="2680" spans="3:3" x14ac:dyDescent="0.25">
      <c r="C2680" s="15" t="s">
        <v>17</v>
      </c>
    </row>
    <row r="2681" spans="1:3" x14ac:dyDescent="0.25">
      <c r="A2681" s="15" t="s">
        <v>2103</v>
      </c>
      <c r="B2681" s="15" t="s">
        <v>17</v>
      </c>
      <c r="C2681" s="15" t="s">
        <v>15</v>
      </c>
    </row>
    <row r="2682" spans="3:3" x14ac:dyDescent="0.25">
      <c r="C2682" s="15" t="s">
        <v>17</v>
      </c>
    </row>
    <row r="2683" spans="1:3" x14ac:dyDescent="0.25">
      <c r="A2683" s="15" t="s">
        <v>2104</v>
      </c>
      <c r="B2683" s="15" t="s">
        <v>17</v>
      </c>
      <c r="C2683" s="15" t="s">
        <v>15</v>
      </c>
    </row>
    <row r="2684" spans="3:3" x14ac:dyDescent="0.25">
      <c r="C2684" s="15" t="s">
        <v>17</v>
      </c>
    </row>
    <row r="2685" spans="1:3" x14ac:dyDescent="0.25">
      <c r="A2685" s="15" t="s">
        <v>2105</v>
      </c>
      <c r="B2685" s="15" t="s">
        <v>17</v>
      </c>
      <c r="C2685" s="15" t="s">
        <v>1297</v>
      </c>
    </row>
    <row r="2686" spans="3:3" x14ac:dyDescent="0.25">
      <c r="C2686" s="15" t="s">
        <v>2049</v>
      </c>
    </row>
    <row r="2687" spans="3:3" x14ac:dyDescent="0.25">
      <c r="C2687" s="15" t="s">
        <v>2050</v>
      </c>
    </row>
    <row r="2688" spans="3:3" x14ac:dyDescent="0.25">
      <c r="C2688" s="15" t="s">
        <v>2051</v>
      </c>
    </row>
    <row r="2689" spans="1:3" x14ac:dyDescent="0.25">
      <c r="A2689" s="15" t="s">
        <v>2106</v>
      </c>
      <c r="B2689" s="15" t="s">
        <v>17</v>
      </c>
      <c r="C2689" s="15" t="s">
        <v>15</v>
      </c>
    </row>
    <row r="2690" spans="3:3" x14ac:dyDescent="0.25">
      <c r="C2690" s="15" t="s">
        <v>17</v>
      </c>
    </row>
    <row r="2691" spans="1:3" x14ac:dyDescent="0.25">
      <c r="A2691" s="15" t="s">
        <v>1356</v>
      </c>
      <c r="B2691" s="15" t="s">
        <v>17</v>
      </c>
      <c r="C2691" s="15" t="s">
        <v>762</v>
      </c>
    </row>
    <row r="2692" spans="3:3" x14ac:dyDescent="0.25">
      <c r="C2692" s="15" t="s">
        <v>2007</v>
      </c>
    </row>
    <row r="2693" spans="3:3" x14ac:dyDescent="0.25">
      <c r="C2693" s="15" t="s">
        <v>2008</v>
      </c>
    </row>
    <row r="2694" spans="3:3" x14ac:dyDescent="0.25">
      <c r="C2694" s="15" t="s">
        <v>2009</v>
      </c>
    </row>
    <row r="2695" spans="3:3" x14ac:dyDescent="0.25">
      <c r="C2695" s="15" t="s">
        <v>2010</v>
      </c>
    </row>
    <row r="2696" spans="3:3" x14ac:dyDescent="0.25">
      <c r="C2696" s="15" t="s">
        <v>2011</v>
      </c>
    </row>
    <row r="2697" spans="3:3" x14ac:dyDescent="0.25">
      <c r="C2697" s="15" t="s">
        <v>2012</v>
      </c>
    </row>
    <row r="2698" spans="3:3" x14ac:dyDescent="0.25">
      <c r="C2698" s="15" t="s">
        <v>2013</v>
      </c>
    </row>
    <row r="2699" spans="3:3" x14ac:dyDescent="0.25">
      <c r="C2699" s="15" t="s">
        <v>2014</v>
      </c>
    </row>
    <row r="2700" spans="3:3" x14ac:dyDescent="0.25">
      <c r="C2700" s="15" t="s">
        <v>2015</v>
      </c>
    </row>
    <row r="2701" spans="3:3" x14ac:dyDescent="0.25">
      <c r="C2701" s="15" t="s">
        <v>2016</v>
      </c>
    </row>
    <row r="2702" spans="3:3" x14ac:dyDescent="0.25">
      <c r="C2702" s="15" t="s">
        <v>2017</v>
      </c>
    </row>
    <row r="2703" spans="3:3" x14ac:dyDescent="0.25">
      <c r="C2703" s="15" t="s">
        <v>2018</v>
      </c>
    </row>
    <row r="2704" spans="3:3" x14ac:dyDescent="0.25">
      <c r="C2704" s="15" t="s">
        <v>2019</v>
      </c>
    </row>
    <row r="2705" spans="3:3" x14ac:dyDescent="0.25">
      <c r="C2705" s="15" t="s">
        <v>2020</v>
      </c>
    </row>
    <row r="2706" spans="3:3" x14ac:dyDescent="0.25">
      <c r="C2706" s="15" t="s">
        <v>2021</v>
      </c>
    </row>
    <row r="2707" spans="1:3" x14ac:dyDescent="0.25">
      <c r="A2707" s="15" t="s">
        <v>826</v>
      </c>
      <c r="B2707" s="15" t="s">
        <v>17</v>
      </c>
      <c r="C2707" s="15" t="s">
        <v>15</v>
      </c>
    </row>
    <row r="2708" spans="3:3" x14ac:dyDescent="0.25">
      <c r="C2708" s="15" t="s">
        <v>17</v>
      </c>
    </row>
    <row r="2709" spans="1:3" x14ac:dyDescent="0.25">
      <c r="A2709" s="15" t="s">
        <v>734</v>
      </c>
      <c r="B2709" s="15" t="s">
        <v>17</v>
      </c>
      <c r="C2709" s="15" t="s">
        <v>736</v>
      </c>
    </row>
    <row r="2710" spans="3:3" x14ac:dyDescent="0.25">
      <c r="C2710" s="15" t="s">
        <v>2001</v>
      </c>
    </row>
    <row r="2711" spans="1:3" x14ac:dyDescent="0.25">
      <c r="A2711" s="15" t="s">
        <v>742</v>
      </c>
      <c r="B2711" s="15" t="s">
        <v>17</v>
      </c>
      <c r="C2711" s="15" t="s">
        <v>744</v>
      </c>
    </row>
    <row r="2712" spans="3:3" x14ac:dyDescent="0.25">
      <c r="C2712" s="15" t="s">
        <v>2002</v>
      </c>
    </row>
    <row r="2713" spans="3:3" x14ac:dyDescent="0.25">
      <c r="C2713" s="15" t="s">
        <v>2003</v>
      </c>
    </row>
    <row r="2714" spans="3:3" x14ac:dyDescent="0.25">
      <c r="C2714" s="15" t="s">
        <v>2004</v>
      </c>
    </row>
    <row r="2715" spans="1:3" x14ac:dyDescent="0.25">
      <c r="A2715" s="15" t="s">
        <v>749</v>
      </c>
      <c r="B2715" s="15" t="s">
        <v>17</v>
      </c>
      <c r="C2715" s="15" t="s">
        <v>751</v>
      </c>
    </row>
    <row r="2716" spans="3:3" x14ac:dyDescent="0.25">
      <c r="C2716" s="15" t="s">
        <v>2005</v>
      </c>
    </row>
    <row r="2717" spans="3:3" x14ac:dyDescent="0.25">
      <c r="C2717" s="15" t="s">
        <v>2006</v>
      </c>
    </row>
    <row r="2718" spans="1:3" x14ac:dyDescent="0.25">
      <c r="A2718" s="15" t="s">
        <v>760</v>
      </c>
      <c r="B2718" s="15" t="s">
        <v>17</v>
      </c>
      <c r="C2718" s="15" t="s">
        <v>762</v>
      </c>
    </row>
    <row r="2719" spans="3:3" x14ac:dyDescent="0.25">
      <c r="C2719" s="15" t="s">
        <v>2007</v>
      </c>
    </row>
    <row r="2720" spans="3:3" x14ac:dyDescent="0.25">
      <c r="C2720" s="15" t="s">
        <v>2008</v>
      </c>
    </row>
    <row r="2721" spans="3:3" x14ac:dyDescent="0.25">
      <c r="C2721" s="15" t="s">
        <v>2009</v>
      </c>
    </row>
    <row r="2722" spans="3:3" x14ac:dyDescent="0.25">
      <c r="C2722" s="15" t="s">
        <v>2010</v>
      </c>
    </row>
    <row r="2723" spans="3:3" x14ac:dyDescent="0.25">
      <c r="C2723" s="15" t="s">
        <v>2011</v>
      </c>
    </row>
    <row r="2724" spans="3:3" x14ac:dyDescent="0.25">
      <c r="C2724" s="15" t="s">
        <v>2012</v>
      </c>
    </row>
    <row r="2725" spans="3:3" x14ac:dyDescent="0.25">
      <c r="C2725" s="15" t="s">
        <v>2013</v>
      </c>
    </row>
    <row r="2726" spans="3:3" x14ac:dyDescent="0.25">
      <c r="C2726" s="15" t="s">
        <v>2014</v>
      </c>
    </row>
    <row r="2727" spans="3:3" x14ac:dyDescent="0.25">
      <c r="C2727" s="15" t="s">
        <v>2015</v>
      </c>
    </row>
    <row r="2728" spans="3:3" x14ac:dyDescent="0.25">
      <c r="C2728" s="15" t="s">
        <v>2016</v>
      </c>
    </row>
    <row r="2729" spans="3:3" x14ac:dyDescent="0.25">
      <c r="C2729" s="15" t="s">
        <v>2017</v>
      </c>
    </row>
    <row r="2730" spans="3:3" x14ac:dyDescent="0.25">
      <c r="C2730" s="15" t="s">
        <v>2018</v>
      </c>
    </row>
    <row r="2731" spans="3:3" x14ac:dyDescent="0.25">
      <c r="C2731" s="15" t="s">
        <v>2019</v>
      </c>
    </row>
    <row r="2732" spans="3:3" x14ac:dyDescent="0.25">
      <c r="C2732" s="15" t="s">
        <v>2020</v>
      </c>
    </row>
    <row r="2733" spans="3:3" x14ac:dyDescent="0.25">
      <c r="C2733" s="15" t="s">
        <v>2021</v>
      </c>
    </row>
    <row r="2734" spans="1:3" x14ac:dyDescent="0.25">
      <c r="A2734" s="15" t="s">
        <v>233</v>
      </c>
      <c r="B2734" s="15" t="s">
        <v>17</v>
      </c>
      <c r="C2734" s="15" t="s">
        <v>234</v>
      </c>
    </row>
    <row r="2735" spans="3:3" x14ac:dyDescent="0.25">
      <c r="C2735" s="15" t="s">
        <v>1718</v>
      </c>
    </row>
    <row r="2736" spans="1:3" x14ac:dyDescent="0.25">
      <c r="A2736" s="15" t="s">
        <v>237</v>
      </c>
      <c r="B2736" s="15" t="s">
        <v>17</v>
      </c>
      <c r="C2736" s="15" t="s">
        <v>238</v>
      </c>
    </row>
    <row r="2737" spans="3:3" x14ac:dyDescent="0.25">
      <c r="C2737" s="15" t="s">
        <v>1719</v>
      </c>
    </row>
    <row r="2738" spans="3:3" x14ac:dyDescent="0.25">
      <c r="C2738" s="15" t="s">
        <v>1720</v>
      </c>
    </row>
    <row r="2739" spans="3:3" x14ac:dyDescent="0.25">
      <c r="C2739" s="15" t="s">
        <v>1721</v>
      </c>
    </row>
    <row r="2740" spans="3:3" x14ac:dyDescent="0.25">
      <c r="C2740" s="15" t="s">
        <v>1722</v>
      </c>
    </row>
    <row r="2741" spans="3:3" x14ac:dyDescent="0.25">
      <c r="C2741" s="15" t="s">
        <v>1723</v>
      </c>
    </row>
    <row r="2742" spans="3:3" x14ac:dyDescent="0.25">
      <c r="C2742" s="15" t="s">
        <v>1724</v>
      </c>
    </row>
    <row r="2743" spans="1:3" x14ac:dyDescent="0.25">
      <c r="A2743" s="15" t="s">
        <v>244</v>
      </c>
      <c r="B2743" s="15" t="s">
        <v>17</v>
      </c>
      <c r="C2743" s="15" t="s">
        <v>245</v>
      </c>
    </row>
    <row r="2744" spans="3:3" x14ac:dyDescent="0.25">
      <c r="C2744" s="15" t="s">
        <v>1726</v>
      </c>
    </row>
    <row r="2745" spans="3:3" x14ac:dyDescent="0.25">
      <c r="C2745" s="15" t="s">
        <v>1727</v>
      </c>
    </row>
    <row r="2746" spans="3:3" x14ac:dyDescent="0.25">
      <c r="C2746" s="15" t="s">
        <v>1724</v>
      </c>
    </row>
    <row r="2747" spans="1:3" x14ac:dyDescent="0.25">
      <c r="A2747" s="15" t="s">
        <v>1295</v>
      </c>
      <c r="B2747" s="15" t="s">
        <v>17</v>
      </c>
      <c r="C2747" s="15" t="s">
        <v>1297</v>
      </c>
    </row>
    <row r="2748" spans="3:3" x14ac:dyDescent="0.25">
      <c r="C2748" s="15" t="s">
        <v>2049</v>
      </c>
    </row>
    <row r="2749" spans="3:3" x14ac:dyDescent="0.25">
      <c r="C2749" s="15" t="s">
        <v>2050</v>
      </c>
    </row>
    <row r="2750" spans="3:3" x14ac:dyDescent="0.25">
      <c r="C2750" s="15" t="s">
        <v>2051</v>
      </c>
    </row>
    <row r="2751" spans="1:3" x14ac:dyDescent="0.25">
      <c r="A2751" s="15" t="s">
        <v>529</v>
      </c>
      <c r="B2751" s="15" t="s">
        <v>17</v>
      </c>
      <c r="C2751" s="15" t="s">
        <v>251</v>
      </c>
    </row>
    <row r="2752" spans="3:3" x14ac:dyDescent="0.25">
      <c r="C2752" s="15" t="s">
        <v>1728</v>
      </c>
    </row>
    <row r="2753" spans="1:3" x14ac:dyDescent="0.25">
      <c r="A2753" s="15" t="s">
        <v>601</v>
      </c>
      <c r="B2753" s="15" t="s">
        <v>17</v>
      </c>
      <c r="C2753" s="15" t="s">
        <v>251</v>
      </c>
    </row>
    <row r="2754" spans="3:3" x14ac:dyDescent="0.25">
      <c r="C2754" s="15" t="s">
        <v>1728</v>
      </c>
    </row>
    <row r="2755" spans="1:3" x14ac:dyDescent="0.25">
      <c r="A2755" s="15" t="s">
        <v>2107</v>
      </c>
      <c r="B2755" s="15" t="s">
        <v>17</v>
      </c>
      <c r="C2755" s="15" t="s">
        <v>251</v>
      </c>
    </row>
    <row r="2756" spans="3:3" x14ac:dyDescent="0.25">
      <c r="C2756" s="15" t="s">
        <v>1728</v>
      </c>
    </row>
    <row r="2757" spans="1:3" x14ac:dyDescent="0.25">
      <c r="A2757" s="15" t="s">
        <v>2108</v>
      </c>
      <c r="B2757" s="15" t="s">
        <v>17</v>
      </c>
      <c r="C2757" s="15" t="s">
        <v>677</v>
      </c>
    </row>
    <row r="2758" spans="3:3" x14ac:dyDescent="0.25">
      <c r="C2758" s="15" t="s">
        <v>685</v>
      </c>
    </row>
    <row r="2759" spans="1:3" x14ac:dyDescent="0.25">
      <c r="A2759" s="15" t="s">
        <v>659</v>
      </c>
      <c r="B2759" s="15" t="s">
        <v>17</v>
      </c>
      <c r="C2759" s="15" t="s">
        <v>251</v>
      </c>
    </row>
    <row r="2760" spans="3:3" x14ac:dyDescent="0.25">
      <c r="C2760" s="15" t="s">
        <v>1728</v>
      </c>
    </row>
    <row r="2761" spans="1:3" x14ac:dyDescent="0.25">
      <c r="A2761" s="15" t="s">
        <v>675</v>
      </c>
      <c r="B2761" s="15" t="s">
        <v>17</v>
      </c>
      <c r="C2761" s="15" t="s">
        <v>677</v>
      </c>
    </row>
    <row r="2762" spans="3:3" x14ac:dyDescent="0.25">
      <c r="C2762" s="15" t="s">
        <v>685</v>
      </c>
    </row>
    <row r="2763" spans="1:3" x14ac:dyDescent="0.25">
      <c r="A2763" s="15" t="s">
        <v>720</v>
      </c>
      <c r="B2763" s="15" t="s">
        <v>17</v>
      </c>
      <c r="C2763" s="15" t="s">
        <v>722</v>
      </c>
    </row>
    <row r="2764" spans="3:3" x14ac:dyDescent="0.25">
      <c r="C2764" s="15" t="s">
        <v>1986</v>
      </c>
    </row>
    <row r="2765" spans="3:3" x14ac:dyDescent="0.25">
      <c r="C2765" s="15" t="s">
        <v>1987</v>
      </c>
    </row>
    <row r="2766" spans="3:3" x14ac:dyDescent="0.25">
      <c r="C2766" s="15" t="s">
        <v>1988</v>
      </c>
    </row>
    <row r="2767" spans="3:3" x14ac:dyDescent="0.25">
      <c r="C2767" s="15" t="s">
        <v>1989</v>
      </c>
    </row>
    <row r="2768" spans="3:3" x14ac:dyDescent="0.25">
      <c r="C2768" s="15" t="s">
        <v>1990</v>
      </c>
    </row>
    <row r="2769" spans="3:3" x14ac:dyDescent="0.25">
      <c r="C2769" s="15" t="s">
        <v>1991</v>
      </c>
    </row>
    <row r="2770" spans="3:3" x14ac:dyDescent="0.25">
      <c r="C2770" s="15" t="s">
        <v>1992</v>
      </c>
    </row>
    <row r="2771" spans="3:3" x14ac:dyDescent="0.25">
      <c r="C2771" s="15" t="s">
        <v>1993</v>
      </c>
    </row>
    <row r="2772" spans="3:3" x14ac:dyDescent="0.25">
      <c r="C2772" s="15" t="s">
        <v>1994</v>
      </c>
    </row>
    <row r="2773" spans="3:3" x14ac:dyDescent="0.25">
      <c r="C2773" s="15" t="s">
        <v>1995</v>
      </c>
    </row>
    <row r="2774" spans="3:3" x14ac:dyDescent="0.25">
      <c r="C2774" s="15" t="s">
        <v>1996</v>
      </c>
    </row>
    <row r="2775" spans="3:3" x14ac:dyDescent="0.25">
      <c r="C2775" s="15" t="s">
        <v>1997</v>
      </c>
    </row>
    <row r="2776" spans="3:3" x14ac:dyDescent="0.25">
      <c r="C2776" s="15" t="s">
        <v>1998</v>
      </c>
    </row>
    <row r="2777" spans="3:3" x14ac:dyDescent="0.25">
      <c r="C2777" s="15" t="s">
        <v>1999</v>
      </c>
    </row>
    <row r="2778" spans="3:3" x14ac:dyDescent="0.25">
      <c r="C2778" s="15" t="s">
        <v>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122</vt:i4>
      </vt:variant>
    </vt:vector>
  </HeadingPairs>
  <TitlesOfParts>
    <vt:vector size="122" baseType="lpstr">
      <vt:lpstr>GS MERSDW Verification Report</vt:lpstr>
      <vt:lpstr>GS MERSDW Activity Developer O</vt:lpstr>
      <vt:lpstr>GS MERSDW Monitoring Report</vt:lpstr>
      <vt:lpstr>GS MERSDW Validation Report</vt:lpstr>
      <vt:lpstr>GS MERSDW Project Design Docum</vt:lpstr>
      <vt:lpstr>GS MERSDW VVB Onboarding Schem</vt:lpstr>
      <vt:lpstr>GS MERSDW Project Form</vt:lpstr>
      <vt:lpstr>Data and Parameters to Be Moni</vt:lpstr>
      <vt:lpstr>Stove Details Unit Schema</vt:lpstr>
      <vt:lpstr>Country</vt:lpstr>
      <vt:lpstr>Additional Information</vt:lpstr>
      <vt:lpstr>Technology Eligibility Validat</vt:lpstr>
      <vt:lpstr>Monitoring report Basic Inform</vt:lpstr>
      <vt:lpstr>Basic Information</vt:lpstr>
      <vt:lpstr>Baseline Scenario - Sources</vt:lpstr>
      <vt:lpstr>Monitoring Data Management Sys</vt:lpstr>
      <vt:lpstr>Verified Emissions</vt:lpstr>
      <vt:lpstr>Project Resource</vt:lpstr>
      <vt:lpstr>Project Crediting Period</vt:lpstr>
      <vt:lpstr>Water Treatment Technology</vt:lpstr>
      <vt:lpstr>Description of Monitoring Syst</vt:lpstr>
      <vt:lpstr>Monitoring Verification</vt:lpstr>
      <vt:lpstr>Baseline Water Sources</vt:lpstr>
      <vt:lpstr>Implementation of Project Acti</vt:lpstr>
      <vt:lpstr>Emission by fuel</vt:lpstr>
      <vt:lpstr>Replacement Strategy Details</vt:lpstr>
      <vt:lpstr>SDG Co-Benefits</vt:lpstr>
      <vt:lpstr>Entity Information</vt:lpstr>
      <vt:lpstr>Calculation of Emission Reduct</vt:lpstr>
      <vt:lpstr>Baseline Emission</vt:lpstr>
      <vt:lpstr>Reversal Occurred</vt:lpstr>
      <vt:lpstr>Methodologies and Standardized</vt:lpstr>
      <vt:lpstr>Project Crediting Period 2</vt:lpstr>
      <vt:lpstr>Description of Monitoring S 2</vt:lpstr>
      <vt:lpstr>Description of Monitoring S 3</vt:lpstr>
      <vt:lpstr>Means of Verification</vt:lpstr>
      <vt:lpstr>If the Project Installation is</vt:lpstr>
      <vt:lpstr>Certification Statement</vt:lpstr>
      <vt:lpstr>Project Related Information</vt:lpstr>
      <vt:lpstr>Project Crediting Period Detai</vt:lpstr>
      <vt:lpstr>Country 2</vt:lpstr>
      <vt:lpstr>Activity Emission</vt:lpstr>
      <vt:lpstr>Project Water Supply Premises</vt:lpstr>
      <vt:lpstr>GHG Details</vt:lpstr>
      <vt:lpstr>Sustainable Development Goals</vt:lpstr>
      <vt:lpstr>Leakage Emissions - Sources</vt:lpstr>
      <vt:lpstr>Treatment Technology Sub-type</vt:lpstr>
      <vt:lpstr>Project Scenario - Sources</vt:lpstr>
      <vt:lpstr>Upload Supporting Compliance D</vt:lpstr>
      <vt:lpstr>Methodologies and Standardi 2</vt:lpstr>
      <vt:lpstr>Monitoring Parameter - Item</vt:lpstr>
      <vt:lpstr>Maintenance Plan for CWTCWS</vt:lpstr>
      <vt:lpstr>Description of Monitoring S 4</vt:lpstr>
      <vt:lpstr>Sustainable Development Goa 2</vt:lpstr>
      <vt:lpstr>Project Location Details</vt:lpstr>
      <vt:lpstr>Fraction of non-renewable biom</vt:lpstr>
      <vt:lpstr>Estimated Net Emission Reducti</vt:lpstr>
      <vt:lpstr>Treatment Technology Sub-ty 2</vt:lpstr>
      <vt:lpstr>Contact Person Details</vt:lpstr>
      <vt:lpstr>Description of Monitoring S 5</vt:lpstr>
      <vt:lpstr>Meeting Methodological Princip</vt:lpstr>
      <vt:lpstr>Contribution of the Project to</vt:lpstr>
      <vt:lpstr>Basic Details</vt:lpstr>
      <vt:lpstr>Sustainable Development Goa 3</vt:lpstr>
      <vt:lpstr>Ex Ante Estimation of SDG Impa</vt:lpstr>
      <vt:lpstr>Water Source Type Details</vt:lpstr>
      <vt:lpstr>Location Based Details</vt:lpstr>
      <vt:lpstr>Source</vt:lpstr>
      <vt:lpstr>Project Location Details 2</vt:lpstr>
      <vt:lpstr>Technology-Specific Details</vt:lpstr>
      <vt:lpstr>Emission by Electricity</vt:lpstr>
      <vt:lpstr>Data and parameters fixed ex a</vt:lpstr>
      <vt:lpstr>Monitoring Plan Validation</vt:lpstr>
      <vt:lpstr>Project Details - Project Name</vt:lpstr>
      <vt:lpstr>Yes or no with comments</vt:lpstr>
      <vt:lpstr>Baseline Treatment Method - Wr</vt:lpstr>
      <vt:lpstr>Baseline Assessment Validation</vt:lpstr>
      <vt:lpstr>Project Boundary and Additiona</vt:lpstr>
      <vt:lpstr>Project Boundary Validation</vt:lpstr>
      <vt:lpstr>Baseline Water Sources - Wrapp</vt:lpstr>
      <vt:lpstr>Activity Developer Details</vt:lpstr>
      <vt:lpstr>Project Participants</vt:lpstr>
      <vt:lpstr>Monitoring Plan Summary</vt:lpstr>
      <vt:lpstr>Description of Monitoring S 6</vt:lpstr>
      <vt:lpstr>Additionality Validation</vt:lpstr>
      <vt:lpstr>Activity Developer Details 2</vt:lpstr>
      <vt:lpstr>Project Details</vt:lpstr>
      <vt:lpstr>Baseline Treatment Method - It</vt:lpstr>
      <vt:lpstr>Host Country Regulatory Framew</vt:lpstr>
      <vt:lpstr>Treatment Technology Sub-ty 3</vt:lpstr>
      <vt:lpstr>Suppressed Demand</vt:lpstr>
      <vt:lpstr>Demonstration Additionality</vt:lpstr>
      <vt:lpstr>Maintenance and Operation Plan</vt:lpstr>
      <vt:lpstr>Hygiene Campaign Plan</vt:lpstr>
      <vt:lpstr>Stove Details - Item</vt:lpstr>
      <vt:lpstr>Stove Details - Wrapper</vt:lpstr>
      <vt:lpstr>Unadjusted Quantity of Safe Dr</vt:lpstr>
      <vt:lpstr>Project Water Supply Premis 2</vt:lpstr>
      <vt:lpstr>Project Water Supply Premis 3</vt:lpstr>
      <vt:lpstr>Project Water Supply Premis 4</vt:lpstr>
      <vt:lpstr>Unadjusted Quantity of Safe 2</vt:lpstr>
      <vt:lpstr>Unadjusted Quantity of Safe 3</vt:lpstr>
      <vt:lpstr>Unadjusted Baseline Emission</vt:lpstr>
      <vt:lpstr>Adjustment for behavior and Co</vt:lpstr>
      <vt:lpstr>Adjusted quantity of safe drin</vt:lpstr>
      <vt:lpstr>Adjusted quantity of safe d 2</vt:lpstr>
      <vt:lpstr>Adjustment for ambition</vt:lpstr>
      <vt:lpstr>Embodied Emissions</vt:lpstr>
      <vt:lpstr>Deductions for Embodied Emissi</vt:lpstr>
      <vt:lpstr>Market and Behavioral Leakage</vt:lpstr>
      <vt:lpstr>Option 1 – Default 2% deductio</vt:lpstr>
      <vt:lpstr>Option 3 - Detailed assessment</vt:lpstr>
      <vt:lpstr>Leakage Emission Source Detail</vt:lpstr>
      <vt:lpstr>Leakage Emission Calculation</vt:lpstr>
      <vt:lpstr>Baseline Treatment Method - 2</vt:lpstr>
      <vt:lpstr>Water Source Details Percentag</vt:lpstr>
      <vt:lpstr>Stove Details - Item with Loca</vt:lpstr>
      <vt:lpstr>SDG Co-Benefits - Wrapper</vt:lpstr>
      <vt:lpstr>Data and Parameters to Be M 2</vt:lpstr>
      <vt:lpstr>Duration</vt:lpstr>
      <vt:lpstr>Monitoring Period</vt:lpstr>
      <vt:lpstr>Enums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2026-07-10T07:01:01Z</dcterms:created>
  <dcterms:modified xsi:type="dcterms:W3CDTF">2026-07-10T07:01:01Z</dcterms:modified>
</cp:coreProperties>
</file>