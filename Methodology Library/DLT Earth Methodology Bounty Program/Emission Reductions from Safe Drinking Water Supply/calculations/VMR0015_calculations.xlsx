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missionFactors" sheetId="2" state="visible" r:id="rId4"/>
    <sheet name="Baseline" sheetId="3" state="visible" r:id="rId5"/>
    <sheet name="Project" sheetId="4" state="visible" r:id="rId6"/>
    <sheet name="Leakage" sheetId="5" state="visible" r:id="rId7"/>
    <sheet name="ER_NetCalc" sheetId="6" state="visible" r:id="rId8"/>
    <sheet name="WorkedExample" sheetId="7" state="visible" r:id="rId9"/>
    <sheet name="PolicyMappin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<sst xmlns="http://schemas.openxmlformats.org/spreadsheetml/2006/main" count="298" uniqueCount="229">
  <si>
    <t xml:space="preserve">VMR0015 Calculation Workbook</t>
  </si>
  <si>
    <t xml:space="preserve">AMS-III.AV — Low GHG-emitting safe drinking water production</t>
  </si>
  <si>
    <t xml:space="preserve">Methodology</t>
  </si>
  <si>
    <t xml:space="preserve">AMS-III.AV (CDM small-scale), as adopted by Verra under VCS</t>
  </si>
  <si>
    <t xml:space="preserve">Policy ID</t>
  </si>
  <si>
    <t xml:space="preserve">69fa5c34bafe0836d93bcde0</t>
  </si>
  <si>
    <t xml:space="preserve">Policy version</t>
  </si>
  <si>
    <t xml:space="preserve">1.0.0</t>
  </si>
  <si>
    <t xml:space="preserve">Hedera topic</t>
  </si>
  <si>
    <t xml:space="preserve">0.0.8865880</t>
  </si>
  <si>
    <t xml:space="preserve">IPFS policy</t>
  </si>
  <si>
    <t xml:space="preserve">QmUebQeBdFVhfZA2xpmzKESxQkWGCawBw7tjVe6f5kM2wN</t>
  </si>
  <si>
    <t xml:space="preserve">Token</t>
  </si>
  <si>
    <t xml:space="preserve">0.0.8865898 (CER, fungible, decimals=2)</t>
  </si>
  <si>
    <t xml:space="preserve">Sheet</t>
  </si>
  <si>
    <t xml:space="preserve">Purpose</t>
  </si>
  <si>
    <t xml:space="preserve">EmissionFactors</t>
  </si>
  <si>
    <t xml:space="preserve">Full numerical walk-through for a 200-household solar-augmented pilot, 1 year</t>
  </si>
  <si>
    <t xml:space="preserve">Baseline</t>
  </si>
  <si>
    <t xml:space="preserve">Baseline emissions (woody biomass + fossil fuel) — pre-project water boiling</t>
  </si>
  <si>
    <t xml:space="preserve">Project</t>
  </si>
  <si>
    <t xml:space="preserve">Project emissions — energy + transport + leakage from sub-systems</t>
  </si>
  <si>
    <t xml:space="preserve">Leakage</t>
  </si>
  <si>
    <t xml:space="preserve">Leakage emissions (woody biomass displacement, fossil fuel)</t>
  </si>
  <si>
    <t xml:space="preserve">ER_NetCalc</t>
  </si>
  <si>
    <t xml:space="preserve">Net Emission Reductions = BE − PE − LE (with uncertainty discount)</t>
  </si>
  <si>
    <t xml:space="preserve">WorkedExample</t>
  </si>
  <si>
    <t xml:space="preserve">Full numerical walk-through for a 100-household pilot site, 1 year</t>
  </si>
  <si>
    <t xml:space="preserve">PolicyMapping</t>
  </si>
  <si>
    <t xml:space="preserve">Mapping each cell to the customLogicBlock fields in the published policy</t>
  </si>
  <si>
    <t xml:space="preserve">Emission Factors (Defaults)</t>
  </si>
  <si>
    <t xml:space="preserve">Sources: IPCC 2006 Vol.2 Ch.2 stationary combustion; CDM tool 33; AMS-III.AV §B.6</t>
  </si>
  <si>
    <t xml:space="preserve">Parameter</t>
  </si>
  <si>
    <t xml:space="preserve">Symbol</t>
  </si>
  <si>
    <t xml:space="preserve">Value</t>
  </si>
  <si>
    <t xml:space="preserve">Unit</t>
  </si>
  <si>
    <t xml:space="preserve">Source</t>
  </si>
  <si>
    <t xml:space="preserve">Net calorific value of woody biomass</t>
  </si>
  <si>
    <t xml:space="preserve">NCV_wood</t>
  </si>
  <si>
    <t xml:space="preserve">TJ/tonne</t>
  </si>
  <si>
    <t xml:space="preserve">IPCC 2006 Vol.2 Tab 1.2</t>
  </si>
  <si>
    <t xml:space="preserve">CO2 emission factor — non-renewable biomass</t>
  </si>
  <si>
    <t xml:space="preserve">EF_NRB</t>
  </si>
  <si>
    <t xml:space="preserve">tCO2/TJ</t>
  </si>
  <si>
    <t xml:space="preserve">IPCC 2006 Vol.2 Tab 1.4</t>
  </si>
  <si>
    <t xml:space="preserve">Fraction of non-renewable biomass (default)</t>
  </si>
  <si>
    <t xml:space="preserve">f_NRB</t>
  </si>
  <si>
    <t xml:space="preserve">fraction</t>
  </si>
  <si>
    <t xml:space="preserve">AMS-III.AV §B.6 default</t>
  </si>
  <si>
    <t xml:space="preserve">CO2 emission factor — diesel</t>
  </si>
  <si>
    <t xml:space="preserve">EF_diesel</t>
  </si>
  <si>
    <t xml:space="preserve">NCV diesel</t>
  </si>
  <si>
    <t xml:space="preserve">NCV_diesel</t>
  </si>
  <si>
    <t xml:space="preserve">IPCC 2006 Vol.2</t>
  </si>
  <si>
    <t xml:space="preserve">CO2 emission factor — LPG</t>
  </si>
  <si>
    <t xml:space="preserve">EF_LPG</t>
  </si>
  <si>
    <t xml:space="preserve">CO2 emission factor — grid electricity (IN)</t>
  </si>
  <si>
    <t xml:space="preserve">EF_grid</t>
  </si>
  <si>
    <t xml:space="preserve">tCO2/MWh</t>
  </si>
  <si>
    <t xml:space="preserve">CEA India 2023 baseline DB</t>
  </si>
  <si>
    <t xml:space="preserve">Specific water boiling energy</t>
  </si>
  <si>
    <t xml:space="preserve">E_boil</t>
  </si>
  <si>
    <t xml:space="preserve">MJ/L</t>
  </si>
  <si>
    <t xml:space="preserve">Daily water need per person</t>
  </si>
  <si>
    <t xml:space="preserve">Q_pp</t>
  </si>
  <si>
    <t xml:space="preserve">L/person/day</t>
  </si>
  <si>
    <t xml:space="preserve">WHO domestic water</t>
  </si>
  <si>
    <t xml:space="preserve">Days per year</t>
  </si>
  <si>
    <t xml:space="preserve">days_yr</t>
  </si>
  <si>
    <t xml:space="preserve">days</t>
  </si>
  <si>
    <t xml:space="preserve">—</t>
  </si>
  <si>
    <t xml:space="preserve">Uncertainty discount — measured flow</t>
  </si>
  <si>
    <t xml:space="preserve">u_meas</t>
  </si>
  <si>
    <t xml:space="preserve">AMS-III.AV §B.7.4</t>
  </si>
  <si>
    <t xml:space="preserve">Uncertainty discount — default values</t>
  </si>
  <si>
    <t xml:space="preserve">u_def</t>
  </si>
  <si>
    <t xml:space="preserve">AMS-III.AV §B.7.4 conservative</t>
  </si>
  <si>
    <t xml:space="preserve">Baseline Emissions (BE)</t>
  </si>
  <si>
    <t xml:space="preserve">BE = BE_woody + BE_fossil  —  AMS-III.AV §B.6 eq.1</t>
  </si>
  <si>
    <t xml:space="preserve">Step</t>
  </si>
  <si>
    <t xml:space="preserve">Description</t>
  </si>
  <si>
    <t xml:space="preserve">Formula / Cell ref</t>
  </si>
  <si>
    <t xml:space="preserve">Inputs</t>
  </si>
  <si>
    <t xml:space="preserve">Households served</t>
  </si>
  <si>
    <t xml:space="preserve">HH</t>
  </si>
  <si>
    <t xml:space="preserve">households</t>
  </si>
  <si>
    <t xml:space="preserve">Persons per household</t>
  </si>
  <si>
    <t xml:space="preserve">p_hh</t>
  </si>
  <si>
    <t xml:space="preserve">persons</t>
  </si>
  <si>
    <t xml:space="preserve">Project lifetime (period)</t>
  </si>
  <si>
    <t xml:space="preserve">T_yr</t>
  </si>
  <si>
    <t xml:space="preserve">year</t>
  </si>
  <si>
    <t xml:space="preserve">Share switching from wood</t>
  </si>
  <si>
    <t xml:space="preserve">share_w</t>
  </si>
  <si>
    <t xml:space="preserve">Share switching from LPG</t>
  </si>
  <si>
    <t xml:space="preserve">share_l</t>
  </si>
  <si>
    <t xml:space="preserve">Calculation</t>
  </si>
  <si>
    <t xml:space="preserve">Persons served (P)</t>
  </si>
  <si>
    <t xml:space="preserve">D7*D8</t>
  </si>
  <si>
    <t xml:space="preserve">Annual water demand (Q, litres)</t>
  </si>
  <si>
    <t xml:space="preserve">D14*EmissionFactors!D14*EmissionFactors!D15</t>
  </si>
  <si>
    <t xml:space="preserve">L/yr</t>
  </si>
  <si>
    <t xml:space="preserve">Annual energy needed to boil water (TJ)</t>
  </si>
  <si>
    <t xml:space="preserve">D15*EmissionFactors!D13/1000000</t>
  </si>
  <si>
    <t xml:space="preserve">TJ/yr</t>
  </si>
  <si>
    <t xml:space="preserve">Energy from wood (TJ)</t>
  </si>
  <si>
    <t xml:space="preserve">D16*D10</t>
  </si>
  <si>
    <t xml:space="preserve">Energy from LPG (TJ)</t>
  </si>
  <si>
    <t xml:space="preserve">D16*D11</t>
  </si>
  <si>
    <t xml:space="preserve">BE_woody (tCO2)</t>
  </si>
  <si>
    <t xml:space="preserve">D17*EmissionFactors!D8*EmissionFactors!D7</t>
  </si>
  <si>
    <t xml:space="preserve">tCO2/yr</t>
  </si>
  <si>
    <t xml:space="preserve">BE_fossil (tCO2)</t>
  </si>
  <si>
    <t xml:space="preserve">D18*EmissionFactors!D11</t>
  </si>
  <si>
    <t xml:space="preserve">BE_total (tCO2)</t>
  </si>
  <si>
    <t xml:space="preserve">D19+D20</t>
  </si>
  <si>
    <t xml:space="preserve">Project Emissions (PE)</t>
  </si>
  <si>
    <t xml:space="preserve">PE = PE_elec + PE_transport + PE_distribution + PE_other  —  AMS-III.AV §B.6 eq.2</t>
  </si>
  <si>
    <t xml:space="preserve">Component</t>
  </si>
  <si>
    <t xml:space="preserve">Formula</t>
  </si>
  <si>
    <t xml:space="preserve">Treatment electricity (MWh/yr)</t>
  </si>
  <si>
    <t xml:space="preserve">Pumping + UV + filtration</t>
  </si>
  <si>
    <t xml:space="preserve">MWh/yr</t>
  </si>
  <si>
    <t xml:space="preserve">Diesel for transport (tonnes/yr)</t>
  </si>
  <si>
    <t xml:space="preserve">Delivery vehicles</t>
  </si>
  <si>
    <t xml:space="preserve">t/yr</t>
  </si>
  <si>
    <t xml:space="preserve">Backup gen LPG (tonnes/yr)</t>
  </si>
  <si>
    <t xml:space="preserve">Standby generator fuel</t>
  </si>
  <si>
    <t xml:space="preserve">Distribution losses (assumed)</t>
  </si>
  <si>
    <t xml:space="preserve">Pipe leakage etc.</t>
  </si>
  <si>
    <t xml:space="preserve">Component emissions</t>
  </si>
  <si>
    <t xml:space="preserve">PE_elec (tCO2)</t>
  </si>
  <si>
    <t xml:space="preserve">PE_transport (tCO2)</t>
  </si>
  <si>
    <t xml:space="preserve">PE_other (tCO2)</t>
  </si>
  <si>
    <t xml:space="preserve">PE_distribution (tCO2)</t>
  </si>
  <si>
    <t xml:space="preserve">PE_total (tCO2)</t>
  </si>
  <si>
    <t xml:space="preserve">Leakage Emissions (LE)</t>
  </si>
  <si>
    <t xml:space="preserve">LE_woody only counted if pre-project fuel was wood (f_woody&gt;0). AMS-III.AV §B.6 eq.3</t>
  </si>
  <si>
    <t xml:space="preserve">Pre-project woody fraction</t>
  </si>
  <si>
    <t xml:space="preserve">From Baseline sheet</t>
  </si>
  <si>
    <t xml:space="preserve">Energy displaced from wood (TJ)</t>
  </si>
  <si>
    <t xml:space="preserve">Energy avoided</t>
  </si>
  <si>
    <t xml:space="preserve">Energy displaced from LPG (TJ)</t>
  </si>
  <si>
    <t xml:space="preserve">LE_woody (tCO2)</t>
  </si>
  <si>
    <t xml:space="preserve">Only if woody&gt;0</t>
  </si>
  <si>
    <t xml:space="preserve">LE_fossil (tCO2)</t>
  </si>
  <si>
    <t xml:space="preserve">Fossil leakage</t>
  </si>
  <si>
    <t xml:space="preserve">LE_total (tCO2)</t>
  </si>
  <si>
    <t xml:space="preserve">Sum</t>
  </si>
  <si>
    <t xml:space="preserve">Net Emission Reductions</t>
  </si>
  <si>
    <t xml:space="preserve">ER_net = (BE − PE − LE) × uncertainty_discount  —  AMS-III.AV §B.6 eq.4 + §B.7.4</t>
  </si>
  <si>
    <t xml:space="preserve">Term</t>
  </si>
  <si>
    <t xml:space="preserve">Cell ref</t>
  </si>
  <si>
    <t xml:space="preserve">BE_total</t>
  </si>
  <si>
    <t xml:space="preserve">Baseline emissions</t>
  </si>
  <si>
    <t xml:space="preserve">Baseline!D21</t>
  </si>
  <si>
    <t xml:space="preserve">PE_total</t>
  </si>
  <si>
    <t xml:space="preserve">Project emissions</t>
  </si>
  <si>
    <t xml:space="preserve">Project!E16</t>
  </si>
  <si>
    <t xml:space="preserve">LE_total</t>
  </si>
  <si>
    <t xml:space="preserve">Leakage emissions</t>
  </si>
  <si>
    <t xml:space="preserve">Leakage!E11</t>
  </si>
  <si>
    <t xml:space="preserve">ER_gross</t>
  </si>
  <si>
    <t xml:space="preserve">Gross emission reductions</t>
  </si>
  <si>
    <t xml:space="preserve">BE − PE − LE</t>
  </si>
  <si>
    <t xml:space="preserve">Uncertainty factor</t>
  </si>
  <si>
    <t xml:space="preserve">Conservative discount applied</t>
  </si>
  <si>
    <t xml:space="preserve">EmissionFactors!D17</t>
  </si>
  <si>
    <t xml:space="preserve">ER_net (issued)</t>
  </si>
  <si>
    <t xml:space="preserve">After uncertainty discount; ≥0</t>
  </si>
  <si>
    <t xml:space="preserve">MAX(0, ER_gross × u)</t>
  </si>
  <si>
    <t xml:space="preserve">ER_net (rejected)</t>
  </si>
  <si>
    <t xml:space="preserve">If gross&lt;0, project failed verification (flag)</t>
  </si>
  <si>
    <t xml:space="preserve">ER_gross&lt;0?</t>
  </si>
  <si>
    <t xml:space="preserve">status</t>
  </si>
  <si>
    <t xml:space="preserve">Worked Example — 200-household solar-augmented pilot, 1 year</t>
  </si>
  <si>
    <t xml:space="preserve">All inputs flow from EmissionFactors + Baseline + Project + Leakage sheets. Pilot scenario: 200-household solar-augmented treatment plant, 1 year.</t>
  </si>
  <si>
    <t xml:space="preserve">Households</t>
  </si>
  <si>
    <t xml:space="preserve">Baseline!D7 input</t>
  </si>
  <si>
    <t xml:space="preserve">Persons served</t>
  </si>
  <si>
    <t xml:space="preserve">HH × p_hh</t>
  </si>
  <si>
    <t xml:space="preserve">Annual water demand</t>
  </si>
  <si>
    <t xml:space="preserve">P × Q_pp × 365</t>
  </si>
  <si>
    <t xml:space="preserve">Energy to boil water</t>
  </si>
  <si>
    <t xml:space="preserve">Q × E_boil / 1e6</t>
  </si>
  <si>
    <t xml:space="preserve">Baseline sheet</t>
  </si>
  <si>
    <t xml:space="preserve">Project sheet</t>
  </si>
  <si>
    <t xml:space="preserve">Leakage sheet</t>
  </si>
  <si>
    <t xml:space="preserve">Uncertainty discount</t>
  </si>
  <si>
    <t xml:space="preserve">ER_net (CER tokens minted)</t>
  </si>
  <si>
    <t xml:space="preserve">FINAL — minted as 0.0.8865898 tokens</t>
  </si>
  <si>
    <t xml:space="preserve">Mapping: Excel ↔ Policy customLogicBlock</t>
  </si>
  <si>
    <t xml:space="preserve">How spreadsheet cells correspond to fields in calculate_project_fields / calculate_report_fields</t>
  </si>
  <si>
    <t xml:space="preserve">Concept</t>
  </si>
  <si>
    <t xml:space="preserve">Policy field</t>
  </si>
  <si>
    <t xml:space="preserve">customLogicBlock variable</t>
  </si>
  <si>
    <t xml:space="preserve">Excel cell</t>
  </si>
  <si>
    <t xml:space="preserve">Fuel composition</t>
  </si>
  <si>
    <t xml:space="preserve">field2</t>
  </si>
  <si>
    <t xml:space="preserve">fuel.field0 (woody fraction)</t>
  </si>
  <si>
    <t xml:space="preserve">Baseline!D10</t>
  </si>
  <si>
    <t xml:space="preserve">Project emissions group</t>
  </si>
  <si>
    <t xml:space="preserve">field4</t>
  </si>
  <si>
    <t xml:space="preserve">pe.field1..field4</t>
  </si>
  <si>
    <t xml:space="preserve">Project!E8..E11</t>
  </si>
  <si>
    <t xml:space="preserve">Baseline emissions group</t>
  </si>
  <si>
    <t xml:space="preserve">field5</t>
  </si>
  <si>
    <t xml:space="preserve">be.field1 (woody) / field2 (fossil)</t>
  </si>
  <si>
    <t xml:space="preserve">Baseline!D18..D19</t>
  </si>
  <si>
    <t xml:space="preserve">Leakage group</t>
  </si>
  <si>
    <t xml:space="preserve">field6</t>
  </si>
  <si>
    <t xml:space="preserve">leak.field1 (LE_woody) / field2 (LE_fossil)</t>
  </si>
  <si>
    <t xml:space="preserve">Leakage!E9..E10</t>
  </si>
  <si>
    <t xml:space="preserve">ER total (output)</t>
  </si>
  <si>
    <t xml:space="preserve">field7</t>
  </si>
  <si>
    <t xml:space="preserve">ER_total = BE_total − PE_total − LE_total</t>
  </si>
  <si>
    <t xml:space="preserve">ER_NetCalc!E9 → E11</t>
  </si>
  <si>
    <t xml:space="preserve">(NOT YET IN v1.0.0)</t>
  </si>
  <si>
    <t xml:space="preserve">Recommended for v1.1.0</t>
  </si>
  <si>
    <t xml:space="preserve">EmissionFactors!D17, applied at ER_NetCalc!E11</t>
  </si>
  <si>
    <t xml:space="preserve">Negative ER handling</t>
  </si>
  <si>
    <t xml:space="preserve">if(ER&lt;0) ER=0;</t>
  </si>
  <si>
    <t xml:space="preserve">Silent clamp in v1.0.0</t>
  </si>
  <si>
    <t xml:space="preserve">ER_NetCalc!E12 surfaces FAIL flag instead</t>
  </si>
  <si>
    <t xml:space="preserve">Notes</t>
  </si>
  <si>
    <t xml:space="preserve">• Policy v1.0.0 (currently published on Hedera) implements straight subtraction with silent negative-ER clamp.</t>
  </si>
  <si>
    <t xml:space="preserve">• This workbook additionally surfaces (a) uncertainty discount per AMS-III.AV §B.7.4, and (b) explicit FAIL flag when ER_gross&lt;0.</t>
  </si>
  <si>
    <t xml:space="preserve">• Both items are flagged for v1.1.0 in the policy roadmap. Workbook formulas show the exact math reviewers can replicate.</t>
  </si>
  <si>
    <t xml:space="preserve">• Field tags (field2, field4, etc.) are auto-generated by Guardian schema editor and resolve to semantic names via the schema labels.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</si>
</sst>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"/>
    <numFmt numFmtId="166" formatCode="#,##0.00"/>
    <numFmt numFmtId="167" formatCode="0.00"/>
    <numFmt numFmtId="168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1696F"/>
      <name val="Calibri"/>
      <family val="0"/>
      <charset val="1"/>
    </font>
    <font>
      <i val="true"/>
      <sz val="10"/>
      <color rgb="FF7A7974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name val="Calibri"/>
      <family val="0"/>
      <charset val="1"/>
    </font>
    <font>
      <b val="true"/>
      <sz val="11"/>
      <color rgb="FF01696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9"/>
      <color rgb="FF7A7974"/>
      <name val="Calibri"/>
      <family val="0"/>
      <charset val="1"/>
    </font>
    <font>
      <i val="true"/>
      <sz val="9"/>
      <color rgb="FF7A7974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1696F"/>
        <bgColor rgb="FF008080"/>
      </patternFill>
    </fill>
    <fill>
      <patternFill patternType="solid">
        <fgColor rgb="FFFBFBF9"/>
        <bgColor rgb="FFFFFFFF"/>
      </patternFill>
    </fill>
    <fill>
      <patternFill patternType="solid">
        <fgColor rgb="FFE0F0F1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4D1CA"/>
      </left>
      <right style="thin">
        <color rgb="FFD4D1CA"/>
      </right>
      <top style="thin">
        <color rgb="FFD4D1CA"/>
      </top>
      <bottom style="thin">
        <color rgb="FFD4D1C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3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1696F"/>
      <rgbColor rgb="FFD4D1CA"/>
      <rgbColor rgb="FF7A7974"/>
      <rgbColor rgb="FF9999FF"/>
      <rgbColor rgb="FF993366"/>
      <rgbColor rgb="FFFBFBF9"/>
      <rgbColor rgb="FFE0F0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8"/>
    <col collapsed="false" customWidth="true" hidden="false" outlineLevel="0" max="3" min="3" style="1" width="80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8"/>
  </cols>
  <sheetData>
    <row r="1" customFormat="false" ht="7.5" hidden="false" customHeight="true" outlineLevel="0" collapsed="false"/>
    <row r="2" customFormat="false" ht="17.25" hidden="false" customHeight="true" outlineLevel="0" collapsed="false">
      <c r="B2" s="2" t="s">
        <v>0</v>
      </c>
    </row>
    <row r="3" customFormat="false" ht="24" hidden="false" customHeight="true" outlineLevel="0" collapsed="false">
      <c r="B3" s="3" t="s">
        <v>1</v>
      </c>
    </row>
    <row r="5" customFormat="false" ht="15" hidden="false" customHeight="true" outlineLevel="0" collapsed="false">
      <c r="B5" s="4" t="s">
        <v>2</v>
      </c>
      <c r="C5" s="5" t="s">
        <v>3</v>
      </c>
    </row>
    <row r="6" customFormat="false" ht="15" hidden="false" customHeight="true" outlineLevel="0" collapsed="false">
      <c r="B6" s="4" t="s">
        <v>4</v>
      </c>
      <c r="C6" s="5" t="s">
        <v>5</v>
      </c>
    </row>
    <row r="7" customFormat="false" ht="15" hidden="false" customHeight="true" outlineLevel="0" collapsed="false">
      <c r="B7" s="4" t="s">
        <v>6</v>
      </c>
      <c r="C7" s="5" t="s">
        <v>7</v>
      </c>
    </row>
    <row r="8" customFormat="false" ht="15" hidden="false" customHeight="true" outlineLevel="0" collapsed="false">
      <c r="B8" s="4" t="s">
        <v>8</v>
      </c>
      <c r="C8" s="5" t="s">
        <v>9</v>
      </c>
    </row>
    <row r="9" customFormat="false" ht="15" hidden="false" customHeight="true" outlineLevel="0" collapsed="false">
      <c r="B9" s="4" t="s">
        <v>10</v>
      </c>
      <c r="C9" s="5" t="s">
        <v>11</v>
      </c>
    </row>
    <row r="10" customFormat="false" ht="15" hidden="false" customHeight="true" outlineLevel="0" collapsed="false">
      <c r="B10" s="4" t="s">
        <v>12</v>
      </c>
      <c r="C10" s="5" t="s">
        <v>13</v>
      </c>
    </row>
    <row r="11" customFormat="false" ht="15" hidden="false" customHeight="true" outlineLevel="0" collapsed="false">
      <c r="B11" s="6"/>
      <c r="C11" s="5"/>
    </row>
    <row r="12" customFormat="false" ht="15" hidden="false" customHeight="true" outlineLevel="0" collapsed="false">
      <c r="B12" s="6" t="s">
        <v>14</v>
      </c>
      <c r="C12" s="5" t="s">
        <v>15</v>
      </c>
    </row>
    <row r="13" customFormat="false" ht="15" hidden="false" customHeight="true" outlineLevel="0" collapsed="false">
      <c r="B13" s="4" t="s">
        <v>16</v>
      </c>
      <c r="C13" s="5" t="s">
        <v>17</v>
      </c>
    </row>
    <row r="14" customFormat="false" ht="15" hidden="false" customHeight="true" outlineLevel="0" collapsed="false">
      <c r="B14" s="4" t="s">
        <v>18</v>
      </c>
      <c r="C14" s="5" t="s">
        <v>19</v>
      </c>
    </row>
    <row r="15" customFormat="false" ht="15" hidden="false" customHeight="true" outlineLevel="0" collapsed="false">
      <c r="B15" s="4" t="s">
        <v>20</v>
      </c>
      <c r="C15" s="5" t="s">
        <v>21</v>
      </c>
    </row>
    <row r="16" customFormat="false" ht="15" hidden="false" customHeight="true" outlineLevel="0" collapsed="false">
      <c r="B16" s="4" t="s">
        <v>22</v>
      </c>
      <c r="C16" s="5" t="s">
        <v>23</v>
      </c>
    </row>
    <row r="17" customFormat="false" ht="15" hidden="false" customHeight="true" outlineLevel="0" collapsed="false">
      <c r="B17" s="4" t="s">
        <v>24</v>
      </c>
      <c r="C17" s="5" t="s">
        <v>25</v>
      </c>
    </row>
    <row r="18" customFormat="false" ht="15" hidden="false" customHeight="true" outlineLevel="0" collapsed="false">
      <c r="B18" s="4" t="s">
        <v>26</v>
      </c>
      <c r="C18" s="5" t="s">
        <v>27</v>
      </c>
    </row>
    <row r="19" customFormat="false" ht="15" hidden="false" customHeight="true" outlineLevel="0" collapsed="false">
      <c r="B19" s="4" t="s">
        <v>28</v>
      </c>
      <c r="C19" s="5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8"/>
  </cols>
  <sheetData>
    <row r="1" customFormat="false" ht="7.5" hidden="false" customHeight="true" outlineLevel="0" collapsed="false"/>
    <row r="2" customFormat="false" ht="17.25" hidden="false" customHeight="true" outlineLevel="0" collapsed="false">
      <c r="B2" s="2" t="s">
        <v>30</v>
      </c>
    </row>
    <row r="3" customFormat="false" ht="24" hidden="false" customHeight="true" outlineLevel="0" collapsed="false">
      <c r="B3" s="3" t="s">
        <v>31</v>
      </c>
    </row>
    <row r="5" customFormat="false" ht="15" hidden="false" customHeight="true" outlineLevel="0" collapsed="false">
      <c r="B5" s="7" t="s">
        <v>32</v>
      </c>
      <c r="C5" s="7" t="s">
        <v>33</v>
      </c>
      <c r="D5" s="7" t="s">
        <v>34</v>
      </c>
      <c r="E5" s="7" t="s">
        <v>35</v>
      </c>
      <c r="F5" s="7" t="s">
        <v>36</v>
      </c>
    </row>
    <row r="6" customFormat="false" ht="27.75" hidden="false" customHeight="true" outlineLevel="0" collapsed="false">
      <c r="B6" s="8" t="s">
        <v>37</v>
      </c>
      <c r="C6" s="9" t="s">
        <v>38</v>
      </c>
      <c r="D6" s="10" t="n">
        <v>0.015</v>
      </c>
      <c r="E6" s="11" t="s">
        <v>39</v>
      </c>
      <c r="F6" s="8" t="s">
        <v>40</v>
      </c>
    </row>
    <row r="7" customFormat="false" ht="27.75" hidden="false" customHeight="true" outlineLevel="0" collapsed="false">
      <c r="B7" s="8" t="s">
        <v>41</v>
      </c>
      <c r="C7" s="9" t="s">
        <v>42</v>
      </c>
      <c r="D7" s="12" t="n">
        <v>112</v>
      </c>
      <c r="E7" s="11" t="s">
        <v>43</v>
      </c>
      <c r="F7" s="8" t="s">
        <v>44</v>
      </c>
    </row>
    <row r="8" customFormat="false" ht="27.75" hidden="false" customHeight="true" outlineLevel="0" collapsed="false">
      <c r="B8" s="8" t="s">
        <v>45</v>
      </c>
      <c r="C8" s="9" t="s">
        <v>46</v>
      </c>
      <c r="D8" s="10" t="n">
        <v>0.3</v>
      </c>
      <c r="E8" s="11" t="s">
        <v>47</v>
      </c>
      <c r="F8" s="8" t="s">
        <v>48</v>
      </c>
    </row>
    <row r="9" customFormat="false" ht="27.75" hidden="false" customHeight="true" outlineLevel="0" collapsed="false">
      <c r="B9" s="8" t="s">
        <v>49</v>
      </c>
      <c r="C9" s="9" t="s">
        <v>50</v>
      </c>
      <c r="D9" s="12" t="n">
        <v>74.1</v>
      </c>
      <c r="E9" s="11" t="s">
        <v>43</v>
      </c>
      <c r="F9" s="8" t="s">
        <v>44</v>
      </c>
    </row>
    <row r="10" customFormat="false" ht="15" hidden="false" customHeight="true" outlineLevel="0" collapsed="false">
      <c r="B10" s="8" t="s">
        <v>51</v>
      </c>
      <c r="C10" s="9" t="s">
        <v>52</v>
      </c>
      <c r="D10" s="10" t="n">
        <v>0.043</v>
      </c>
      <c r="E10" s="11" t="s">
        <v>39</v>
      </c>
      <c r="F10" s="8" t="s">
        <v>53</v>
      </c>
    </row>
    <row r="11" customFormat="false" ht="15" hidden="false" customHeight="true" outlineLevel="0" collapsed="false">
      <c r="B11" s="8" t="s">
        <v>54</v>
      </c>
      <c r="C11" s="9" t="s">
        <v>55</v>
      </c>
      <c r="D11" s="12" t="n">
        <v>63.1</v>
      </c>
      <c r="E11" s="11" t="s">
        <v>43</v>
      </c>
      <c r="F11" s="8" t="s">
        <v>53</v>
      </c>
    </row>
    <row r="12" customFormat="false" ht="27.75" hidden="false" customHeight="true" outlineLevel="0" collapsed="false">
      <c r="B12" s="8" t="s">
        <v>56</v>
      </c>
      <c r="C12" s="9" t="s">
        <v>57</v>
      </c>
      <c r="D12" s="10" t="n">
        <v>0.71</v>
      </c>
      <c r="E12" s="11" t="s">
        <v>58</v>
      </c>
      <c r="F12" s="8" t="s">
        <v>59</v>
      </c>
    </row>
    <row r="13" customFormat="false" ht="27.75" hidden="false" customHeight="true" outlineLevel="0" collapsed="false">
      <c r="B13" s="8" t="s">
        <v>60</v>
      </c>
      <c r="C13" s="9" t="s">
        <v>61</v>
      </c>
      <c r="D13" s="10" t="n">
        <v>0.34</v>
      </c>
      <c r="E13" s="11" t="s">
        <v>62</v>
      </c>
      <c r="F13" s="8" t="s">
        <v>48</v>
      </c>
    </row>
    <row r="14" customFormat="false" ht="27.75" hidden="false" customHeight="true" outlineLevel="0" collapsed="false">
      <c r="B14" s="8" t="s">
        <v>63</v>
      </c>
      <c r="C14" s="9" t="s">
        <v>64</v>
      </c>
      <c r="D14" s="12" t="n">
        <v>3.5</v>
      </c>
      <c r="E14" s="11" t="s">
        <v>65</v>
      </c>
      <c r="F14" s="8" t="s">
        <v>66</v>
      </c>
    </row>
    <row r="15" customFormat="false" ht="15" hidden="false" customHeight="true" outlineLevel="0" collapsed="false">
      <c r="B15" s="8" t="s">
        <v>67</v>
      </c>
      <c r="C15" s="9" t="s">
        <v>68</v>
      </c>
      <c r="D15" s="12" t="n">
        <v>365</v>
      </c>
      <c r="E15" s="11" t="s">
        <v>69</v>
      </c>
      <c r="F15" s="8" t="s">
        <v>70</v>
      </c>
    </row>
    <row r="16" customFormat="false" ht="15" hidden="false" customHeight="true" outlineLevel="0" collapsed="false">
      <c r="B16" s="8" t="s">
        <v>71</v>
      </c>
      <c r="C16" s="9" t="s">
        <v>72</v>
      </c>
      <c r="D16" s="10" t="n">
        <v>0.94</v>
      </c>
      <c r="E16" s="11" t="s">
        <v>47</v>
      </c>
      <c r="F16" s="8" t="s">
        <v>73</v>
      </c>
    </row>
    <row r="17" customFormat="false" ht="27.75" hidden="false" customHeight="true" outlineLevel="0" collapsed="false">
      <c r="B17" s="8" t="s">
        <v>74</v>
      </c>
      <c r="C17" s="9" t="s">
        <v>75</v>
      </c>
      <c r="D17" s="10" t="n">
        <v>0.89</v>
      </c>
      <c r="E17" s="11" t="s">
        <v>47</v>
      </c>
      <c r="F17" s="8" t="s">
        <v>76</v>
      </c>
    </row>
    <row r="18" customFormat="false" ht="15" hidden="false" customHeight="false" outlineLevel="0" collapsed="false"/>
    <row r="19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8"/>
  </cols>
  <sheetData>
    <row r="1" customFormat="false" ht="7.5" hidden="false" customHeight="true" outlineLevel="0" collapsed="false"/>
    <row r="2" customFormat="false" ht="17.25" hidden="false" customHeight="true" outlineLevel="0" collapsed="false">
      <c r="B2" s="2" t="s">
        <v>77</v>
      </c>
    </row>
    <row r="3" customFormat="false" ht="24" hidden="false" customHeight="true" outlineLevel="0" collapsed="false">
      <c r="B3" s="3" t="s">
        <v>78</v>
      </c>
    </row>
    <row r="5" customFormat="false" ht="15" hidden="false" customHeight="true" outlineLevel="0" collapsed="false">
      <c r="B5" s="7" t="s">
        <v>79</v>
      </c>
      <c r="C5" s="7" t="s">
        <v>80</v>
      </c>
      <c r="D5" s="7" t="s">
        <v>81</v>
      </c>
      <c r="E5" s="7" t="s">
        <v>34</v>
      </c>
      <c r="F5" s="7" t="s">
        <v>35</v>
      </c>
    </row>
    <row r="6" customFormat="false" ht="15" hidden="false" customHeight="true" outlineLevel="0" collapsed="false">
      <c r="B6" s="13" t="s">
        <v>82</v>
      </c>
    </row>
    <row r="7" customFormat="false" ht="15" hidden="false" customHeight="true" outlineLevel="0" collapsed="false">
      <c r="B7" s="8" t="s">
        <v>83</v>
      </c>
      <c r="C7" s="14" t="s">
        <v>84</v>
      </c>
      <c r="D7" s="12" t="n">
        <v>200</v>
      </c>
      <c r="E7" s="11" t="s">
        <v>85</v>
      </c>
    </row>
    <row r="8" customFormat="false" ht="15" hidden="false" customHeight="true" outlineLevel="0" collapsed="false">
      <c r="B8" s="8" t="s">
        <v>86</v>
      </c>
      <c r="C8" s="14" t="s">
        <v>87</v>
      </c>
      <c r="D8" s="12" t="n">
        <v>4.5</v>
      </c>
      <c r="E8" s="11" t="s">
        <v>88</v>
      </c>
    </row>
    <row r="9" customFormat="false" ht="15" hidden="false" customHeight="true" outlineLevel="0" collapsed="false">
      <c r="B9" s="8" t="s">
        <v>89</v>
      </c>
      <c r="C9" s="14" t="s">
        <v>90</v>
      </c>
      <c r="D9" s="12" t="n">
        <v>1</v>
      </c>
      <c r="E9" s="11" t="s">
        <v>91</v>
      </c>
    </row>
    <row r="10" customFormat="false" ht="15" hidden="false" customHeight="true" outlineLevel="0" collapsed="false">
      <c r="B10" s="8" t="s">
        <v>92</v>
      </c>
      <c r="C10" s="14" t="s">
        <v>93</v>
      </c>
      <c r="D10" s="12" t="n">
        <v>0.7</v>
      </c>
      <c r="E10" s="11" t="s">
        <v>47</v>
      </c>
    </row>
    <row r="11" customFormat="false" ht="15" hidden="false" customHeight="true" outlineLevel="0" collapsed="false">
      <c r="B11" s="8" t="s">
        <v>94</v>
      </c>
      <c r="C11" s="14" t="s">
        <v>95</v>
      </c>
      <c r="D11" s="12" t="n">
        <v>0.3</v>
      </c>
      <c r="E11" s="11" t="s">
        <v>47</v>
      </c>
    </row>
    <row r="13" customFormat="false" ht="15" hidden="false" customHeight="true" outlineLevel="0" collapsed="false">
      <c r="B13" s="13" t="s">
        <v>96</v>
      </c>
    </row>
    <row r="14" customFormat="false" ht="15" hidden="false" customHeight="true" outlineLevel="0" collapsed="false">
      <c r="B14" s="8" t="s">
        <v>97</v>
      </c>
      <c r="C14" s="15" t="s">
        <v>98</v>
      </c>
      <c r="D14" s="16" t="n">
        <f aca="false">D7*D8</f>
        <v>900</v>
      </c>
      <c r="E14" s="11" t="s">
        <v>88</v>
      </c>
    </row>
    <row r="15" customFormat="false" ht="15" hidden="false" customHeight="true" outlineLevel="0" collapsed="false">
      <c r="B15" s="8" t="s">
        <v>99</v>
      </c>
      <c r="C15" s="15" t="s">
        <v>100</v>
      </c>
      <c r="D15" s="16" t="n">
        <f aca="false">D14*EmissionFactors!D14*EmissionFactors!D15</f>
        <v>1149750</v>
      </c>
      <c r="E15" s="11" t="s">
        <v>101</v>
      </c>
    </row>
    <row r="16" customFormat="false" ht="15" hidden="false" customHeight="true" outlineLevel="0" collapsed="false">
      <c r="B16" s="8" t="s">
        <v>102</v>
      </c>
      <c r="C16" s="15" t="s">
        <v>103</v>
      </c>
      <c r="D16" s="16" t="n">
        <f aca="false">D15*EmissionFactors!D13/1000000</f>
        <v>0.390915</v>
      </c>
      <c r="E16" s="11" t="s">
        <v>104</v>
      </c>
    </row>
    <row r="17" customFormat="false" ht="15" hidden="false" customHeight="true" outlineLevel="0" collapsed="false">
      <c r="B17" s="8" t="s">
        <v>105</v>
      </c>
      <c r="C17" s="15" t="s">
        <v>106</v>
      </c>
      <c r="D17" s="16" t="n">
        <f aca="false">D16*D10</f>
        <v>0.2736405</v>
      </c>
      <c r="E17" s="11" t="s">
        <v>104</v>
      </c>
    </row>
    <row r="18" customFormat="false" ht="15" hidden="false" customHeight="true" outlineLevel="0" collapsed="false">
      <c r="B18" s="8" t="s">
        <v>107</v>
      </c>
      <c r="C18" s="15" t="s">
        <v>108</v>
      </c>
      <c r="D18" s="16" t="n">
        <f aca="false">D16*D11</f>
        <v>0.1172745</v>
      </c>
      <c r="E18" s="11" t="s">
        <v>104</v>
      </c>
    </row>
    <row r="19" customFormat="false" ht="15" hidden="false" customHeight="true" outlineLevel="0" collapsed="false">
      <c r="B19" s="8" t="s">
        <v>109</v>
      </c>
      <c r="C19" s="15" t="s">
        <v>110</v>
      </c>
      <c r="D19" s="16" t="n">
        <f aca="false">D17*EmissionFactors!D8*EmissionFactors!D7</f>
        <v>9.1943208</v>
      </c>
      <c r="E19" s="11" t="s">
        <v>111</v>
      </c>
    </row>
    <row r="20" customFormat="false" ht="15" hidden="false" customHeight="true" outlineLevel="0" collapsed="false">
      <c r="B20" s="8" t="s">
        <v>112</v>
      </c>
      <c r="C20" s="15" t="s">
        <v>113</v>
      </c>
      <c r="D20" s="16" t="n">
        <f aca="false">D18*EmissionFactors!D11</f>
        <v>7.40002095</v>
      </c>
      <c r="E20" s="11" t="s">
        <v>111</v>
      </c>
    </row>
    <row r="21" customFormat="false" ht="15" hidden="false" customHeight="true" outlineLevel="0" collapsed="false">
      <c r="B21" s="8" t="s">
        <v>114</v>
      </c>
      <c r="C21" s="15" t="s">
        <v>115</v>
      </c>
      <c r="D21" s="17" t="n">
        <f aca="false">D19+D20</f>
        <v>16.59434175</v>
      </c>
      <c r="E21" s="11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8"/>
  </cols>
  <sheetData>
    <row r="1" customFormat="false" ht="7.5" hidden="false" customHeight="true" outlineLevel="0" collapsed="false"/>
    <row r="2" customFormat="false" ht="17.25" hidden="false" customHeight="true" outlineLevel="0" collapsed="false">
      <c r="B2" s="2" t="s">
        <v>116</v>
      </c>
    </row>
    <row r="3" customFormat="false" ht="24" hidden="false" customHeight="true" outlineLevel="0" collapsed="false">
      <c r="B3" s="3" t="s">
        <v>117</v>
      </c>
    </row>
    <row r="5" customFormat="false" ht="15" hidden="false" customHeight="true" outlineLevel="0" collapsed="false">
      <c r="B5" s="7" t="s">
        <v>118</v>
      </c>
      <c r="C5" s="7" t="s">
        <v>80</v>
      </c>
      <c r="D5" s="7" t="s">
        <v>119</v>
      </c>
      <c r="E5" s="7" t="s">
        <v>34</v>
      </c>
      <c r="F5" s="7" t="s">
        <v>35</v>
      </c>
    </row>
    <row r="6" customFormat="false" ht="27.75" hidden="false" customHeight="true" outlineLevel="0" collapsed="false">
      <c r="B6" s="8" t="s">
        <v>120</v>
      </c>
      <c r="C6" s="8" t="s">
        <v>121</v>
      </c>
      <c r="D6" s="18"/>
      <c r="E6" s="12" t="n">
        <v>2</v>
      </c>
      <c r="F6" s="11" t="s">
        <v>122</v>
      </c>
    </row>
    <row r="7" customFormat="false" ht="15" hidden="false" customHeight="true" outlineLevel="0" collapsed="false">
      <c r="B7" s="8" t="s">
        <v>123</v>
      </c>
      <c r="C7" s="8" t="s">
        <v>124</v>
      </c>
      <c r="D7" s="18"/>
      <c r="E7" s="12" t="n">
        <v>0.5</v>
      </c>
      <c r="F7" s="11" t="s">
        <v>125</v>
      </c>
    </row>
    <row r="8" customFormat="false" ht="27.75" hidden="false" customHeight="true" outlineLevel="0" collapsed="false">
      <c r="B8" s="8" t="s">
        <v>126</v>
      </c>
      <c r="C8" s="8" t="s">
        <v>127</v>
      </c>
      <c r="D8" s="18"/>
      <c r="E8" s="12" t="n">
        <v>0.1</v>
      </c>
      <c r="F8" s="11" t="s">
        <v>125</v>
      </c>
    </row>
    <row r="9" customFormat="false" ht="15" hidden="false" customHeight="true" outlineLevel="0" collapsed="false">
      <c r="B9" s="8" t="s">
        <v>128</v>
      </c>
      <c r="C9" s="8" t="s">
        <v>129</v>
      </c>
      <c r="D9" s="18"/>
      <c r="E9" s="12" t="n">
        <v>0.05</v>
      </c>
      <c r="F9" s="11" t="s">
        <v>47</v>
      </c>
    </row>
    <row r="11" customFormat="false" ht="15" hidden="false" customHeight="true" outlineLevel="0" collapsed="false">
      <c r="B11" s="13" t="s">
        <v>130</v>
      </c>
    </row>
    <row r="12" customFormat="false" ht="15" hidden="false" customHeight="true" outlineLevel="0" collapsed="false">
      <c r="B12" s="8" t="s">
        <v>131</v>
      </c>
      <c r="C12" s="19" t="n">
        <f aca="false">E6*EmissionFactors!D12</f>
        <v>1.42</v>
      </c>
      <c r="D12" s="18"/>
      <c r="E12" s="16" t="n">
        <f aca="false">E6*EmissionFactors!D12</f>
        <v>1.42</v>
      </c>
      <c r="F12" s="11" t="s">
        <v>111</v>
      </c>
    </row>
    <row r="13" customFormat="false" ht="15" hidden="false" customHeight="true" outlineLevel="0" collapsed="false">
      <c r="B13" s="8" t="s">
        <v>132</v>
      </c>
      <c r="C13" s="19" t="n">
        <f aca="false">E7*EmissionFactors!D9*EmissionFactors!D10</f>
        <v>1.59315</v>
      </c>
      <c r="D13" s="18"/>
      <c r="E13" s="16" t="n">
        <f aca="false">E7*EmissionFactors!D9*EmissionFactors!D10</f>
        <v>1.59315</v>
      </c>
      <c r="F13" s="11" t="s">
        <v>111</v>
      </c>
    </row>
    <row r="14" customFormat="false" ht="15" hidden="false" customHeight="true" outlineLevel="0" collapsed="false">
      <c r="B14" s="8" t="s">
        <v>133</v>
      </c>
      <c r="C14" s="19" t="n">
        <f aca="false">E8*EmissionFactors!D11*0.044</f>
        <v>0.27764</v>
      </c>
      <c r="D14" s="18"/>
      <c r="E14" s="16" t="n">
        <f aca="false">E8*EmissionFactors!D11*0.044</f>
        <v>0.27764</v>
      </c>
      <c r="F14" s="11" t="s">
        <v>111</v>
      </c>
    </row>
    <row r="15" customFormat="false" ht="15" hidden="false" customHeight="true" outlineLevel="0" collapsed="false">
      <c r="B15" s="8" t="s">
        <v>134</v>
      </c>
      <c r="C15" s="19" t="n">
        <f aca="false">Baseline!D20*E9</f>
        <v>0.3700010475</v>
      </c>
      <c r="D15" s="18"/>
      <c r="E15" s="16" t="n">
        <f aca="false">Baseline!D21*E9</f>
        <v>0.8297170875</v>
      </c>
      <c r="F15" s="11" t="s">
        <v>111</v>
      </c>
    </row>
    <row r="16" customFormat="false" ht="15" hidden="false" customHeight="true" outlineLevel="0" collapsed="false">
      <c r="B16" s="8" t="s">
        <v>135</v>
      </c>
      <c r="C16" s="19" t="n">
        <f aca="false">E12+E13+E14+E15</f>
        <v>4.1205070875</v>
      </c>
      <c r="D16" s="18"/>
      <c r="E16" s="17" t="n">
        <f aca="false">SUM(E12:E15)</f>
        <v>4.1205070875</v>
      </c>
      <c r="F16" s="11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8"/>
  </cols>
  <sheetData>
    <row r="1" customFormat="false" ht="7.5" hidden="false" customHeight="true" outlineLevel="0" collapsed="false"/>
    <row r="2" customFormat="false" ht="17.25" hidden="false" customHeight="true" outlineLevel="0" collapsed="false">
      <c r="B2" s="2" t="s">
        <v>136</v>
      </c>
    </row>
    <row r="3" customFormat="false" ht="24" hidden="false" customHeight="true" outlineLevel="0" collapsed="false">
      <c r="B3" s="3" t="s">
        <v>137</v>
      </c>
    </row>
    <row r="5" customFormat="false" ht="15" hidden="false" customHeight="true" outlineLevel="0" collapsed="false">
      <c r="B5" s="7" t="s">
        <v>79</v>
      </c>
      <c r="C5" s="7" t="s">
        <v>80</v>
      </c>
      <c r="D5" s="7" t="s">
        <v>119</v>
      </c>
      <c r="E5" s="7" t="s">
        <v>34</v>
      </c>
      <c r="F5" s="7" t="s">
        <v>35</v>
      </c>
    </row>
    <row r="6" customFormat="false" ht="15" hidden="false" customHeight="true" outlineLevel="0" collapsed="false">
      <c r="B6" s="8" t="s">
        <v>138</v>
      </c>
      <c r="C6" s="8" t="s">
        <v>139</v>
      </c>
      <c r="D6" s="20" t="n">
        <f aca="false">Baseline!D10</f>
        <v>0.7</v>
      </c>
      <c r="E6" s="16" t="n">
        <f aca="false">Baseline!D10</f>
        <v>0.7</v>
      </c>
      <c r="F6" s="11" t="s">
        <v>47</v>
      </c>
    </row>
    <row r="7" customFormat="false" ht="15" hidden="false" customHeight="true" outlineLevel="0" collapsed="false">
      <c r="B7" s="8" t="s">
        <v>140</v>
      </c>
      <c r="C7" s="8" t="s">
        <v>141</v>
      </c>
      <c r="D7" s="20" t="n">
        <f aca="false">Baseline!D17</f>
        <v>0.2736405</v>
      </c>
      <c r="E7" s="16" t="n">
        <f aca="false">Baseline!D17</f>
        <v>0.2736405</v>
      </c>
      <c r="F7" s="11" t="s">
        <v>104</v>
      </c>
    </row>
    <row r="8" customFormat="false" ht="15" hidden="false" customHeight="true" outlineLevel="0" collapsed="false">
      <c r="B8" s="8" t="s">
        <v>142</v>
      </c>
      <c r="C8" s="8" t="s">
        <v>141</v>
      </c>
      <c r="D8" s="20" t="n">
        <f aca="false">Baseline!D18</f>
        <v>0.1172745</v>
      </c>
      <c r="E8" s="16" t="n">
        <f aca="false">Baseline!D18</f>
        <v>0.1172745</v>
      </c>
      <c r="F8" s="11" t="s">
        <v>104</v>
      </c>
    </row>
    <row r="9" customFormat="false" ht="15" hidden="false" customHeight="true" outlineLevel="0" collapsed="false">
      <c r="B9" s="8" t="s">
        <v>143</v>
      </c>
      <c r="C9" s="8" t="s">
        <v>144</v>
      </c>
      <c r="D9" s="19" t="n">
        <f aca="false">IF(E6&gt;0,E7*EmissionFactors!D8*EmissionFactors!D7*0.05,0)</f>
        <v>0.45971604</v>
      </c>
      <c r="E9" s="16" t="n">
        <f aca="false">IF(E6&gt;0,E7*EmissionFactors!D8*EmissionFactors!D7*0.05,0)</f>
        <v>0.45971604</v>
      </c>
      <c r="F9" s="11" t="s">
        <v>111</v>
      </c>
    </row>
    <row r="10" customFormat="false" ht="15" hidden="false" customHeight="true" outlineLevel="0" collapsed="false">
      <c r="B10" s="8" t="s">
        <v>145</v>
      </c>
      <c r="C10" s="8" t="s">
        <v>146</v>
      </c>
      <c r="D10" s="19" t="n">
        <f aca="false">E8*EmissionFactors!D11*0.1</f>
        <v>0.740002095</v>
      </c>
      <c r="E10" s="16" t="n">
        <f aca="false">E8*EmissionFactors!D11*0.1</f>
        <v>0.740002095</v>
      </c>
      <c r="F10" s="11" t="s">
        <v>111</v>
      </c>
    </row>
    <row r="11" customFormat="false" ht="15" hidden="false" customHeight="true" outlineLevel="0" collapsed="false">
      <c r="B11" s="8" t="s">
        <v>147</v>
      </c>
      <c r="C11" s="8" t="s">
        <v>148</v>
      </c>
      <c r="D11" s="19" t="n">
        <f aca="false">E9+E10</f>
        <v>1.199718135</v>
      </c>
      <c r="E11" s="17" t="n">
        <f aca="false">E9+E10</f>
        <v>1.199718135</v>
      </c>
      <c r="F11" s="11" t="s">
        <v>111</v>
      </c>
    </row>
    <row r="12" customFormat="false" ht="15" hidden="false" customHeight="false" outlineLevel="0" collapsed="false"/>
    <row r="13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8"/>
  </cols>
  <sheetData>
    <row r="1" customFormat="false" ht="7.5" hidden="false" customHeight="true" outlineLevel="0" collapsed="false"/>
    <row r="2" customFormat="false" ht="17.25" hidden="false" customHeight="true" outlineLevel="0" collapsed="false">
      <c r="B2" s="2" t="s">
        <v>149</v>
      </c>
    </row>
    <row r="3" customFormat="false" ht="24" hidden="false" customHeight="true" outlineLevel="0" collapsed="false">
      <c r="B3" s="3" t="s">
        <v>150</v>
      </c>
    </row>
    <row r="5" customFormat="false" ht="15" hidden="false" customHeight="true" outlineLevel="0" collapsed="false">
      <c r="B5" s="7" t="s">
        <v>151</v>
      </c>
      <c r="C5" s="7" t="s">
        <v>80</v>
      </c>
      <c r="D5" s="7" t="s">
        <v>152</v>
      </c>
      <c r="E5" s="7" t="s">
        <v>34</v>
      </c>
      <c r="F5" s="7" t="s">
        <v>35</v>
      </c>
    </row>
    <row r="6" customFormat="false" ht="15" hidden="false" customHeight="true" outlineLevel="0" collapsed="false">
      <c r="B6" s="8" t="s">
        <v>153</v>
      </c>
      <c r="C6" s="8" t="s">
        <v>154</v>
      </c>
      <c r="D6" s="19" t="s">
        <v>155</v>
      </c>
      <c r="E6" s="16" t="n">
        <f aca="false">Baseline!D21</f>
        <v>16.59434175</v>
      </c>
      <c r="F6" s="11" t="s">
        <v>111</v>
      </c>
    </row>
    <row r="7" customFormat="false" ht="15" hidden="false" customHeight="true" outlineLevel="0" collapsed="false">
      <c r="B7" s="8" t="s">
        <v>156</v>
      </c>
      <c r="C7" s="8" t="s">
        <v>157</v>
      </c>
      <c r="D7" s="19" t="s">
        <v>158</v>
      </c>
      <c r="E7" s="16" t="n">
        <f aca="false">Project!E16</f>
        <v>4.1205070875</v>
      </c>
      <c r="F7" s="11" t="s">
        <v>111</v>
      </c>
    </row>
    <row r="8" customFormat="false" ht="15" hidden="false" customHeight="true" outlineLevel="0" collapsed="false">
      <c r="B8" s="8" t="s">
        <v>159</v>
      </c>
      <c r="C8" s="8" t="s">
        <v>160</v>
      </c>
      <c r="D8" s="19" t="s">
        <v>161</v>
      </c>
      <c r="E8" s="16" t="n">
        <f aca="false">Leakage!E11</f>
        <v>1.199718135</v>
      </c>
      <c r="F8" s="11" t="s">
        <v>111</v>
      </c>
    </row>
    <row r="9" customFormat="false" ht="27.75" hidden="false" customHeight="true" outlineLevel="0" collapsed="false">
      <c r="B9" s="8" t="s">
        <v>162</v>
      </c>
      <c r="C9" s="8" t="s">
        <v>163</v>
      </c>
      <c r="D9" s="19" t="s">
        <v>164</v>
      </c>
      <c r="E9" s="16" t="n">
        <f aca="false">E6-E7-E8</f>
        <v>11.2741165275</v>
      </c>
      <c r="F9" s="11" t="s">
        <v>111</v>
      </c>
    </row>
    <row r="10" customFormat="false" ht="27.75" hidden="false" customHeight="true" outlineLevel="0" collapsed="false">
      <c r="B10" s="8" t="s">
        <v>165</v>
      </c>
      <c r="C10" s="8" t="s">
        <v>166</v>
      </c>
      <c r="D10" s="19" t="s">
        <v>167</v>
      </c>
      <c r="E10" s="21" t="n">
        <f aca="false">EmissionFactors!D17</f>
        <v>0.89</v>
      </c>
      <c r="F10" s="11" t="s">
        <v>47</v>
      </c>
    </row>
    <row r="11" customFormat="false" ht="27.75" hidden="false" customHeight="true" outlineLevel="0" collapsed="false">
      <c r="B11" s="8" t="s">
        <v>168</v>
      </c>
      <c r="C11" s="8" t="s">
        <v>169</v>
      </c>
      <c r="D11" s="19" t="s">
        <v>170</v>
      </c>
      <c r="E11" s="17" t="n">
        <f aca="false">MAX(0,E9*E10)</f>
        <v>10.033963709475</v>
      </c>
      <c r="F11" s="11" t="s">
        <v>111</v>
      </c>
    </row>
    <row r="12" customFormat="false" ht="41.25" hidden="false" customHeight="true" outlineLevel="0" collapsed="false">
      <c r="B12" s="8" t="s">
        <v>171</v>
      </c>
      <c r="C12" s="8" t="s">
        <v>172</v>
      </c>
      <c r="D12" s="19" t="s">
        <v>173</v>
      </c>
      <c r="E12" s="22" t="str">
        <f aca="false">IF(E9&lt;0,"FAIL — project emitted more than baseline","PASS")</f>
        <v>PASS</v>
      </c>
      <c r="F12" s="11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6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6"/>
    <col collapsed="false" customWidth="true" hidden="false" outlineLevel="0" max="6" min="6" style="1" width="18"/>
  </cols>
  <sheetData>
    <row r="1" customFormat="false" ht="7.5" hidden="false" customHeight="true" outlineLevel="0" collapsed="false"/>
    <row r="2" customFormat="false" ht="17.25" hidden="false" customHeight="true" outlineLevel="0" collapsed="false">
      <c r="B2" s="2" t="s">
        <v>175</v>
      </c>
    </row>
    <row r="3" customFormat="false" ht="24" hidden="false" customHeight="true" outlineLevel="0" collapsed="false">
      <c r="B3" s="3" t="s">
        <v>176</v>
      </c>
    </row>
    <row r="5" customFormat="false" ht="15" hidden="false" customHeight="true" outlineLevel="0" collapsed="false">
      <c r="B5" s="7" t="s">
        <v>79</v>
      </c>
      <c r="C5" s="7" t="s">
        <v>34</v>
      </c>
      <c r="D5" s="7" t="s">
        <v>35</v>
      </c>
      <c r="E5" s="7" t="s">
        <v>36</v>
      </c>
    </row>
    <row r="6" customFormat="false" ht="15" hidden="false" customHeight="true" outlineLevel="0" collapsed="false">
      <c r="B6" s="8" t="s">
        <v>177</v>
      </c>
      <c r="C6" s="23" t="n">
        <f aca="false">Baseline!D7</f>
        <v>200</v>
      </c>
      <c r="D6" s="11" t="s">
        <v>85</v>
      </c>
      <c r="E6" s="8" t="s">
        <v>178</v>
      </c>
    </row>
    <row r="7" customFormat="false" ht="15" hidden="false" customHeight="true" outlineLevel="0" collapsed="false">
      <c r="B7" s="8" t="s">
        <v>179</v>
      </c>
      <c r="C7" s="23" t="n">
        <f aca="false">Baseline!D14</f>
        <v>900</v>
      </c>
      <c r="D7" s="11" t="s">
        <v>88</v>
      </c>
      <c r="E7" s="8" t="s">
        <v>180</v>
      </c>
    </row>
    <row r="8" customFormat="false" ht="15" hidden="false" customHeight="true" outlineLevel="0" collapsed="false">
      <c r="B8" s="8" t="s">
        <v>181</v>
      </c>
      <c r="C8" s="23" t="n">
        <f aca="false">Baseline!D15</f>
        <v>1149750</v>
      </c>
      <c r="D8" s="11" t="s">
        <v>101</v>
      </c>
      <c r="E8" s="8" t="s">
        <v>182</v>
      </c>
    </row>
    <row r="9" customFormat="false" ht="15" hidden="false" customHeight="true" outlineLevel="0" collapsed="false">
      <c r="B9" s="8" t="s">
        <v>183</v>
      </c>
      <c r="C9" s="16" t="n">
        <f aca="false">Baseline!D16</f>
        <v>0.390915</v>
      </c>
      <c r="D9" s="11" t="s">
        <v>104</v>
      </c>
      <c r="E9" s="8" t="s">
        <v>184</v>
      </c>
    </row>
    <row r="10" customFormat="false" ht="15" hidden="false" customHeight="true" outlineLevel="0" collapsed="false">
      <c r="B10" s="8" t="s">
        <v>153</v>
      </c>
      <c r="C10" s="16" t="n">
        <f aca="false">Baseline!D21</f>
        <v>16.59434175</v>
      </c>
      <c r="D10" s="11" t="s">
        <v>111</v>
      </c>
      <c r="E10" s="8" t="s">
        <v>185</v>
      </c>
    </row>
    <row r="11" customFormat="false" ht="15" hidden="false" customHeight="true" outlineLevel="0" collapsed="false">
      <c r="B11" s="8" t="s">
        <v>156</v>
      </c>
      <c r="C11" s="16" t="n">
        <f aca="false">Project!E16</f>
        <v>4.1205070875</v>
      </c>
      <c r="D11" s="11" t="s">
        <v>111</v>
      </c>
      <c r="E11" s="8" t="s">
        <v>186</v>
      </c>
    </row>
    <row r="12" customFormat="false" ht="15" hidden="false" customHeight="true" outlineLevel="0" collapsed="false">
      <c r="B12" s="8" t="s">
        <v>159</v>
      </c>
      <c r="C12" s="16" t="n">
        <f aca="false">Leakage!E11</f>
        <v>1.199718135</v>
      </c>
      <c r="D12" s="11" t="s">
        <v>111</v>
      </c>
      <c r="E12" s="8" t="s">
        <v>187</v>
      </c>
    </row>
    <row r="13" customFormat="false" ht="15" hidden="false" customHeight="true" outlineLevel="0" collapsed="false">
      <c r="B13" s="8" t="s">
        <v>162</v>
      </c>
      <c r="C13" s="16" t="n">
        <f aca="false">ER_NetCalc!E9</f>
        <v>11.2741165275</v>
      </c>
      <c r="D13" s="11" t="s">
        <v>111</v>
      </c>
      <c r="E13" s="8" t="s">
        <v>164</v>
      </c>
    </row>
    <row r="14" customFormat="false" ht="15" hidden="false" customHeight="true" outlineLevel="0" collapsed="false">
      <c r="B14" s="8" t="s">
        <v>188</v>
      </c>
      <c r="C14" s="21" t="n">
        <f aca="false">ER_NetCalc!E10</f>
        <v>0.89</v>
      </c>
      <c r="D14" s="11" t="s">
        <v>47</v>
      </c>
      <c r="E14" s="8" t="s">
        <v>73</v>
      </c>
    </row>
    <row r="15" customFormat="false" ht="15" hidden="false" customHeight="true" outlineLevel="0" collapsed="false">
      <c r="B15" s="8" t="s">
        <v>189</v>
      </c>
      <c r="C15" s="17" t="n">
        <f aca="false">ER_NetCalc!E11</f>
        <v>10.033963709475</v>
      </c>
      <c r="D15" s="11" t="s">
        <v>111</v>
      </c>
      <c r="E15" s="8" t="s">
        <v>190</v>
      </c>
    </row>
    <row r="16" customFormat="false" ht="15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3" min="3" style="1" width="25"/>
    <col collapsed="false" customWidth="true" hidden="false" outlineLevel="0" max="5" min="4" style="1" width="36"/>
    <col collapsed="false" customWidth="true" hidden="false" outlineLevel="0" max="6" min="6" style="1" width="18"/>
  </cols>
  <sheetData>
    <row r="1" customFormat="false" ht="7.5" hidden="false" customHeight="true" outlineLevel="0" collapsed="false"/>
    <row r="2" customFormat="false" ht="17.25" hidden="false" customHeight="true" outlineLevel="0" collapsed="false">
      <c r="B2" s="2" t="s">
        <v>191</v>
      </c>
    </row>
    <row r="3" customFormat="false" ht="24" hidden="false" customHeight="true" outlineLevel="0" collapsed="false">
      <c r="B3" s="3" t="s">
        <v>192</v>
      </c>
    </row>
    <row r="5" customFormat="false" ht="15" hidden="false" customHeight="true" outlineLevel="0" collapsed="false">
      <c r="B5" s="7" t="s">
        <v>193</v>
      </c>
      <c r="C5" s="7" t="s">
        <v>194</v>
      </c>
      <c r="D5" s="7" t="s">
        <v>195</v>
      </c>
      <c r="E5" s="7" t="s">
        <v>196</v>
      </c>
    </row>
    <row r="6" customFormat="false" ht="15" hidden="false" customHeight="true" outlineLevel="0" collapsed="false">
      <c r="B6" s="8" t="s">
        <v>197</v>
      </c>
      <c r="C6" s="8" t="s">
        <v>198</v>
      </c>
      <c r="D6" s="8" t="s">
        <v>199</v>
      </c>
      <c r="E6" s="8" t="s">
        <v>200</v>
      </c>
    </row>
    <row r="7" customFormat="false" ht="15" hidden="false" customHeight="true" outlineLevel="0" collapsed="false">
      <c r="B7" s="8" t="s">
        <v>201</v>
      </c>
      <c r="C7" s="8" t="s">
        <v>202</v>
      </c>
      <c r="D7" s="8" t="s">
        <v>203</v>
      </c>
      <c r="E7" s="8" t="s">
        <v>204</v>
      </c>
    </row>
    <row r="8" customFormat="false" ht="15" hidden="false" customHeight="true" outlineLevel="0" collapsed="false">
      <c r="B8" s="8" t="s">
        <v>205</v>
      </c>
      <c r="C8" s="8" t="s">
        <v>206</v>
      </c>
      <c r="D8" s="8" t="s">
        <v>207</v>
      </c>
      <c r="E8" s="8" t="s">
        <v>208</v>
      </c>
    </row>
    <row r="9" customFormat="false" ht="15" hidden="false" customHeight="true" outlineLevel="0" collapsed="false">
      <c r="B9" s="8" t="s">
        <v>209</v>
      </c>
      <c r="C9" s="8" t="s">
        <v>210</v>
      </c>
      <c r="D9" s="8" t="s">
        <v>211</v>
      </c>
      <c r="E9" s="8" t="s">
        <v>212</v>
      </c>
    </row>
    <row r="10" customFormat="false" ht="15" hidden="false" customHeight="true" outlineLevel="0" collapsed="false">
      <c r="B10" s="8" t="s">
        <v>213</v>
      </c>
      <c r="C10" s="8" t="s">
        <v>214</v>
      </c>
      <c r="D10" s="8" t="s">
        <v>215</v>
      </c>
      <c r="E10" s="8" t="s">
        <v>216</v>
      </c>
    </row>
    <row r="11" customFormat="false" ht="27.75" hidden="false" customHeight="true" outlineLevel="0" collapsed="false">
      <c r="B11" s="8" t="s">
        <v>188</v>
      </c>
      <c r="C11" s="8" t="s">
        <v>217</v>
      </c>
      <c r="D11" s="8" t="s">
        <v>218</v>
      </c>
      <c r="E11" s="8" t="s">
        <v>219</v>
      </c>
    </row>
    <row r="12" customFormat="false" ht="15" hidden="false" customHeight="true" outlineLevel="0" collapsed="false">
      <c r="B12" s="8" t="s">
        <v>220</v>
      </c>
      <c r="C12" s="8" t="s">
        <v>221</v>
      </c>
      <c r="D12" s="8" t="s">
        <v>222</v>
      </c>
      <c r="E12" s="8" t="s">
        <v>223</v>
      </c>
    </row>
    <row r="15" customFormat="false" ht="15" hidden="false" customHeight="true" outlineLevel="0" collapsed="false">
      <c r="B15" s="13" t="s">
        <v>224</v>
      </c>
    </row>
    <row r="16" customFormat="false" ht="15" hidden="false" customHeight="true" outlineLevel="0" collapsed="false">
      <c r="B16" s="24" t="s">
        <v>225</v>
      </c>
      <c r="C16" s="24"/>
      <c r="D16" s="24"/>
      <c r="E16" s="24"/>
    </row>
    <row r="17" customFormat="false" ht="15" hidden="false" customHeight="true" outlineLevel="0" collapsed="false">
      <c r="B17" s="24" t="s">
        <v>226</v>
      </c>
      <c r="C17" s="24"/>
      <c r="D17" s="24"/>
      <c r="E17" s="24"/>
    </row>
    <row r="18" customFormat="false" ht="15" hidden="false" customHeight="true" outlineLevel="0" collapsed="false">
      <c r="B18" s="24" t="s">
        <v>227</v>
      </c>
      <c r="C18" s="24"/>
      <c r="D18" s="24"/>
      <c r="E18" s="24"/>
    </row>
    <row r="19" customFormat="false" ht="15" hidden="false" customHeight="true" outlineLevel="0" collapsed="false">
      <c r="B19" s="24" t="s">
        <v>228</v>
      </c>
      <c r="C19" s="24"/>
      <c r="D19" s="24"/>
      <c r="E19" s="24"/>
    </row>
  </sheetData>
  <mergeCells count="4">
    <mergeCell ref="B16:E16"/>
    <mergeCell ref="B17:E17"/>
    <mergeCell ref="B18:E18"/>
    <mergeCell ref="B19:E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2026-05-06T09:49:46Z</dcterms:created>
  <dc:creator>openpyxl</dc:creator>
  <dc:description/>
  <dc:language>en-US</dc:language>
  <cp:lastModifiedBy/>
  <dcterms:modified xsi:type="dcterms:W3CDTF">2026-05-06T09:51:40Z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