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1 - Normal Year (Pass)" sheetId="1" r:id="rId5"/>
    <sheet state="visible" name="Tab3 - Public Network Present" sheetId="2" r:id="rId6"/>
    <sheet state="visible" name="Tab4 - Reduced Appliances" sheetId="3" r:id="rId7"/>
    <sheet state="visible" name="Tab2 - Water Quality Fail" sheetId="4" r:id="rId8"/>
    <sheet state="visible" name="Tab5 - Formula Walkthrough" sheetId="5" r:id="rId9"/>
  </sheets>
  <definedNames/>
  <calcPr/>
</workbook>
</file>

<file path=xl/sharedStrings.xml><?xml version="1.0" encoding="utf-8"?>
<sst xmlns="http://schemas.openxmlformats.org/spreadsheetml/2006/main" count="200" uniqueCount="147">
  <si>
    <t>AMS-III.AV / VMR0015 - Policy Test Data</t>
  </si>
  <si>
    <t>Tab 1: Normal Year (PASS)</t>
  </si>
  <si>
    <t>Parameter</t>
  </si>
  <si>
    <t>Value</t>
  </si>
  <si>
    <t>Formula / Source</t>
  </si>
  <si>
    <t>Water volume (m3/year)</t>
  </si>
  <si>
    <t>Input - flow meter</t>
  </si>
  <si>
    <t>Water volume (liters)</t>
  </si>
  <si>
    <t>Appliance total</t>
  </si>
  <si>
    <t>Input - field survey</t>
  </si>
  <si>
    <t>Appliance functional (m)</t>
  </si>
  <si>
    <t>m ratio (functional/total)</t>
  </si>
  <si>
    <t>12/14 = 0.857</t>
  </si>
  <si>
    <t>X_boil (fraction prev. boiling)</t>
  </si>
  <si>
    <t>Project registration baseline survey</t>
  </si>
  <si>
    <t>SEC (kJ/L)</t>
  </si>
  <si>
    <t>AMS-III.AV default Table 1</t>
  </si>
  <si>
    <t>EF_fuel (tCO2e/GJ) - wood</t>
  </si>
  <si>
    <t>IPCC 2006 Tier 1 default</t>
  </si>
  <si>
    <t>BE_y Baseline Emission Calculation</t>
  </si>
  <si>
    <t>BE_y = QPW_liters x m x X_boil x SEC x EF_fuel x 1e-9</t>
  </si>
  <si>
    <t>tCO2e</t>
  </si>
  <si>
    <t>PE_y Project Emission Calculation</t>
  </si>
  <si>
    <t>Energy consumed (kWh/year)</t>
  </si>
  <si>
    <t>Input - meter reading</t>
  </si>
  <si>
    <t>EF_grid (tCO2e/kWh)</t>
  </si>
  <si>
    <t>CEA 2023 India grid factor</t>
  </si>
  <si>
    <t>PE_y = energy x EF_grid</t>
  </si>
  <si>
    <t>LE_y Leakage</t>
  </si>
  <si>
    <t>Default per AMS-III.AV Section 4</t>
  </si>
  <si>
    <t>ER_y Emission Reduction</t>
  </si>
  <si>
    <t>ER_y = BE_y - PE_y - LE_y</t>
  </si>
  <si>
    <t>Tokens to mint (FLOOR)</t>
  </si>
  <si>
    <t>VCU tokens</t>
  </si>
  <si>
    <t>Water Quality Check</t>
  </si>
  <si>
    <t>overallResult</t>
  </si>
  <si>
    <t>COMPLIANT</t>
  </si>
  <si>
    <t>WHO Annex 2 all parameters</t>
  </si>
  <si>
    <t>Expected outcome</t>
  </si>
  <si>
    <t>PASS - tokens minted</t>
  </si>
  <si>
    <t>FLOOR(ER_y) VCUs issued on Hedera</t>
  </si>
  <si>
    <t>Tab 3: Public Network Present - INELIGIBLE</t>
  </si>
  <si>
    <t>Note</t>
  </si>
  <si>
    <t>publicNetworkPresent</t>
  </si>
  <si>
    <t>Piped water supply present in project area</t>
  </si>
  <si>
    <t>projectEligible</t>
  </si>
  <si>
    <t>Project fails AMS-III.AV eligibility check</t>
  </si>
  <si>
    <t>Workflow result</t>
  </si>
  <si>
    <t>Block triggered</t>
  </si>
  <si>
    <t>Block 13 - Eligibility Terminal</t>
  </si>
  <si>
    <t>Workflow stops before emission calculation</t>
  </si>
  <si>
    <t>Tokens minted</t>
  </si>
  <si>
    <t>0 - Project ineligible</t>
  </si>
  <si>
    <t>REJECTED - ineligible</t>
  </si>
  <si>
    <t>Registration rejected at eligibility gate</t>
  </si>
  <si>
    <t>Explanation</t>
  </si>
  <si>
    <t>AMS-III.AV requires that households have NO access to</t>
  </si>
  <si>
    <t>a safe public water network.</t>
  </si>
  <si>
    <t>If piped supply is available, the project does not qualify.</t>
  </si>
  <si>
    <t>The policy checks publicNetworkPresent at Block 13.</t>
  </si>
  <si>
    <t>If TRUE the switch block routes to the rejection terminal.</t>
  </si>
  <si>
    <t>No emission calculation or token minting occurs.</t>
  </si>
  <si>
    <t>Tab 4: Reduced Appliances - Proportionally Lower Credits</t>
  </si>
  <si>
    <t>Value (Tab 4)</t>
  </si>
  <si>
    <t>Difference from Tab 1</t>
  </si>
  <si>
    <t>Same</t>
  </si>
  <si>
    <t>REDUCED from 12 to 8</t>
  </si>
  <si>
    <t>m ratio (8/14)</t>
  </si>
  <si>
    <t>0.5714 vs 0.857 in Tab1</t>
  </si>
  <si>
    <t>X_boil</t>
  </si>
  <si>
    <t>EF_fuel (tCO2e/GJ)</t>
  </si>
  <si>
    <t>BE_y (tCO2e)</t>
  </si>
  <si>
    <t>Reduced proportionally</t>
  </si>
  <si>
    <t>PE_y (tCO2e)</t>
  </si>
  <si>
    <t>18000 x 0.00082</t>
  </si>
  <si>
    <t>Energy (kWh)</t>
  </si>
  <si>
    <t>EF_grid</t>
  </si>
  <si>
    <t>LE_y</t>
  </si>
  <si>
    <t>ER_y (tCO2e)</t>
  </si>
  <si>
    <t>Reduced vs Tab1</t>
  </si>
  <si>
    <t>Reduced credits</t>
  </si>
  <si>
    <t>PASS - reduced tokens</t>
  </si>
  <si>
    <t>Fewer appliances = fewer credits</t>
  </si>
  <si>
    <t>Tab 2: Water Quality FAIL</t>
  </si>
  <si>
    <t>Input</t>
  </si>
  <si>
    <t>m ratio</t>
  </si>
  <si>
    <t>Project registration</t>
  </si>
  <si>
    <t>AMS-III.AV default</t>
  </si>
  <si>
    <t>IPCC 2006</t>
  </si>
  <si>
    <t>Full formula</t>
  </si>
  <si>
    <t>Energy consumed (kWh)</t>
  </si>
  <si>
    <t>Meter reading</t>
  </si>
  <si>
    <t>CEA 2023</t>
  </si>
  <si>
    <t>Default</t>
  </si>
  <si>
    <t>BE_y - PE_y - LE_y</t>
  </si>
  <si>
    <t>Water Quality Check - FAIL</t>
  </si>
  <si>
    <t>NON-COMPLIANT</t>
  </si>
  <si>
    <t>WHO threshold exceeded (turbidity)</t>
  </si>
  <si>
    <t>Workflow terminates at Block 14 - No tokens issued</t>
  </si>
  <si>
    <t>FAIL - 0 tokens</t>
  </si>
  <si>
    <t>Policy stops at water quality gate</t>
  </si>
  <si>
    <t>AMS-III.AV / VMR0015 - Formula Walkthrough (Tab 1 Arithmetic Step-by-Step)</t>
  </si>
  <si>
    <t>This tab shows every arithmetic step for Tab 1 (Normal Year Pass) so a reviewer can verify without running the policy.</t>
  </si>
  <si>
    <t>Step</t>
  </si>
  <si>
    <t>Calculation</t>
  </si>
  <si>
    <t>Result</t>
  </si>
  <si>
    <t>Inputs</t>
  </si>
  <si>
    <t>QPW_y (water volume m3/year)</t>
  </si>
  <si>
    <t>150,000 m3</t>
  </si>
  <si>
    <t>QPW_y (liters)</t>
  </si>
  <si>
    <t>150,000 * 1,000 = 150,000,000</t>
  </si>
  <si>
    <t>m ratio = functional / total</t>
  </si>
  <si>
    <t>12 / 14</t>
  </si>
  <si>
    <t>0.857142857...</t>
  </si>
  <si>
    <t>X_boil (fraction prev boiling)</t>
  </si>
  <si>
    <t>SEC (kJ per liter)</t>
  </si>
  <si>
    <t>EF_fuel (tCO2e per GJ, wood)</t>
  </si>
  <si>
    <t>BE_y Calculation</t>
  </si>
  <si>
    <t>Formula</t>
  </si>
  <si>
    <t>BE_y = QPW_liters * m * X_boil * SEC * EF_fuel * 10^-9</t>
  </si>
  <si>
    <t>Step 1: QPW_liters * m</t>
  </si>
  <si>
    <t>150,000,000 * 0.857142857</t>
  </si>
  <si>
    <t>Step 2: * X_boil</t>
  </si>
  <si>
    <t>128571428.6 * 0.75</t>
  </si>
  <si>
    <t>Step 3: * SEC</t>
  </si>
  <si>
    <t>96428571.4 * 330</t>
  </si>
  <si>
    <t>Step 4: * EF_fuel</t>
  </si>
  <si>
    <t>31821428571 * 112</t>
  </si>
  <si>
    <t>Step 5: * 10^-9</t>
  </si>
  <si>
    <t>3564000000000 * 0.000000001</t>
  </si>
  <si>
    <t>BE_y result</t>
  </si>
  <si>
    <t>3564 tCO2e</t>
  </si>
  <si>
    <t>PE_y Calculation</t>
  </si>
  <si>
    <t>PE_y = energyKwh * EF_grid</t>
  </si>
  <si>
    <t>EF_grid (tCO2e per kWh)</t>
  </si>
  <si>
    <t>PE_y = 18000 * 0.00082</t>
  </si>
  <si>
    <t>14.76 tCO2e</t>
  </si>
  <si>
    <t>LE_y (Leakage)</t>
  </si>
  <si>
    <t>0 tCO2e (AMS-III.AV Section 4 default)</t>
  </si>
  <si>
    <t>ER_y Final Calculation</t>
  </si>
  <si>
    <t>ER_y = 3564 - 14.76 - 0</t>
  </si>
  <si>
    <t>3549.24 tCO2e</t>
  </si>
  <si>
    <t>Tokens = FLOOR(ER_y)</t>
  </si>
  <si>
    <t>FLOOR(3549.24)</t>
  </si>
  <si>
    <t>3549 VCU tokens</t>
  </si>
  <si>
    <t>Conclusion</t>
  </si>
  <si>
    <t>All checks pass. 3549 tokens minted on Hedera Token Service.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</si>
</sst>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>
        <v>150000.0</v>
      </c>
      <c r="C4" s="1" t="s">
        <v>6</v>
      </c>
    </row>
    <row r="5">
      <c r="A5" s="1" t="s">
        <v>7</v>
      </c>
      <c r="B5" s="2">
        <f>B4*1000</f>
        <v>150000000</v>
      </c>
      <c r="C5" s="1">
        <v>1.5E8</v>
      </c>
    </row>
    <row r="6">
      <c r="A6" s="1" t="s">
        <v>8</v>
      </c>
      <c r="B6" s="1">
        <v>14.0</v>
      </c>
      <c r="C6" s="1" t="s">
        <v>9</v>
      </c>
    </row>
    <row r="7">
      <c r="A7" s="1" t="s">
        <v>10</v>
      </c>
      <c r="B7" s="1">
        <v>12.0</v>
      </c>
      <c r="C7" s="1" t="s">
        <v>9</v>
      </c>
    </row>
    <row r="8">
      <c r="A8" s="1" t="s">
        <v>11</v>
      </c>
      <c r="B8" s="2">
        <f>B7/B6</f>
        <v>0.8571428571</v>
      </c>
      <c r="C8" s="1" t="s">
        <v>12</v>
      </c>
    </row>
    <row r="9">
      <c r="A9" s="1" t="s">
        <v>13</v>
      </c>
      <c r="B9" s="1">
        <v>0.75</v>
      </c>
      <c r="C9" s="1" t="s">
        <v>14</v>
      </c>
    </row>
    <row r="10">
      <c r="A10" s="1" t="s">
        <v>15</v>
      </c>
      <c r="B10" s="1">
        <v>330.0</v>
      </c>
      <c r="C10" s="1" t="s">
        <v>16</v>
      </c>
    </row>
    <row r="11">
      <c r="A11" s="1" t="s">
        <v>17</v>
      </c>
      <c r="B11" s="1">
        <v>112.0</v>
      </c>
      <c r="C11" s="1" t="s">
        <v>18</v>
      </c>
    </row>
    <row r="13">
      <c r="A13" s="1" t="s">
        <v>19</v>
      </c>
    </row>
    <row r="14">
      <c r="A14" s="1" t="s">
        <v>20</v>
      </c>
      <c r="B14" s="2">
        <f>B4*1000*B8*B9*B10*B11*0.000000001</f>
        <v>3564</v>
      </c>
      <c r="C14" s="1" t="s">
        <v>21</v>
      </c>
    </row>
    <row r="16">
      <c r="A16" s="1" t="s">
        <v>22</v>
      </c>
    </row>
    <row r="17">
      <c r="A17" s="1" t="s">
        <v>23</v>
      </c>
      <c r="B17" s="1">
        <v>18000.0</v>
      </c>
      <c r="C17" s="1" t="s">
        <v>24</v>
      </c>
    </row>
    <row r="18">
      <c r="A18" s="1" t="s">
        <v>25</v>
      </c>
      <c r="B18" s="1">
        <v>8.2E-4</v>
      </c>
      <c r="C18" s="1" t="s">
        <v>26</v>
      </c>
    </row>
    <row r="19">
      <c r="A19" s="1" t="s">
        <v>27</v>
      </c>
      <c r="B19" s="2">
        <f>B17*B18</f>
        <v>14.76</v>
      </c>
      <c r="C19" s="1" t="s">
        <v>21</v>
      </c>
    </row>
    <row r="21">
      <c r="A21" s="1" t="s">
        <v>28</v>
      </c>
      <c r="B21" s="1">
        <v>0.0</v>
      </c>
      <c r="C21" s="1" t="s">
        <v>29</v>
      </c>
    </row>
    <row r="23">
      <c r="A23" s="1" t="s">
        <v>30</v>
      </c>
    </row>
    <row r="24">
      <c r="A24" s="1" t="s">
        <v>31</v>
      </c>
      <c r="B24" s="2">
        <f>B14-B19-B21</f>
        <v>3549.24</v>
      </c>
      <c r="C24" s="1" t="s">
        <v>21</v>
      </c>
    </row>
    <row r="25">
      <c r="A25" s="1" t="s">
        <v>32</v>
      </c>
      <c r="B25" s="2">
        <f>FLOOR(B24,1)</f>
        <v>3549</v>
      </c>
      <c r="C25" s="1" t="s">
        <v>33</v>
      </c>
    </row>
    <row r="27">
      <c r="A27" s="1" t="s">
        <v>34</v>
      </c>
    </row>
    <row r="28">
      <c r="A28" s="1" t="s">
        <v>35</v>
      </c>
      <c r="B28" s="1" t="s">
        <v>36</v>
      </c>
      <c r="C28" s="1" t="s">
        <v>37</v>
      </c>
    </row>
    <row r="29">
      <c r="A29" s="1" t="s">
        <v>38</v>
      </c>
      <c r="B29" s="1" t="s">
        <v>39</v>
      </c>
      <c r="C29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41</v>
      </c>
    </row>
    <row r="3">
      <c r="A3" s="1" t="s">
        <v>2</v>
      </c>
      <c r="B3" s="1" t="s">
        <v>3</v>
      </c>
      <c r="C3" s="1" t="s">
        <v>42</v>
      </c>
    </row>
    <row r="4">
      <c r="A4" s="1" t="s">
        <v>43</v>
      </c>
      <c r="B4" s="1" t="b">
        <v>1</v>
      </c>
      <c r="C4" s="1" t="s">
        <v>44</v>
      </c>
    </row>
    <row r="5">
      <c r="A5" s="1" t="s">
        <v>45</v>
      </c>
      <c r="B5" s="1" t="b">
        <v>0</v>
      </c>
      <c r="C5" s="1" t="s">
        <v>46</v>
      </c>
    </row>
    <row r="7">
      <c r="A7" s="1" t="s">
        <v>47</v>
      </c>
    </row>
    <row r="8">
      <c r="A8" s="1" t="s">
        <v>48</v>
      </c>
      <c r="B8" s="1" t="s">
        <v>49</v>
      </c>
      <c r="C8" s="1" t="s">
        <v>50</v>
      </c>
    </row>
    <row r="9">
      <c r="A9" s="1" t="s">
        <v>51</v>
      </c>
      <c r="B9" s="1">
        <v>0.0</v>
      </c>
      <c r="C9" s="1" t="s">
        <v>52</v>
      </c>
    </row>
    <row r="10">
      <c r="A10" s="1" t="s">
        <v>38</v>
      </c>
      <c r="B10" s="1" t="s">
        <v>53</v>
      </c>
      <c r="C10" s="1" t="s">
        <v>54</v>
      </c>
    </row>
    <row r="12">
      <c r="A12" s="1" t="s">
        <v>55</v>
      </c>
    </row>
    <row r="13">
      <c r="A13" s="1" t="s">
        <v>56</v>
      </c>
      <c r="B13" s="1" t="s">
        <v>57</v>
      </c>
      <c r="C13" s="1" t="s">
        <v>58</v>
      </c>
    </row>
    <row r="14">
      <c r="A14" s="1" t="s">
        <v>59</v>
      </c>
      <c r="B14" s="1" t="s">
        <v>60</v>
      </c>
      <c r="C14" s="1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62</v>
      </c>
    </row>
    <row r="3">
      <c r="A3" s="1" t="s">
        <v>2</v>
      </c>
      <c r="B3" s="1" t="s">
        <v>63</v>
      </c>
      <c r="C3" s="1" t="s">
        <v>64</v>
      </c>
    </row>
    <row r="4">
      <c r="A4" s="1" t="s">
        <v>5</v>
      </c>
      <c r="B4" s="1">
        <v>150000.0</v>
      </c>
      <c r="C4" s="1" t="s">
        <v>65</v>
      </c>
    </row>
    <row r="5">
      <c r="A5" s="1" t="s">
        <v>7</v>
      </c>
      <c r="B5" s="2">
        <f>B4*1000</f>
        <v>150000000</v>
      </c>
      <c r="C5" s="1" t="s">
        <v>65</v>
      </c>
    </row>
    <row r="6">
      <c r="A6" s="1" t="s">
        <v>8</v>
      </c>
      <c r="B6" s="1">
        <v>14.0</v>
      </c>
      <c r="C6" s="1" t="s">
        <v>65</v>
      </c>
    </row>
    <row r="7">
      <c r="A7" s="1" t="s">
        <v>10</v>
      </c>
      <c r="B7" s="1">
        <v>8.0</v>
      </c>
      <c r="C7" s="1" t="s">
        <v>66</v>
      </c>
    </row>
    <row r="8">
      <c r="A8" s="1" t="s">
        <v>67</v>
      </c>
      <c r="B8" s="2">
        <f>B7/B6</f>
        <v>0.5714285714</v>
      </c>
      <c r="C8" s="1" t="s">
        <v>68</v>
      </c>
    </row>
    <row r="9">
      <c r="A9" s="1" t="s">
        <v>69</v>
      </c>
      <c r="B9" s="1">
        <v>0.75</v>
      </c>
      <c r="C9" s="1" t="s">
        <v>65</v>
      </c>
    </row>
    <row r="10">
      <c r="A10" s="1" t="s">
        <v>15</v>
      </c>
      <c r="B10" s="1">
        <v>330.0</v>
      </c>
      <c r="C10" s="1" t="s">
        <v>65</v>
      </c>
    </row>
    <row r="11">
      <c r="A11" s="1" t="s">
        <v>70</v>
      </c>
      <c r="B11" s="1">
        <v>112.0</v>
      </c>
      <c r="C11" s="1" t="s">
        <v>65</v>
      </c>
    </row>
    <row r="13">
      <c r="A13" s="1" t="s">
        <v>71</v>
      </c>
      <c r="B13" s="2">
        <f>B4*1000*B8*B9*B10*B11*0.000000001</f>
        <v>2376</v>
      </c>
      <c r="C13" s="1" t="s">
        <v>72</v>
      </c>
    </row>
    <row r="15">
      <c r="A15" s="1" t="s">
        <v>73</v>
      </c>
      <c r="B15" s="2">
        <f>B16*B17</f>
        <v>14.76</v>
      </c>
      <c r="C15" s="1" t="s">
        <v>74</v>
      </c>
    </row>
    <row r="16">
      <c r="A16" s="1" t="s">
        <v>75</v>
      </c>
      <c r="B16" s="1">
        <v>18000.0</v>
      </c>
      <c r="C16" s="1" t="s">
        <v>65</v>
      </c>
    </row>
    <row r="17">
      <c r="A17" s="1" t="s">
        <v>76</v>
      </c>
      <c r="B17" s="1">
        <v>8.2E-4</v>
      </c>
      <c r="C17" s="1" t="s">
        <v>65</v>
      </c>
    </row>
    <row r="19">
      <c r="A19" s="1" t="s">
        <v>77</v>
      </c>
      <c r="B19" s="1">
        <v>0.0</v>
      </c>
      <c r="C19" s="1" t="s">
        <v>65</v>
      </c>
    </row>
    <row r="21">
      <c r="A21" s="1" t="s">
        <v>78</v>
      </c>
      <c r="B21" s="2">
        <f>B13-B15-B19</f>
        <v>2361.24</v>
      </c>
      <c r="C21" s="1" t="s">
        <v>79</v>
      </c>
    </row>
    <row r="22">
      <c r="A22" s="1" t="s">
        <v>32</v>
      </c>
      <c r="B22" s="2">
        <f>FLOOR(B21,1)</f>
        <v>2361</v>
      </c>
      <c r="C22" s="1" t="s">
        <v>80</v>
      </c>
    </row>
    <row r="24">
      <c r="A24" s="1" t="s">
        <v>38</v>
      </c>
      <c r="B24" s="1" t="s">
        <v>81</v>
      </c>
      <c r="C24" s="1" t="s">
        <v>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83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>
        <v>150000.0</v>
      </c>
      <c r="C4" s="1" t="s">
        <v>6</v>
      </c>
    </row>
    <row r="5">
      <c r="A5" s="1" t="s">
        <v>7</v>
      </c>
      <c r="B5" s="2">
        <f>B4*1000</f>
        <v>150000000</v>
      </c>
      <c r="C5" s="1">
        <v>1.5E8</v>
      </c>
    </row>
    <row r="6">
      <c r="A6" s="1" t="s">
        <v>8</v>
      </c>
      <c r="B6" s="1">
        <v>14.0</v>
      </c>
      <c r="C6" s="1" t="s">
        <v>84</v>
      </c>
    </row>
    <row r="7">
      <c r="A7" s="1" t="s">
        <v>10</v>
      </c>
      <c r="B7" s="1">
        <v>12.0</v>
      </c>
      <c r="C7" s="1" t="s">
        <v>84</v>
      </c>
    </row>
    <row r="8">
      <c r="A8" s="1" t="s">
        <v>85</v>
      </c>
      <c r="B8" s="2">
        <f>B7/B6</f>
        <v>0.8571428571</v>
      </c>
      <c r="C8" s="1" t="s">
        <v>12</v>
      </c>
    </row>
    <row r="9">
      <c r="A9" s="1" t="s">
        <v>69</v>
      </c>
      <c r="B9" s="1">
        <v>0.75</v>
      </c>
      <c r="C9" s="1" t="s">
        <v>86</v>
      </c>
    </row>
    <row r="10">
      <c r="A10" s="1" t="s">
        <v>15</v>
      </c>
      <c r="B10" s="1">
        <v>330.0</v>
      </c>
      <c r="C10" s="1" t="s">
        <v>87</v>
      </c>
    </row>
    <row r="11">
      <c r="A11" s="1" t="s">
        <v>70</v>
      </c>
      <c r="B11" s="1">
        <v>112.0</v>
      </c>
      <c r="C11" s="1" t="s">
        <v>88</v>
      </c>
    </row>
    <row r="13">
      <c r="A13" s="1" t="s">
        <v>71</v>
      </c>
      <c r="B13" s="2">
        <f>B4*1000*B8*B9*B10*B11*0.000000001</f>
        <v>3564</v>
      </c>
      <c r="C13" s="1" t="s">
        <v>89</v>
      </c>
    </row>
    <row r="15">
      <c r="A15" s="1" t="s">
        <v>73</v>
      </c>
      <c r="B15" s="2">
        <f>B17*B18</f>
        <v>0</v>
      </c>
      <c r="C15" s="1" t="s">
        <v>74</v>
      </c>
    </row>
    <row r="16">
      <c r="A16" s="1" t="s">
        <v>90</v>
      </c>
      <c r="B16" s="1">
        <v>18000.0</v>
      </c>
      <c r="C16" s="1" t="s">
        <v>91</v>
      </c>
    </row>
    <row r="17">
      <c r="A17" s="1" t="s">
        <v>25</v>
      </c>
      <c r="B17" s="1">
        <v>8.2E-4</v>
      </c>
      <c r="C17" s="1" t="s">
        <v>92</v>
      </c>
    </row>
    <row r="19">
      <c r="A19" s="1" t="s">
        <v>77</v>
      </c>
      <c r="B19" s="1">
        <v>0.0</v>
      </c>
      <c r="C19" s="1" t="s">
        <v>93</v>
      </c>
    </row>
    <row r="21">
      <c r="A21" s="1" t="s">
        <v>78</v>
      </c>
      <c r="B21" s="2">
        <f>B13-B15-B20</f>
        <v>3564</v>
      </c>
      <c r="C21" s="1" t="s">
        <v>94</v>
      </c>
    </row>
    <row r="23">
      <c r="A23" s="1" t="s">
        <v>95</v>
      </c>
    </row>
    <row r="24">
      <c r="A24" s="1" t="s">
        <v>35</v>
      </c>
      <c r="B24" s="1" t="s">
        <v>96</v>
      </c>
      <c r="C24" s="1" t="s">
        <v>97</v>
      </c>
    </row>
    <row r="25">
      <c r="A25" s="1" t="s">
        <v>51</v>
      </c>
      <c r="B25" s="1">
        <v>0.0</v>
      </c>
      <c r="C25" s="1" t="s">
        <v>98</v>
      </c>
    </row>
    <row r="26">
      <c r="A26" s="1" t="s">
        <v>38</v>
      </c>
      <c r="B26" s="1" t="s">
        <v>99</v>
      </c>
      <c r="C26" s="1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</row>
    <row r="3">
      <c r="A3" s="1" t="s">
        <v>102</v>
      </c>
    </row>
    <row r="5">
      <c r="A5" s="1" t="s">
        <v>103</v>
      </c>
      <c r="B5" s="1" t="s">
        <v>104</v>
      </c>
      <c r="C5" s="1" t="s">
        <v>105</v>
      </c>
    </row>
    <row r="6">
      <c r="A6" s="1" t="s">
        <v>106</v>
      </c>
    </row>
    <row r="7">
      <c r="A7" s="1" t="s">
        <v>107</v>
      </c>
      <c r="B7" s="1" t="s">
        <v>108</v>
      </c>
      <c r="C7" s="1">
        <v>150000.0</v>
      </c>
    </row>
    <row r="8">
      <c r="A8" s="1" t="s">
        <v>109</v>
      </c>
      <c r="B8" s="1" t="s">
        <v>110</v>
      </c>
      <c r="C8" s="1">
        <v>1.5E8</v>
      </c>
    </row>
    <row r="9">
      <c r="A9" s="1" t="s">
        <v>8</v>
      </c>
      <c r="B9" s="1">
        <v>14.0</v>
      </c>
      <c r="C9" s="1">
        <v>14.0</v>
      </c>
    </row>
    <row r="10">
      <c r="A10" s="1" t="s">
        <v>10</v>
      </c>
      <c r="B10" s="1">
        <v>12.0</v>
      </c>
      <c r="C10" s="1">
        <v>12.0</v>
      </c>
    </row>
    <row r="11">
      <c r="A11" s="1" t="s">
        <v>111</v>
      </c>
      <c r="B11" s="1" t="s">
        <v>112</v>
      </c>
      <c r="C11" s="1" t="s">
        <v>113</v>
      </c>
    </row>
    <row r="12">
      <c r="A12" s="1" t="s">
        <v>114</v>
      </c>
      <c r="B12" s="1">
        <v>0.75</v>
      </c>
      <c r="C12" s="1">
        <v>0.75</v>
      </c>
    </row>
    <row r="13">
      <c r="A13" s="1" t="s">
        <v>115</v>
      </c>
      <c r="B13" s="1">
        <v>330.0</v>
      </c>
      <c r="C13" s="1">
        <v>330.0</v>
      </c>
    </row>
    <row r="14">
      <c r="A14" s="1" t="s">
        <v>116</v>
      </c>
      <c r="B14" s="1">
        <v>112.0</v>
      </c>
      <c r="C14" s="1">
        <v>112.0</v>
      </c>
    </row>
    <row r="16">
      <c r="A16" s="1" t="s">
        <v>117</v>
      </c>
    </row>
    <row r="17">
      <c r="A17" s="1" t="s">
        <v>118</v>
      </c>
      <c r="B17" s="1" t="s">
        <v>119</v>
      </c>
    </row>
    <row r="18">
      <c r="A18" s="1" t="s">
        <v>120</v>
      </c>
      <c r="B18" s="1" t="s">
        <v>121</v>
      </c>
      <c r="C18" s="1">
        <v>1.285714286E8</v>
      </c>
    </row>
    <row r="19">
      <c r="A19" s="1" t="s">
        <v>122</v>
      </c>
      <c r="B19" s="1" t="s">
        <v>123</v>
      </c>
      <c r="C19" s="1">
        <v>9.64285714E7</v>
      </c>
    </row>
    <row r="20">
      <c r="A20" s="1" t="s">
        <v>124</v>
      </c>
      <c r="B20" s="1" t="s">
        <v>125</v>
      </c>
      <c r="C20" s="1">
        <v>3.1821428571E10</v>
      </c>
    </row>
    <row r="21">
      <c r="A21" s="1" t="s">
        <v>126</v>
      </c>
      <c r="B21" s="1" t="s">
        <v>127</v>
      </c>
      <c r="C21" s="1">
        <v>3.564E12</v>
      </c>
    </row>
    <row r="22">
      <c r="A22" s="1" t="s">
        <v>128</v>
      </c>
      <c r="B22" s="1" t="s">
        <v>129</v>
      </c>
      <c r="C22" s="1">
        <v>3564.0</v>
      </c>
    </row>
    <row r="23">
      <c r="A23" s="1" t="s">
        <v>130</v>
      </c>
      <c r="C23" s="1" t="s">
        <v>131</v>
      </c>
    </row>
    <row r="25">
      <c r="A25" s="1" t="s">
        <v>132</v>
      </c>
    </row>
    <row r="26">
      <c r="A26" s="1" t="s">
        <v>118</v>
      </c>
      <c r="B26" s="1" t="s">
        <v>133</v>
      </c>
    </row>
    <row r="27">
      <c r="A27" s="1" t="s">
        <v>90</v>
      </c>
      <c r="B27" s="3">
        <v>18000.0</v>
      </c>
      <c r="C27" s="1">
        <v>18000.0</v>
      </c>
    </row>
    <row r="28">
      <c r="A28" s="1" t="s">
        <v>134</v>
      </c>
      <c r="B28" s="1">
        <v>8.2E-4</v>
      </c>
      <c r="C28" s="1">
        <v>8.2E-4</v>
      </c>
    </row>
    <row r="29">
      <c r="A29" s="1" t="s">
        <v>135</v>
      </c>
      <c r="C29" s="1" t="s">
        <v>136</v>
      </c>
    </row>
    <row r="31">
      <c r="A31" s="1" t="s">
        <v>137</v>
      </c>
      <c r="B31" s="1">
        <v>0.0</v>
      </c>
      <c r="C31" s="1" t="s">
        <v>138</v>
      </c>
    </row>
    <row r="33">
      <c r="A33" s="1" t="s">
        <v>139</v>
      </c>
    </row>
    <row r="34">
      <c r="A34" s="1" t="s">
        <v>118</v>
      </c>
      <c r="B34" s="1" t="s">
        <v>31</v>
      </c>
    </row>
    <row r="35">
      <c r="A35" s="1" t="s">
        <v>140</v>
      </c>
      <c r="C35" s="1" t="s">
        <v>141</v>
      </c>
    </row>
    <row r="36">
      <c r="A36" s="1" t="s">
        <v>142</v>
      </c>
      <c r="B36" s="1" t="s">
        <v>143</v>
      </c>
      <c r="C36" s="1" t="s">
        <v>144</v>
      </c>
    </row>
    <row r="38">
      <c r="A38" s="1" t="s">
        <v>145</v>
      </c>
      <c r="B38" s="1" t="s">
        <v>146</v>
      </c>
    </row>
  </sheetData>
  <drawing r:id="rId1"/>
</worksheet>
</file>